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CONTRATO" sheetId="1" r:id="rId5"/>
    <sheet state="visible" name="LINEA DEL TIEMPO" sheetId="2" r:id="rId6"/>
    <sheet state="visible" name="UBICACION" sheetId="3" r:id="rId7"/>
    <sheet state="visible" name="CONTRATISTA" sheetId="4" r:id="rId8"/>
    <sheet state="visible" name="SITUACION ACTUAL" sheetId="5" r:id="rId9"/>
    <sheet state="visible" name="PTM RESUMEN" sheetId="6" r:id="rId10"/>
    <sheet state="visible" name="PTM POZOS" sheetId="7" r:id="rId11"/>
    <sheet state="visible" name="PTM INFO" sheetId="8" r:id="rId12"/>
    <sheet state="visible" name="PTM ESTUDIOS" sheetId="9" r:id="rId13"/>
    <sheet state="visible" name="PTM METODOS" sheetId="10" r:id="rId14"/>
    <sheet state="visible" name="PTM PENALIZACION" sheetId="11" r:id="rId15"/>
    <sheet state="visible" name="REGLAS CONTENIDO NACIONAL" sheetId="12" r:id="rId16"/>
    <sheet state="visible" name="PLANES" sheetId="13" r:id="rId17"/>
    <sheet state="visible" name="PLANES ACTIVIDADES" sheetId="14" r:id="rId18"/>
    <sheet state="visible" name="INVERSIONES EJERCIDAS" sheetId="15" r:id="rId19"/>
    <sheet state="visible" name="INGRESOS ESTADO" sheetId="16" r:id="rId20"/>
    <sheet state="visible" name="DATOS GEOLOGICOS" sheetId="17" r:id="rId21"/>
  </sheets>
  <definedNames>
    <definedName hidden="1" localSheetId="0" name="_xlnm._FilterDatabase">'TABLA CONTRATO'!$A$1:$X$15</definedName>
    <definedName hidden="1" localSheetId="4" name="_xlnm._FilterDatabase">'SITUACION ACTUAL'!$A$1:$G$169</definedName>
    <definedName hidden="1" localSheetId="15" name="_xlnm._FilterDatabase">'INGRESOS ESTADO'!$A$1:$G$946</definedName>
  </definedNames>
  <calcPr/>
</workbook>
</file>

<file path=xl/sharedStrings.xml><?xml version="1.0" encoding="utf-8"?>
<sst xmlns="http://schemas.openxmlformats.org/spreadsheetml/2006/main" count="13069" uniqueCount="4317">
  <si>
    <t>ID_Socio</t>
  </si>
  <si>
    <t>ID_Timeline</t>
  </si>
  <si>
    <t>ID_Contrato</t>
  </si>
  <si>
    <t>ID_Punto</t>
  </si>
  <si>
    <t>Empresa_Nombre</t>
  </si>
  <si>
    <t>Fecha</t>
  </si>
  <si>
    <t>Modalidad</t>
  </si>
  <si>
    <t>Numero_Vertice</t>
  </si>
  <si>
    <t>Tipo_Participacion</t>
  </si>
  <si>
    <t>Evento</t>
  </si>
  <si>
    <t>Ronda</t>
  </si>
  <si>
    <t>Porcentaje_Participacion</t>
  </si>
  <si>
    <t>Longitud_Decimales</t>
  </si>
  <si>
    <t>Detalles_Evento</t>
  </si>
  <si>
    <t>Licitacion</t>
  </si>
  <si>
    <t>Pais_Origen</t>
  </si>
  <si>
    <t>Area</t>
  </si>
  <si>
    <t>Latitud_Decimales</t>
  </si>
  <si>
    <t>Actividad_Empresarial</t>
  </si>
  <si>
    <t>Socios_Accionistas_Principales</t>
  </si>
  <si>
    <t>Pozos_Comprometidos</t>
  </si>
  <si>
    <t>Cotizacion_Bolsa</t>
  </si>
  <si>
    <t>Pozos_Terminados</t>
  </si>
  <si>
    <t>Operador_Principal</t>
  </si>
  <si>
    <t>TIME-01</t>
  </si>
  <si>
    <t>Tipo_Licitante</t>
  </si>
  <si>
    <t>SOC-01</t>
  </si>
  <si>
    <t>Tipo_Yacimiento</t>
  </si>
  <si>
    <t>CNH-R03-L01-G-CS-02/2018</t>
  </si>
  <si>
    <t>PTO-01</t>
  </si>
  <si>
    <t>Estado</t>
  </si>
  <si>
    <t>Superficie_km2</t>
  </si>
  <si>
    <t>Pemex Exploración y Producción</t>
  </si>
  <si>
    <t>Fecha_Firma</t>
  </si>
  <si>
    <t>Operador</t>
  </si>
  <si>
    <t>Duracion_Años</t>
  </si>
  <si>
    <t>Convocatoria</t>
  </si>
  <si>
    <t>Vence</t>
  </si>
  <si>
    <t>La CNH publica la primera Convocatoria de la Ronda 3 y las bases para el proceso de Licitación Pública Internacional CNH-R03-L01/2017.</t>
  </si>
  <si>
    <t>México</t>
  </si>
  <si>
    <t>Exploración y extracción de hidrocarburos</t>
  </si>
  <si>
    <t>Empresa Productiva del Estado Mexicano</t>
  </si>
  <si>
    <t>Estatus</t>
  </si>
  <si>
    <t>No cotiza</t>
  </si>
  <si>
    <t>Regla_Exploracion</t>
  </si>
  <si>
    <t>No_Registro_Fiducario</t>
  </si>
  <si>
    <t>TIME-02</t>
  </si>
  <si>
    <t>Fecha_Registro_Fiducario</t>
  </si>
  <si>
    <t>SOC-02</t>
  </si>
  <si>
    <t>Participacion_Estado</t>
  </si>
  <si>
    <t>Valor_Regalia_Adicional</t>
  </si>
  <si>
    <t>TotalEnergies EP México, S.A. de C.V.</t>
  </si>
  <si>
    <t>Licitación</t>
  </si>
  <si>
    <t>Incremento_Programa_Min</t>
  </si>
  <si>
    <t>Socio Financiero</t>
  </si>
  <si>
    <t>Valor_Ponderado_Prop_Economica</t>
  </si>
  <si>
    <t>En un evento público transmitido en vivo por internet, se lleva a cabo la presentación, apertura de propuestas y declaración del ganador para el Área Contractual.</t>
  </si>
  <si>
    <t>Francia</t>
  </si>
  <si>
    <t>Resultados_</t>
  </si>
  <si>
    <t>Total Holdings International B.V., y Total Holdings Nederland B.V.</t>
  </si>
  <si>
    <t>(En blanco)</t>
  </si>
  <si>
    <t>TIME-03</t>
  </si>
  <si>
    <t>Producción Compartida</t>
  </si>
  <si>
    <t>PTO-02</t>
  </si>
  <si>
    <t>SOC-03</t>
  </si>
  <si>
    <t>R03</t>
  </si>
  <si>
    <t>Fallo de la Licitación</t>
  </si>
  <si>
    <t>CNH-R03-L01-G-TMV-02/2018</t>
  </si>
  <si>
    <t>Se publica en el Diario Oficial de la Federación el fallo de la Licitación en el cual se declara la adjudicación del Contrato a Total E&amp;P México, S.A. de C.V. en consorcio con Pemex Exploración y Producción</t>
  </si>
  <si>
    <t>L01</t>
  </si>
  <si>
    <t>TIME-04</t>
  </si>
  <si>
    <t>Wintershall Dea México, S. de R.L. de C.V.</t>
  </si>
  <si>
    <t>Autorización para la suscripción del Contrato</t>
  </si>
  <si>
    <t>Alemania</t>
  </si>
  <si>
    <t>Agrupado</t>
  </si>
  <si>
    <t>Durante la 37ª Sesión Extraordinaria del Órgano de Gobierno de la CNH del 2018, se autoriza la suscripción del Contrato para la Exploración y Extracción de Hidrocarburos bajo la modalidad de Producción Compartida, correspondiente al Área Contractual 32 de Cuencas del Sureste.</t>
  </si>
  <si>
    <t>Wintershall Dea International GmbH, y DEA E&amp;P GMBH</t>
  </si>
  <si>
    <t>Aguas Someras</t>
  </si>
  <si>
    <t>N/D</t>
  </si>
  <si>
    <t>Frente a la costa de Tabasco</t>
  </si>
  <si>
    <t>PTO-03</t>
  </si>
  <si>
    <t>TIME-05</t>
  </si>
  <si>
    <t>SOC-04</t>
  </si>
  <si>
    <t>Firma</t>
  </si>
  <si>
    <t>Petróleos Mexicanos</t>
  </si>
  <si>
    <t>La CNH firma, en representación del Estado, el Contrato de Exploración y Extracción de Hidrocarburos con el contratista</t>
  </si>
  <si>
    <t>Vigente</t>
  </si>
  <si>
    <t>Hasta 4 años a partir de la aprobación...</t>
  </si>
  <si>
    <t>Empresa pública del Estado Mexicano</t>
  </si>
  <si>
    <t>TIME-06</t>
  </si>
  <si>
    <t>RF-C066-2018-038</t>
  </si>
  <si>
    <t>Alta en el Registro del Fiduciario</t>
  </si>
  <si>
    <t>SOC-05</t>
  </si>
  <si>
    <t>Queda inscrito en el Registro del Fiduciario con el número de registro RF-C066-2018-038.</t>
  </si>
  <si>
    <t>PTO-04</t>
  </si>
  <si>
    <t>Compañía Española de Petróleos, S.A.</t>
  </si>
  <si>
    <t>Obligado solidario</t>
  </si>
  <si>
    <t>TIME-07</t>
  </si>
  <si>
    <t>España</t>
  </si>
  <si>
    <t>International Petroleum Investment Company PJSC.</t>
  </si>
  <si>
    <t>Aprobación del Primer Programa de Trabajo</t>
  </si>
  <si>
    <t>El Órgano de Gobierno de la CNH, mediante la Resolución CNH.E.56.003/19, aprobó el Primer Programa de Trabajo presentado por Pemex Exploración y Producción.</t>
  </si>
  <si>
    <t>SOC-06</t>
  </si>
  <si>
    <t>CNH-R02-L04-AP-CS-G03/2018</t>
  </si>
  <si>
    <t>TIME-08</t>
  </si>
  <si>
    <t>Chevron Energía de México</t>
  </si>
  <si>
    <t>PTO-05</t>
  </si>
  <si>
    <t>Estados Unidos de América</t>
  </si>
  <si>
    <t>Aprobación del Presupuesto asociado al Primer Programa de Trabajo</t>
  </si>
  <si>
    <t>El Órgano de Gobierno de la CNH, mediante la Resolución CNH.E.56.004/19, aprobó el Presupuesto asociado al Primer Programa de Trabajo presentado por Pemex Exploración y Producción.</t>
  </si>
  <si>
    <t>Chevron Mexico Holding B.V. y CT Nominee Holding (IV) LLC</t>
  </si>
  <si>
    <t>Si cotiza</t>
  </si>
  <si>
    <t>TIME-09</t>
  </si>
  <si>
    <t>SOC-07</t>
  </si>
  <si>
    <t>Inpex E&amp;P MEXICO</t>
  </si>
  <si>
    <t>PTO-06</t>
  </si>
  <si>
    <t>Aprobación del Plan de Exploración</t>
  </si>
  <si>
    <t>El Órgano de Gobierno de la CNH, mediante la Resolución CNH.E.56.002/19, aprobó el Plan de Exploración presentado por Pemex Exploración y Producción.</t>
  </si>
  <si>
    <t>TIME-10</t>
  </si>
  <si>
    <t>Japón</t>
  </si>
  <si>
    <t>INPEX Corporation, y Teikoku Oil (North America) Co. Ltd.</t>
  </si>
  <si>
    <t>Frente a la costa de Veracruz</t>
  </si>
  <si>
    <t>Aprobación del Programa de Trabajo 2020</t>
  </si>
  <si>
    <t>SOC-08</t>
  </si>
  <si>
    <t>PTO-07</t>
  </si>
  <si>
    <t>El Órgano de Gobierno de la CNH, mediante la Resolución CNH.E.67.005/19, aprobó el Programa de Trabajo 2020 presentado por Pemex Exploración y Producción.</t>
  </si>
  <si>
    <t>En procedimiento de terminación anticipada total</t>
  </si>
  <si>
    <t>Hasta 4 años a partir de la aprobación del Plan de Exploración; con prórroga del PIE aprobada en 2023</t>
  </si>
  <si>
    <t>TIME-11</t>
  </si>
  <si>
    <t>RF-C069-2018-033</t>
  </si>
  <si>
    <t>Aprobación del Presupuesto asociado al Programa de Trabajo 2020</t>
  </si>
  <si>
    <t>El Órgano de Gobierno de la CNH, mediante la Resolución CNH.E.67.006/19, aprobó el Presupuesto asociado al Programa de Trabajo 2020 presentado por Pemex Exploración y Producción.</t>
  </si>
  <si>
    <t>SOC-09</t>
  </si>
  <si>
    <t>CNH-R02-L04-AP-PG02/2018</t>
  </si>
  <si>
    <t>TIME-12</t>
  </si>
  <si>
    <t>PTO-08</t>
  </si>
  <si>
    <t>Ganador en consorcio</t>
  </si>
  <si>
    <t>Programa de Trabajo 2021</t>
  </si>
  <si>
    <t>El Órgano de Gobierno de la CNH, mediante la Resolución CNH.E.22.003/2021, aprobó el Programa de Trabajo 2021 presentado por Pemex Exploración y Producción, respecto del Plan de Exploración para el Contrato CNH-R03-L01-G-CS-02/2018.</t>
  </si>
  <si>
    <t>SOC-10</t>
  </si>
  <si>
    <t>TIME-13</t>
  </si>
  <si>
    <t>Licencia</t>
  </si>
  <si>
    <t>CNH-R03-L01-G-TMV-04/2018</t>
  </si>
  <si>
    <t>R02</t>
  </si>
  <si>
    <t>PTO-09</t>
  </si>
  <si>
    <t>L04</t>
  </si>
  <si>
    <t>Presupuesto 2021</t>
  </si>
  <si>
    <t>El Órgano de Gobierno de la CNH, mediante la Resolución CNH.E.22.004/2021, aprobó el Presupuesto asociado al Programa de Trabajo 2021 presentado por Pemex Exploración y Producción, respecto del Plan de Exploración para el Contrato CNH-R03-L01-G-CS-02/2018.</t>
  </si>
  <si>
    <t>TIME-14</t>
  </si>
  <si>
    <t>Chevron Energía de México, S. de R.L. de C.V.</t>
  </si>
  <si>
    <t>SOC-11</t>
  </si>
  <si>
    <t>Programa de Trabajo 2022</t>
  </si>
  <si>
    <t>CEPSA E.P. México, S. de R.L. de C.V.</t>
  </si>
  <si>
    <t>Resolución CNH.E.18.005/2022. Negó el Programa de Trabajo 2022 presentado por Pemex Exploración y Producción, respecto del Plan de Exploración para el Contrato CNH-R03-L01-G-CS-02/2018.</t>
  </si>
  <si>
    <t>Aguas Profundas</t>
  </si>
  <si>
    <t>PTO-10</t>
  </si>
  <si>
    <t>International Petroleum Investment Company PJSC</t>
  </si>
  <si>
    <t>Frente de la costa de Tabasco</t>
  </si>
  <si>
    <t>TIME-15</t>
  </si>
  <si>
    <t>SOC-12</t>
  </si>
  <si>
    <t>Presupuesto 2022</t>
  </si>
  <si>
    <t>Resolución CNH.E.18.006/2022. Negó el Presupuesto asociado al Programa de Trabajo 2022, presentados por Pemex Exploración y Producción, respecto del Plan de Exploración para el Contrato CNH-R03-L01-G-CS-02/2018.</t>
  </si>
  <si>
    <t>Compañía Española de Petróleos, S.A.U.</t>
  </si>
  <si>
    <t>Terminación anticipada por renuncia.</t>
  </si>
  <si>
    <t>TIME-16</t>
  </si>
  <si>
    <t>PTO-11</t>
  </si>
  <si>
    <t>RF-C026-2018-021</t>
  </si>
  <si>
    <t>Resolución CNH.E.42.004/2022. Aprobó el Programa de Trabajo 2022, presentado por Pemex Exploración y Producción respecto del Plan de Exploración para el Contrato CNH-R03-L01-G-CS-02/2018.</t>
  </si>
  <si>
    <t>SOC-13</t>
  </si>
  <si>
    <t>CNH-R02-L01-A8-CS/2017</t>
  </si>
  <si>
    <t>N/A</t>
  </si>
  <si>
    <t>TIME-17</t>
  </si>
  <si>
    <t>PTO-12</t>
  </si>
  <si>
    <t>Resolución CNH.E.42.005/2022. Aprobó el Presupuesto asociado al Programa de Trabajo 2022, presentado por Pemex Exploración y Producción respecto del Plan de Exploración para el Contrato CNH-R03-L01-G-CS-02/2018.</t>
  </si>
  <si>
    <t>TIME-18</t>
  </si>
  <si>
    <t>SOC-14</t>
  </si>
  <si>
    <t>Ecopetrol Global Energy, S.L.U.</t>
  </si>
  <si>
    <t>Convenio Modificatorio</t>
  </si>
  <si>
    <t>Obligado Solidario</t>
  </si>
  <si>
    <t>Resolución CNH.E.63.003/2022. Instruyó la suscripción de los Convenios Modificatorios de los Contratos CNH-R01-L04-A3.CS/2016, CNH-R02-L01-A15.CS/2017, CNH-R03-L01-G-CS-02/2018, CNH-R03-L01-AS-CS-06/2018 y CNH-R03-L01-G-CS-03/2018.</t>
  </si>
  <si>
    <t>Colombia</t>
  </si>
  <si>
    <t>TIME-19</t>
  </si>
  <si>
    <t>Ecopetrol, S.A.</t>
  </si>
  <si>
    <t>PTO-13</t>
  </si>
  <si>
    <t>Programa de Trabajo 2023</t>
  </si>
  <si>
    <t>Resolución CNH.E.81.001/2022. Aprobó el Programa de Trabajo 2023 presentado por Pemex Exploración y Producción respecto del Plan de Exploración del Contrato CNH-R03-L01-G-CS-02/2018.</t>
  </si>
  <si>
    <t>SOC-15</t>
  </si>
  <si>
    <t>Frente a la costa de Tamaulipas</t>
  </si>
  <si>
    <t>CNH-R03-L01-G-TMV-03/2018</t>
  </si>
  <si>
    <t>Wintershall Dea México</t>
  </si>
  <si>
    <t>TIME-20</t>
  </si>
  <si>
    <t>En proceso de terminación anticipada total</t>
  </si>
  <si>
    <t>Presupuesto 2023</t>
  </si>
  <si>
    <t>PTO-14</t>
  </si>
  <si>
    <t>Resolución CNH.E.81.002/2022. Aprobó el Presupuesto asociado al Programa de Trabajo 2023 presentados por Pemex Exploración y Producción respecto del Plan de Exploración del Contrato CNH-R03-L01-G-CS-02/2018.</t>
  </si>
  <si>
    <t>RF-C059-2018-017</t>
  </si>
  <si>
    <t>SOC-16</t>
  </si>
  <si>
    <t>TIME-21</t>
  </si>
  <si>
    <t>Conclusión del procedimiento de terminación anticipada por renuncia total</t>
  </si>
  <si>
    <t>Resolución CNH.E.22.08/2023. Determinó la Conclusión del procedimiento de terminación anticipada por renuncia a la totalidad del Área Contractual, presentada por Pemex Exploración y Producción, respecto del Contrato CNH-R03-L01-G-CS-02/2018.</t>
  </si>
  <si>
    <t>PTO-15</t>
  </si>
  <si>
    <t>TIME-22</t>
  </si>
  <si>
    <t>SOC-17</t>
  </si>
  <si>
    <t>CEPSA</t>
  </si>
  <si>
    <t>Publicación de la primera convocatoria y bases de la Licitación CNH-R03-L01/2017.</t>
  </si>
  <si>
    <t>SOC-18</t>
  </si>
  <si>
    <t>PTO-16</t>
  </si>
  <si>
    <t>CNH-R02-L04-AP-PG05/2018</t>
  </si>
  <si>
    <t>TIME-23</t>
  </si>
  <si>
    <t>Frente de la costa de Veracruz</t>
  </si>
  <si>
    <t>Fallo en acto de apertura</t>
  </si>
  <si>
    <t>Se declara ganador del Área Contractual 16 al consorcio integrado por PEP, Deutsche y Compañía Española de Petróleos.</t>
  </si>
  <si>
    <t>Hasta 4 años a partir de aprobación del plan</t>
  </si>
  <si>
    <t>TIME-24</t>
  </si>
  <si>
    <t>SOC-19</t>
  </si>
  <si>
    <t>PTO-17</t>
  </si>
  <si>
    <t>CHN-R01-L04-A3.CPP/2016</t>
  </si>
  <si>
    <t>Publicación del fallo</t>
  </si>
  <si>
    <t>Se publica el fallo de la licitación en el DOF.</t>
  </si>
  <si>
    <t>Ganador en Consorcio</t>
  </si>
  <si>
    <t>TIME-25</t>
  </si>
  <si>
    <t>Firma del contrato</t>
  </si>
  <si>
    <t>SOC-20</t>
  </si>
  <si>
    <t>Suscripción del contrato de Producción Compartida en Aguas Someras.</t>
  </si>
  <si>
    <t>PTO-18</t>
  </si>
  <si>
    <t xml:space="preserve">Inpex E&amp;P MEXICO, S.A. de C.V. </t>
  </si>
  <si>
    <t>TIME-26</t>
  </si>
  <si>
    <t>InpeX Corporation, y Teikoku Oil (North America) Co. Ltd.</t>
  </si>
  <si>
    <t>Registro fiduciario</t>
  </si>
  <si>
    <t>Alta en el Registro del Fiduciario con número RF-C069-2018-033.</t>
  </si>
  <si>
    <t>PTO-19</t>
  </si>
  <si>
    <t>SOC-21</t>
  </si>
  <si>
    <t>TIME-27</t>
  </si>
  <si>
    <t>Control societario</t>
  </si>
  <si>
    <t>Autorización relacionada con cesión de control corporativo y de gestión indirecto.</t>
  </si>
  <si>
    <t>TIME-28</t>
  </si>
  <si>
    <t>Inicia en la Fecha Efectiva y concluye 4 años después de la aprobación del Plan de Exploración</t>
  </si>
  <si>
    <t>SOC-22</t>
  </si>
  <si>
    <t>RF-C035-2017-013</t>
  </si>
  <si>
    <t>CNH-R03-L01-AS-CS-13/2018</t>
  </si>
  <si>
    <t>Plan de Exploración</t>
  </si>
  <si>
    <t>PTO-20</t>
  </si>
  <si>
    <t>Aprobación del Plan de Exploración del contrato.</t>
  </si>
  <si>
    <t>TIME-29</t>
  </si>
  <si>
    <t>SOC-23</t>
  </si>
  <si>
    <t>CNH-R02-L01-A2.TM/2017</t>
  </si>
  <si>
    <t>Programa y Presupuesto 2020</t>
  </si>
  <si>
    <t>Aprobación del Programa de Trabajo 2020 y del Presupuesto 2020.</t>
  </si>
  <si>
    <t>PTO-21</t>
  </si>
  <si>
    <t>TIME-30</t>
  </si>
  <si>
    <t>Convenio modificatorio</t>
  </si>
  <si>
    <t>Instrucción para suscripción del primer convenio modificatorio por cambio de denominación social.</t>
  </si>
  <si>
    <t>SOC-24</t>
  </si>
  <si>
    <t>TIME-31</t>
  </si>
  <si>
    <t>Programa y Presupuesto 2021</t>
  </si>
  <si>
    <t>Aprobación del Programa de Trabajo 2021 y del Presupuesto 2021.</t>
  </si>
  <si>
    <t>PTO-22</t>
  </si>
  <si>
    <t>SOC-25</t>
  </si>
  <si>
    <t>TIME-32</t>
  </si>
  <si>
    <t>Terminación anticipada</t>
  </si>
  <si>
    <t>Wintershall Dea International GmbH</t>
  </si>
  <si>
    <t>2 + 2 años</t>
  </si>
  <si>
    <t>RF-C069-2018-034</t>
  </si>
  <si>
    <t>Modificación al Plan</t>
  </si>
  <si>
    <t>Aprobación de la modificación al Plan de Exploración.</t>
  </si>
  <si>
    <t>PTO-23</t>
  </si>
  <si>
    <t>TIME-33</t>
  </si>
  <si>
    <t>SOC-26</t>
  </si>
  <si>
    <t>CNH-R03-L01-AS-CS-06/2018</t>
  </si>
  <si>
    <t>Programa y Presupuesto 2023</t>
  </si>
  <si>
    <t>Aprobación del Programa de Trabajo 2023 y del Presupuesto 2023.</t>
  </si>
  <si>
    <t>Socio</t>
  </si>
  <si>
    <t>No aplica</t>
  </si>
  <si>
    <t>TIME-34</t>
  </si>
  <si>
    <t>Ajustes 2023</t>
  </si>
  <si>
    <t>Aprobación de modificaciones al Programa de Trabajo 2023 y al presupuesto asociado.</t>
  </si>
  <si>
    <t>PTO-24</t>
  </si>
  <si>
    <t>SOC-27</t>
  </si>
  <si>
    <t>TIME-35</t>
  </si>
  <si>
    <t>Firma de convenio</t>
  </si>
  <si>
    <t>Individual</t>
  </si>
  <si>
    <t>Suscripción del primer convenio modificatorio.</t>
  </si>
  <si>
    <t>TIME-36</t>
  </si>
  <si>
    <t>SOC-28</t>
  </si>
  <si>
    <t>PTO-25</t>
  </si>
  <si>
    <t>QatarEnergy E&amp;P México, S.A. de C.V.</t>
  </si>
  <si>
    <t>Prórroga del PIE</t>
  </si>
  <si>
    <t>Aprobación de la prórroga del Periodo Inicial de Exploración.</t>
  </si>
  <si>
    <t>Hasta 4 años a partir de la aprobación del Plan de Exploración</t>
  </si>
  <si>
    <t>TIME-37</t>
  </si>
  <si>
    <t>RF-C032-2018-023</t>
  </si>
  <si>
    <t>SOC-29</t>
  </si>
  <si>
    <t>CNH-R03-L01-G-CS-04/2018</t>
  </si>
  <si>
    <t>Inicio del procedimiento de terminación anticipada total reportado públicamente.</t>
  </si>
  <si>
    <t>Shell Exploración y Extracción de México, S.A. de C.V.</t>
  </si>
  <si>
    <t>PTO-26</t>
  </si>
  <si>
    <t>TIME-38</t>
  </si>
  <si>
    <t>Países Bajos</t>
  </si>
  <si>
    <t>Shell Gas, BV y BV Dordtsche Petroleum Maatschappij</t>
  </si>
  <si>
    <t>Conformación del contratista</t>
  </si>
  <si>
    <t>Consentimiento para modificación a la conformación del contratista.</t>
  </si>
  <si>
    <t>SOC-30</t>
  </si>
  <si>
    <t>TIME-39</t>
  </si>
  <si>
    <t>R01</t>
  </si>
  <si>
    <t>PTO-27</t>
  </si>
  <si>
    <t xml:space="preserve">Ronda 2 y lasbases para el proceso de Licitación Pública Internacional CNH-R02-L04/2017 </t>
  </si>
  <si>
    <t>TIME-40</t>
  </si>
  <si>
    <t>SOC-31</t>
  </si>
  <si>
    <t>PTO-28</t>
  </si>
  <si>
    <t>Presentación, apertura de propuestas y declaración del ganador del área contractual.</t>
  </si>
  <si>
    <t>Terminación anticipada por renuncia total</t>
  </si>
  <si>
    <t>TIME-41</t>
  </si>
  <si>
    <t>RF-C026-2017-002</t>
  </si>
  <si>
    <t>Fallo de la licitación</t>
  </si>
  <si>
    <t>Se publica el fallo en el Diario Oficial de la Federación, declarando la adjudicación a Chevron en consorcio con Pemex e INPEX.</t>
  </si>
  <si>
    <t>SOC-32</t>
  </si>
  <si>
    <t>PTO-29</t>
  </si>
  <si>
    <t>CNH-R02-L04-AP-CM-G09/2018</t>
  </si>
  <si>
    <t>TIME-42</t>
  </si>
  <si>
    <t>Se autoriza la suscripción del Contrato bajo modalidad de Licencia, correspondiente al Área contractual 22 de Cuenca Salina.</t>
  </si>
  <si>
    <t>TIME-43</t>
  </si>
  <si>
    <t>PTO-30</t>
  </si>
  <si>
    <t>La CNH firma en respuesta del Estado, el Contrato de Exploración y Extracción de Hidrocarburos con el contratista.</t>
  </si>
  <si>
    <t>TIME-44</t>
  </si>
  <si>
    <t>Queda inscrito en el Registro del Fiduciario con el número de registro RF-C026-2018-021.</t>
  </si>
  <si>
    <t>PTO-31</t>
  </si>
  <si>
    <t>TIME-45</t>
  </si>
  <si>
    <t>CNH aprobó el Plan de Exploración presentado por Chevron.</t>
  </si>
  <si>
    <t>Frente a la costa de Veracruz y Tabasco</t>
  </si>
  <si>
    <t>TIME-46</t>
  </si>
  <si>
    <t>PTO-32</t>
  </si>
  <si>
    <t>Plan de Exploración (modificado)</t>
  </si>
  <si>
    <t>Resolución CNH.E.30.003/2022.</t>
  </si>
  <si>
    <t>Hasta cuatro 4 años a partir de la aprobación del Plan de Exploración</t>
  </si>
  <si>
    <t>TIME-47</t>
  </si>
  <si>
    <t>RF-C032-2018-024</t>
  </si>
  <si>
    <t>Inicio del procedimiento de terminación anticipada por renundia total</t>
  </si>
  <si>
    <t>Resolución CNH.37.02/2023.</t>
  </si>
  <si>
    <t>TIME-48</t>
  </si>
  <si>
    <t>PTO-33</t>
  </si>
  <si>
    <t>Penas convencionales por incumplimiento</t>
  </si>
  <si>
    <t>Resolución CNH.E.10.02/2024.</t>
  </si>
  <si>
    <t>TIME-49</t>
  </si>
  <si>
    <t>PTO-34</t>
  </si>
  <si>
    <t>La CNH publica la cuarta Convocatoria de la Ronda 2 y las bases para el proceso de Licitación Pública Internacional CNH-R02-L04/2017.</t>
  </si>
  <si>
    <t>TIME-50</t>
  </si>
  <si>
    <t>PTO-35</t>
  </si>
  <si>
    <t>test</t>
  </si>
  <si>
    <t>TIME-51</t>
  </si>
  <si>
    <t>PEMEX Exploración y Producción</t>
  </si>
  <si>
    <t>Se publica en el Diario Oficial de la Federación el fallo de la Licitación en el cual se declara la adjudicación del Contrato a Shell Exploracion y Extraccion de Mexico, S.A. de C.V. en consorcio con Pemex Exploración y Producción.</t>
  </si>
  <si>
    <t>PTO-36</t>
  </si>
  <si>
    <t>TIME-52</t>
  </si>
  <si>
    <t>Durante la 6° Sesión Ordinaria del Órgano de Gobierno de la CNH del 2018, se autoriza la suscripción del Contrato para la Exploración y Extracción de Hidrocarburos bajo la modalidad de Licencia, correspondiente al Área Contractual 2 de Área Perdido.</t>
  </si>
  <si>
    <t>PTO-37</t>
  </si>
  <si>
    <t>RF-C036-2017-014</t>
  </si>
  <si>
    <t>TIME-53</t>
  </si>
  <si>
    <t>TIME-54</t>
  </si>
  <si>
    <t>PTO-38</t>
  </si>
  <si>
    <t>Queda inscrito en el Registro del Fiduciario con el número de registro RF-C059-2018-017.</t>
  </si>
  <si>
    <t>TIME-55</t>
  </si>
  <si>
    <t>PTO-39</t>
  </si>
  <si>
    <t>El Órgano de Gobierno de la CNH, mediante la Resolución CNH.E.31.002/19, aprobó el Plan de Exploración presentado por Shell Exploración y Extracción de México, S.A. de C.V.</t>
  </si>
  <si>
    <t>TIME-56</t>
  </si>
  <si>
    <t>Cesión del Control de las Operaciones</t>
  </si>
  <si>
    <t>Resolución CNH.E.23.04/2023. Autorizó la Cesión del Control de las Operaciones y la Cesión del Control Corporativo y de Gestión de Shell Exploracion y Extraccion de Mexico, S.A. de C.V. a favor de Pemex Exploración y Producción respecto del Contrato CNH-R02-L04-AP-PG02/2018.</t>
  </si>
  <si>
    <t>PTO-40</t>
  </si>
  <si>
    <t>Hasta 4 años a partir de la aprobación</t>
  </si>
  <si>
    <t>RF-C066-2018-030</t>
  </si>
  <si>
    <t>TIME-57</t>
  </si>
  <si>
    <t>Inicio del procedimiento de terminación anticipada por renuncia total</t>
  </si>
  <si>
    <t>Resolución CNH.09.08/2024. Inició e instruyó la tramitación del Procedimiento de Terminación Anticipada por devolución de la totalidad del Área Contractual notificada por Shell Exploración y Extracción de México, S.A. de C.V., respecto del Contrato CNH-R02-L04-AP-PG02/2018.</t>
  </si>
  <si>
    <t>PTO-41</t>
  </si>
  <si>
    <t>TIME-58</t>
  </si>
  <si>
    <t>Publicación de la convocatoria de la Ronda 3.1 por parte de la CNH</t>
  </si>
  <si>
    <t>PTO-42</t>
  </si>
  <si>
    <t>TIME-59</t>
  </si>
  <si>
    <t>Acto de presentación de propuestas y apertura de ofertas económicas</t>
  </si>
  <si>
    <t>Conjunto</t>
  </si>
  <si>
    <t>TIME-60</t>
  </si>
  <si>
    <t>Frente a la costa de Campeche</t>
  </si>
  <si>
    <t>PTO-43</t>
  </si>
  <si>
    <t>Se declara ganador el consorcio encabezado por Pemex Exploración y Producción</t>
  </si>
  <si>
    <t>Procedimiento de terminación anticipada total</t>
  </si>
  <si>
    <t>Hasta 4 años a partir de la aprobación del Plan de Exploración.</t>
  </si>
  <si>
    <t>TIME-61</t>
  </si>
  <si>
    <t>RF-C059-2018-039</t>
  </si>
  <si>
    <t>Autorización del Contrato</t>
  </si>
  <si>
    <t>PTO-44</t>
  </si>
  <si>
    <t>La CNH autoriza la suscripción del contrato en sesión del Órgano de Gobierno</t>
  </si>
  <si>
    <t>TIME-62</t>
  </si>
  <si>
    <t>Se firma el contrato entre CNH, PEP y CEPSA</t>
  </si>
  <si>
    <t>PTO-45</t>
  </si>
  <si>
    <t>TIME-63</t>
  </si>
  <si>
    <t>Registro Fiduciario</t>
  </si>
  <si>
    <t>Alta en el Registro del Fiduciario del Fondo Mexicano del Petróleo</t>
  </si>
  <si>
    <t>PTO-46</t>
  </si>
  <si>
    <t>TIME-64</t>
  </si>
  <si>
    <t>Aprobación del plan por parte de la CNH</t>
  </si>
  <si>
    <t>TIME-65</t>
  </si>
  <si>
    <t>PTO-47</t>
  </si>
  <si>
    <t>Programa de Trabajo 2020</t>
  </si>
  <si>
    <t>Aprobación del programa y presupuesto asociado</t>
  </si>
  <si>
    <t>TIME-66</t>
  </si>
  <si>
    <t>RF-C032-2018-022</t>
  </si>
  <si>
    <t>Aprobación del programa anual</t>
  </si>
  <si>
    <t>PTO-48</t>
  </si>
  <si>
    <t>TIME-67</t>
  </si>
  <si>
    <t>Fecha límite PMT</t>
  </si>
  <si>
    <t>Fecha límite para cumplimiento del Programa Mínimo de Trabajo</t>
  </si>
  <si>
    <t>PTO-49</t>
  </si>
  <si>
    <t>TIME-68</t>
  </si>
  <si>
    <t>La CNH publica la Convocatoria y las bases para el proceso de Licitación Pública Internacional CNH-R02-L01/2016.</t>
  </si>
  <si>
    <t>TIME-69</t>
  </si>
  <si>
    <t>PTO-50</t>
  </si>
  <si>
    <t>TIME-70</t>
  </si>
  <si>
    <t>Se publica en el Diario Oficial de la Federación el fallo de la Licitación en el cual se declara la adjudicación del Contrato a Pemex Exploración y Producción en consorcio con Ecopetrol Global Energy.</t>
  </si>
  <si>
    <t>PTO-51</t>
  </si>
  <si>
    <t>TIME-71</t>
  </si>
  <si>
    <t>Autorización para la Suscripción del Contrato</t>
  </si>
  <si>
    <t>Durante la 47ª Sesión Extraordinaria de 2017 del Órgano de Gobierno de la CNH, se autoriza la suscripción del Contrato para la Exploración y Extracción de Hidrocarburos bajo la modalidad de Producción Compartida en aguas someras, correspondiente al Área Contractual 8.</t>
  </si>
  <si>
    <t>PTO-52</t>
  </si>
  <si>
    <t>TIME-72</t>
  </si>
  <si>
    <t>La CNH firma, en representación del Estado, el Contrato de Exploración y Extracción de Hidrocarburos con el contratista Pemex Exploración y Producción en consorcio con ECP Hidrocarburos México.</t>
  </si>
  <si>
    <t>TIME-73</t>
  </si>
  <si>
    <t>PTO-53</t>
  </si>
  <si>
    <t>Queda inscrito en el Registro del Fiduciario con el número de registro RF-C035-2017-013.</t>
  </si>
  <si>
    <t>TIME-74</t>
  </si>
  <si>
    <t>Aprobación del Plan de Exploración, Programa de Trabajo y Presupuesto</t>
  </si>
  <si>
    <t>El Órgano de Gobierno de la CNH emite dictamen técnico mediante las resoluciones CNH.E.56.002/18, CNH.E.56.003/18 y CNH.E.56.004/18 respecto al Plan de Exploración, Programa de Trabajo y el Presupuesto asociado, presentado por Pemex Exploración y Producción.</t>
  </si>
  <si>
    <t>PTO-54</t>
  </si>
  <si>
    <t>TIME-75</t>
  </si>
  <si>
    <t>Aprobación del Programa de Trabajo y Presupuesto 2019</t>
  </si>
  <si>
    <t>PTO-55</t>
  </si>
  <si>
    <t>El Órgano de Gobierno de la CNH aprueba el Programa de Trabajo y Presupuesto para 2019 relacionado con el Plan de Exploración mediante las resoluciones CNH.E.57.001/18 y CNH.E.57.002/18 presentado por Pemex Exploración y Producción.</t>
  </si>
  <si>
    <t>TIME-76</t>
  </si>
  <si>
    <t>El Órgano de Gobierno de la CNH, mediante la Resolución CNH.E.68.012/19, aprobó el Presupuesto asociado al Programa de Trabajo 2020 presentado por Pemex Exploración y Producción.</t>
  </si>
  <si>
    <t>PTO-56</t>
  </si>
  <si>
    <t>TIME-77</t>
  </si>
  <si>
    <t>El Órgano de Gobierno de la CNH, mediante la Resolución CNH.E.25.004/2021, aprobó el Presupuesto asociado al Programa de Trabajo 2021 presentado por Pemex Exploración y Producción, respecto del Plan de Exploración para el Contrato CNH-R02-L01-A8.CS/2017.</t>
  </si>
  <si>
    <t>TIME-78</t>
  </si>
  <si>
    <t>PTO-57</t>
  </si>
  <si>
    <t>Plan de Exploración (modificación)</t>
  </si>
  <si>
    <t>Resolución CNH.05.001/2022. Aprobó la modificación al Plan de Exploración presentada por Pemex Exploración y Producción, relacionado con el contrato CNH-R02-L01-A8.CS/2017</t>
  </si>
  <si>
    <t>TIME-79</t>
  </si>
  <si>
    <t>Programa de Trabajo y Presupuesto 2022 (modificación)</t>
  </si>
  <si>
    <t>PTO-58</t>
  </si>
  <si>
    <t>Constancia de Afirmativa Ficta referente a la solicitud de aprobación del Programa de Trabajo y Presupuesto 2022, asociado a la modificación del Plan de Exploración del Contrato CNH-R02-L01-A8.CS/2017.</t>
  </si>
  <si>
    <t>TIME-80</t>
  </si>
  <si>
    <t>Cesión del Control Corporativo y de Gestión</t>
  </si>
  <si>
    <t>PTO-59</t>
  </si>
  <si>
    <t>Resolución CNH.E.76.001/2022. Autorizó la Cesión del Control Corporativo y de Gestión y de las Operaciones respecto del contrato CNH-R02-L01-A8.CS/2017, presentada por Pemex Exploración y Producción.</t>
  </si>
  <si>
    <t>TIME-81</t>
  </si>
  <si>
    <t>Presupuesto 2022 (modificación)</t>
  </si>
  <si>
    <t>Resolución CNH.E.94.003/2022. Aprobó la modificación al Presupuesto asociado al Programa de Trabajo 2022 presentado por Pemex Exploración y Producción respecto del Plan de Exploración del Contrato CNH-R02-L01-A8.CS/2017.</t>
  </si>
  <si>
    <t>TIME-82</t>
  </si>
  <si>
    <t>PTO-60</t>
  </si>
  <si>
    <t>Presupuesto 2024</t>
  </si>
  <si>
    <t>Resolución CNH.E.20.04/2023. Aprobó el Presupuesto asociado al Programa de Trabajo 2024, presentado por Pemex Exploración y Producción respecto del Plan de Exploración del Contrato CNH-R02-L01-A8.CS/2017.</t>
  </si>
  <si>
    <t>TIME-83</t>
  </si>
  <si>
    <t>Convocatoria Ronda 3</t>
  </si>
  <si>
    <t>PTO-61</t>
  </si>
  <si>
    <t>Publicación de bases de licitación CNH-R03-L01/2017</t>
  </si>
  <si>
    <t>TIME-84</t>
  </si>
  <si>
    <t>Presentación, apertura de propuestas y declaración de ganador</t>
  </si>
  <si>
    <t>PTO-62</t>
  </si>
  <si>
    <t>TIME-85</t>
  </si>
  <si>
    <t>Adjudicación a Pemex, Deutsche y CEPSA</t>
  </si>
  <si>
    <t>TIME-86</t>
  </si>
  <si>
    <t>PTO-63</t>
  </si>
  <si>
    <t>Autorización para suscripción del contrato</t>
  </si>
  <si>
    <t>CNH autoriza la firma del contrato de exploración y extracción</t>
  </si>
  <si>
    <t>TIME-87</t>
  </si>
  <si>
    <t>PTO-64</t>
  </si>
  <si>
    <t>Firma del contrato entre CNH y el consorcio</t>
  </si>
  <si>
    <t>TIME-88</t>
  </si>
  <si>
    <t>Alta en registro fiduciario</t>
  </si>
  <si>
    <t>Registro del contrato en el sistema fiduciario correspondiente</t>
  </si>
  <si>
    <t>PTO-65</t>
  </si>
  <si>
    <t>TIME-89</t>
  </si>
  <si>
    <t>Cesión de control corporativo</t>
  </si>
  <si>
    <t>Autorización de cesión a favor de Wintershall Holding GmbH</t>
  </si>
  <si>
    <t>PTO-66</t>
  </si>
  <si>
    <t>TIME-90</t>
  </si>
  <si>
    <t>Aprobación Plan de Exploración</t>
  </si>
  <si>
    <t>CNH aprueba el Plan de Exploración presentado por Deutsche</t>
  </si>
  <si>
    <t>TIME-91</t>
  </si>
  <si>
    <t>Programa de Trabajo inicial</t>
  </si>
  <si>
    <t>Aprobación del primer programa de trabajo del contrato</t>
  </si>
  <si>
    <t>PTO-67</t>
  </si>
  <si>
    <t>TIME-92</t>
  </si>
  <si>
    <t>Presupuesto inicial</t>
  </si>
  <si>
    <t>Aprobación del presupuesto asociado al programa inicial</t>
  </si>
  <si>
    <t>PTO-68</t>
  </si>
  <si>
    <t>TIME-93</t>
  </si>
  <si>
    <t>Presupuesto 2020</t>
  </si>
  <si>
    <t>Aprobación del presupuesto anual 2020</t>
  </si>
  <si>
    <t>PTO-69</t>
  </si>
  <si>
    <t>TIME-94</t>
  </si>
  <si>
    <t>Aprobación del programa de trabajo 2020</t>
  </si>
  <si>
    <t>PTO-70</t>
  </si>
  <si>
    <t>TIME-95</t>
  </si>
  <si>
    <t>Primer Convenio Modificatorio</t>
  </si>
  <si>
    <t>Formalización del primer convenio modificatorio del contrato</t>
  </si>
  <si>
    <t>TIME-96</t>
  </si>
  <si>
    <t>PTO-71</t>
  </si>
  <si>
    <t>Aprobación del presupuesto anual 2021</t>
  </si>
  <si>
    <t>TIME-97</t>
  </si>
  <si>
    <t>Aprobación del programa de trabajo 2021</t>
  </si>
  <si>
    <t>PTO-72</t>
  </si>
  <si>
    <t>TIME-98</t>
  </si>
  <si>
    <t>Modificación Plan de Exploración</t>
  </si>
  <si>
    <t>Aprobación de cambios al plan de exploración</t>
  </si>
  <si>
    <t>TIME-99</t>
  </si>
  <si>
    <t>PTO-73</t>
  </si>
  <si>
    <t>Aprobación del presupuesto anual 2022</t>
  </si>
  <si>
    <t>TIME-100</t>
  </si>
  <si>
    <t>Aprobación del programa de trabajo 2022</t>
  </si>
  <si>
    <t>PTO-74</t>
  </si>
  <si>
    <t>TIME-101</t>
  </si>
  <si>
    <t>Aprobación del presupuesto anual 2023</t>
  </si>
  <si>
    <t>PTO-75</t>
  </si>
  <si>
    <t>TIME-102</t>
  </si>
  <si>
    <t>Aprobación del programa de trabajo 2023</t>
  </si>
  <si>
    <t>TIME-103</t>
  </si>
  <si>
    <t>PTO-76</t>
  </si>
  <si>
    <t>Instrucción de convenio</t>
  </si>
  <si>
    <t>CNH instruye la firma de convenio modificatorio</t>
  </si>
  <si>
    <t>TIME-104</t>
  </si>
  <si>
    <t>PTO-77</t>
  </si>
  <si>
    <t>Prórroga exploratoria</t>
  </si>
  <si>
    <t>Extensión del periodo inicial de exploración</t>
  </si>
  <si>
    <t>TIME-105</t>
  </si>
  <si>
    <t>Modificación Presupuesto 2023</t>
  </si>
  <si>
    <t>Ajuste al presupuesto del programa de trabajo 2023</t>
  </si>
  <si>
    <t>PTO-78</t>
  </si>
  <si>
    <t>TIME-106</t>
  </si>
  <si>
    <t>Inicio terminación anticipada</t>
  </si>
  <si>
    <t>Inicio del procedimiento por renuncia del contratista</t>
  </si>
  <si>
    <t>TIME-107</t>
  </si>
  <si>
    <t>PTO-79</t>
  </si>
  <si>
    <t>Aprobación terminación anticipada</t>
  </si>
  <si>
    <t>CNH aprueba la terminación anticipada del contrato</t>
  </si>
  <si>
    <t>TIME-108</t>
  </si>
  <si>
    <t>PTO-80</t>
  </si>
  <si>
    <t>TIME-109</t>
  </si>
  <si>
    <t>PTO-81</t>
  </si>
  <si>
    <t>TIME-110</t>
  </si>
  <si>
    <t>Fallo de Licitación</t>
  </si>
  <si>
    <t>Se publica en el Diario Oficial de la Federación el fallo de la Licitación en el cual se declara la adjudicación del Contrato a Pemex Exploración y Producción.</t>
  </si>
  <si>
    <t>PTO-82</t>
  </si>
  <si>
    <t>TIME-111</t>
  </si>
  <si>
    <t>Durante la 6° Sesión Ordinaria del Órgano de Gobierno de la CNH del 2018, se autoriza la suscripción del Contrato para la Exploración y Extracción de Hidrocarburos bajo la modalidad de Licencia, correspondiente al Área Contractual 5 de Área Perdido.</t>
  </si>
  <si>
    <t>TIME-112</t>
  </si>
  <si>
    <t>PTO-83</t>
  </si>
  <si>
    <t>TIME-113</t>
  </si>
  <si>
    <t>Queda inscrito en el Registro del Fiduciario con el número de registro RF-C032-2018-023.</t>
  </si>
  <si>
    <t>TIME-114</t>
  </si>
  <si>
    <t>PTO-84</t>
  </si>
  <si>
    <t>El Órgano de Gobierno de la CNH, mediante la Resolución CNH.E.26.001/19, aprobó el Plan de Exploración presentado por Pemex Exploración y Producción.</t>
  </si>
  <si>
    <t>TIME-115</t>
  </si>
  <si>
    <t>Periodo Inicial de Exploración (prórroga)</t>
  </si>
  <si>
    <t>PTO-85</t>
  </si>
  <si>
    <t>Resolución CNH.13.06/2023. Aprobó la Prórroga del Periodo Inicial de Exploración presentada por Pemex Exploración y Producción, respecto del contrato CNH-R02-L04-AP-PG05/2018.</t>
  </si>
  <si>
    <t>TIME-116</t>
  </si>
  <si>
    <t>La CHN publica la Convocatoria y las bases para le proceso de Licitación Pública Internacional CNH-R01-L04/2015.</t>
  </si>
  <si>
    <t>PTO-86</t>
  </si>
  <si>
    <t>TIME-117</t>
  </si>
  <si>
    <t>Es un evento público transmitido en vivo por internet, se lleva a cabo la presentación, apertura de propuestas y declaración del ganador para el Área Contractual.</t>
  </si>
  <si>
    <t>TIME-118</t>
  </si>
  <si>
    <t>PTO-87</t>
  </si>
  <si>
    <t>Se publica en el Diario Oficial de la Federación el fallo de la Licitación en el cual se declara la adjudicación del Contrato a Chevron Energía de México, S. de R.L. de C.V., en consorcio con Pemex Exploración y Producción e Inpex Corporation.</t>
  </si>
  <si>
    <t>TIME-119</t>
  </si>
  <si>
    <t>Durante la 6° Sesión Extraordinaria del Órgano de Gobierno de la CNH del 2017, se autoriza la suscripción del Contrato para la Exploración y Extracción de Hidrocarburos bajo la modalidad de Licencia en aguas profundas, correspondiente al Área Contractual 3 de Cinturón Plegado Perdido.</t>
  </si>
  <si>
    <t>PTO-88</t>
  </si>
  <si>
    <t>TIME-120</t>
  </si>
  <si>
    <t>La CNH firma, en representación del Estado, el Contrato de Exploración y Extracción de Hidrocarburos con el contratista Chevron Energía de México, S. de R.L. de C.V., en consorcio con Pemex Exploración y Producción e Inpex E&amp;P Mexico, S.A. de C.V.</t>
  </si>
  <si>
    <t>PTO-89</t>
  </si>
  <si>
    <t>TIME-121</t>
  </si>
  <si>
    <t>Queda inscrito en el Registro del Fiduciario con el número de registro RF-C026-2017-002.</t>
  </si>
  <si>
    <t>TIME-122</t>
  </si>
  <si>
    <t>PTO-90</t>
  </si>
  <si>
    <t>El Órgano de Gobierno de la CNH emite dictamen técnico mediante la Resolución CNH.E.12.001/18 respecto al Plan de Exploración presentado por Chevron Energía de México, S. de R.L. de C.V. relacionado con el contrato CNH-R01-L04-A3.CPP/2016.</t>
  </si>
  <si>
    <t>TIME-123</t>
  </si>
  <si>
    <t>Cesión de Interés de Participación</t>
  </si>
  <si>
    <t>El Órgano de Gobierno de la CNH autoriza, mediante la Resolución CNH.E.62.001/18, la cesión del interés de participación de INPEX E&amp;P MÉXICO, S.A. de C.V. a favor de INPEX E&amp;P MÉXICO PB-03 S.A. de C.V e instruye la suscripción del primer convenio modificatorio del contrato.</t>
  </si>
  <si>
    <t>PTO-91</t>
  </si>
  <si>
    <t>TIME-124</t>
  </si>
  <si>
    <t>Resolución CNH.09.004/2022. Inició e instruyó la tramitación del Procedimiento de Terminación Anticipada por renuncia a la totalidad del Área Contractual, respecto del Contrato para la Exploración y Extracción de Hidrocarburos bajo la modalidad de licencia en aguas profundas, CNH-R01-L04-A3.CPP/2016</t>
  </si>
  <si>
    <t>TIME-125</t>
  </si>
  <si>
    <t>PTO-92</t>
  </si>
  <si>
    <t>Resolución CNH.17.02/2023. Determinó la Conclusión del Procedimiento de Terminación Anticipada por renuncia a la totalidad del Área Contractual respecto del contrato CNH-R01-L04-A3.CPP/2016.</t>
  </si>
  <si>
    <t>TIME-126</t>
  </si>
  <si>
    <t>PTO-93</t>
  </si>
  <si>
    <t>PTO-94</t>
  </si>
  <si>
    <t>TIME-127</t>
  </si>
  <si>
    <t>PTO-95</t>
  </si>
  <si>
    <t>TIME-128</t>
  </si>
  <si>
    <t>Se publica en el Diario Oficial de la Federación el fallo de la Licitación en el cual se declara la adjudicación del Contrato a Pemex Exploración y Producción</t>
  </si>
  <si>
    <t>PTO-96</t>
  </si>
  <si>
    <t>TIME-129</t>
  </si>
  <si>
    <t>Durante la 37ª Sesión Extraordinaria del Órgano de Gobierno de la CNH del 2018, se autoriza la suscripción del Contrato para la Exploración y Extracción de Hidrocarburos bajo la modalidad de Producción Compartida, correspondiente al Área Contractual 29 de Cuencas del Sureste.</t>
  </si>
  <si>
    <t>TIME-130</t>
  </si>
  <si>
    <t>PTO-97</t>
  </si>
  <si>
    <t>TIME-131</t>
  </si>
  <si>
    <t>PTO-98</t>
  </si>
  <si>
    <t>Queda inscrito en el Registro del Fiduciario con el número de registro RF-C032-2018-024.</t>
  </si>
  <si>
    <t>TIME-132</t>
  </si>
  <si>
    <t>El Órgano de Gobierno de la CNH, mediante la Resolución CNH.E.56.005/19, aprobó el Plan de Exploración presentado por Pemex Exploración y Producción.</t>
  </si>
  <si>
    <t>PTO-99</t>
  </si>
  <si>
    <t>TIME-133</t>
  </si>
  <si>
    <t>El Órgano de Gobierno de la CNH, mediante la Resolución CNH.E.69.004/19, aprobó el Presupuesto asociado al Programa de Trabajo 2020 presentado por Pemex Exploración y Producción.</t>
  </si>
  <si>
    <t>TIME-134</t>
  </si>
  <si>
    <t>PTO-100</t>
  </si>
  <si>
    <t>El Órgano de Gobierno de la CNH, mediante la Resolución CNH.E.22.005/2021, aprobó el Programa de Trabajo 2021 presentado por Pemex Exploración y Producción respecto del Plan de Exploración para el Contrato CNH-R03-L01-AS-CS-13/2018.</t>
  </si>
  <si>
    <t>PTO-101</t>
  </si>
  <si>
    <t>TIME-135</t>
  </si>
  <si>
    <t>El Órgano de Gobierno de la CNH, mediante la Resolución CNH.E.22.006/2021, aprobó el Presupuesto asociado al Programa de Trabajo 2021 presentado por Pemex Exploración y Producción respecto del Plan de Exploración para el Contrato CNH-R03-L01-AS-CS-13/2018.</t>
  </si>
  <si>
    <t>PTO-102</t>
  </si>
  <si>
    <t>TIME-136</t>
  </si>
  <si>
    <t>Resolución CNH.E.30.004/2022. Aprobó la modificación del Plan de Exploración, presentada por Pemex Exploración y Producción, respecto del Contrato CNH-R03-L01-AS-CS-13/2018.</t>
  </si>
  <si>
    <t>TIME-137</t>
  </si>
  <si>
    <t>PTO-103</t>
  </si>
  <si>
    <t>Resolución CNH.E.46.004/2022. Aprobó el Presupuesto asociado al Programa de Trabajo 2022, presentado por Pemex Exploración y Producción, respecto del Plan de Exploración para el Contrato CNH-R03-L01-AS-CS-13/2018.</t>
  </si>
  <si>
    <t>TIME-138</t>
  </si>
  <si>
    <t>PTO-104</t>
  </si>
  <si>
    <t>Autorización para perforar un pozo</t>
  </si>
  <si>
    <t>Resolución CNH.07.002/2022. Autorizó a Pemex Exploración y Producción, para realizar la perforación del pozo exploratorio en aguas someras Xale-1EXP.</t>
  </si>
  <si>
    <t>TIME-139</t>
  </si>
  <si>
    <t>PTO-105</t>
  </si>
  <si>
    <t>Resolución CNH.E.88.007/2022. Aprobó el Presupuesto asociado al Programa de Trabajo 2023 presentados por Pemex Exploración y Producción, respecto del Plan de Exploración del Contrato CNH-R03-L01-AS-CS-13/2018.</t>
  </si>
  <si>
    <t>TIME-140</t>
  </si>
  <si>
    <t>Binak</t>
  </si>
  <si>
    <t>PTO-106</t>
  </si>
  <si>
    <t>Autorización de perforación del pozo exploratorio en aguas someras Binak-1EXP.</t>
  </si>
  <si>
    <t>TIME-141</t>
  </si>
  <si>
    <t>Resolución CNH.38.05/2023. Aprobó la Prórroga del Periodo Inicial de Exploración presentada por Pemex Exploración y Producción, respecto al contrato CNH-R03-L01-AS-CS-13/2018.</t>
  </si>
  <si>
    <t>PTO-107</t>
  </si>
  <si>
    <t>TIME-142</t>
  </si>
  <si>
    <t>Periodo Adicional de Exploración</t>
  </si>
  <si>
    <t>Resolución CNH.E.29.01/2023. Aprobó el Primer Periodo Adicional de Exploración, presentado por Pemex Exploración y Producción, respecto al Contrato CNH-R03-L01-AS-CS-13/2018.</t>
  </si>
  <si>
    <t>PTO-108</t>
  </si>
  <si>
    <t>TIME-143</t>
  </si>
  <si>
    <t>Primer Presupuesto</t>
  </si>
  <si>
    <t>Resolucion CNH.11.03/2024. Aprobó el Presupuesto asociado al Primer Programa de Trabajo de 2024 presentado por Pemex Exploración y Producción, respecto del Programa de Evaluación correspondiente al descubrimiento Xale-1EXP, asociado al Contrato CNH-R03-L01-AS-CS-13/2018.</t>
  </si>
  <si>
    <t>TIME-144</t>
  </si>
  <si>
    <t>PTO-109</t>
  </si>
  <si>
    <t>Presupuesto</t>
  </si>
  <si>
    <t>Resolución CNH.15.04/2024. Aprobó el Presupuesto asociado al Programa de Trabajo de 2024 presentado por Pemex Exploración y Producción, respecto del Plan de Exploración para el Contrato CNH-R03-L01-AS-CS-13/2018.</t>
  </si>
  <si>
    <t>TIME-145</t>
  </si>
  <si>
    <t>PTO-110</t>
  </si>
  <si>
    <t>PTO-111</t>
  </si>
  <si>
    <t>Resolución CNH.E.03.04/2024. Aprobó el Presupuesto asociado al Programa de Trabajo 2024 presentado por Pemex Exploración y Producción, respecto del Plan de Exploración del Contrato CNH-R02-L01-A2.TM/2017.</t>
  </si>
  <si>
    <t>PTO-112</t>
  </si>
  <si>
    <t>TIME-146</t>
  </si>
  <si>
    <t>Programa de Trabajo 2024</t>
  </si>
  <si>
    <t>Resolución CNH.E.03.03/2024. Aprobó el Programa de Trabajo 2024 presentado por Pemex Exploración y Producción, respecto del Plan de Exploración del Contrato CNH-R02-L01-A2.TM/2017.</t>
  </si>
  <si>
    <t>TIME-147</t>
  </si>
  <si>
    <t>PTO-113</t>
  </si>
  <si>
    <t>Resolución CNH.E.28.03/2023. Aprobó la Modificación al Plan de Exploración presentado por Pemex Exploración y Producción, relacionado con el Contrato CNH-R02-L01-A2.TM/2017.</t>
  </si>
  <si>
    <t>TIME-148</t>
  </si>
  <si>
    <t>PTO-114</t>
  </si>
  <si>
    <t>Resolución CNH.30.02/2023. Instruyó la suscripción del Primer convenio modificatorio del Contrato para la exploración y extracción de hidrocarburos bajo la modalidad de producción compartida en aguas someras CNH-R02-L01-A2.TM/2017.</t>
  </si>
  <si>
    <t>TIME-149</t>
  </si>
  <si>
    <t>Resolución CNH.E.88.010/2022. Autorizó a Pemex Exploración y Producción para la perforación del pozo exploratorio en aguas someras Amistli-1EXP.</t>
  </si>
  <si>
    <t>TIME-150</t>
  </si>
  <si>
    <t>PTO-115</t>
  </si>
  <si>
    <t>Resolución CNH.E.74.002/2022. Aprobó el Presupuesto asociado al Programa de Trabajo 2022, presentado por Pemex Exploración y Producción, respecto del Plan de Exploración del Contrato CNH-R02-L01-A2.TM/2017.</t>
  </si>
  <si>
    <t>TIME-151</t>
  </si>
  <si>
    <t>PTO-116</t>
  </si>
  <si>
    <t>Resolución CNH.E.74.001/2022. Aprobó el Programa de Trabajo 2022, presentado por Pemex Exploración y Producción, respecto del Plan de Exploración del Contrato CNH-R02-L01-A2.TM/2017.</t>
  </si>
  <si>
    <t>TIME-152</t>
  </si>
  <si>
    <t>Resolución CNH.E.18.002/2022. Negó el Presupuesto asociado al Programa de Trabajo 2022, presentados por Pemex Exploración y Producción, respecto del Plan de Exploración para el Contrato CNH-R02-L01-A2.TM/2017.</t>
  </si>
  <si>
    <t>PTO-117</t>
  </si>
  <si>
    <t>TIME-153</t>
  </si>
  <si>
    <t>Resolución CNH.E.18.001/2022. Negó el Programa de Trabajo 2022 presentado por Pemex Exploración y Producción, respecto del Plan de Exploración para el Contrato CNH-R02-L01-A2.TM/2017.</t>
  </si>
  <si>
    <t>TIME-154</t>
  </si>
  <si>
    <t>PTO-118</t>
  </si>
  <si>
    <t>El Órgano de Gobierno de la CNH, mediante la Resolución CNH.E.26.006/2021, aprobó el Presupuesto asociado al Programa de Trabajo 2021 presentado por Pemex Exploración y Producción, respecto del Plan de Exploración para el Contrato CNH-R02-L01-A2.TM/2017.</t>
  </si>
  <si>
    <t>TIME-155</t>
  </si>
  <si>
    <t>PTO-119</t>
  </si>
  <si>
    <t>El Órgano de Gobierno de la CNH, mediante la Resolución CNH.E.26.005/2021, aprobó el Programa de Trabajo 2021 presentado por Pemex Exploración y Producción, respecto del Plan de Exploración para el Contrato CNH-R02-L01-A2.TM/2017.</t>
  </si>
  <si>
    <t>TIME-156</t>
  </si>
  <si>
    <t>El Órgano de Gobierno de la CNH, mediante la Resolución CNH.E.67.003/2020, instruyó la suscripción del Primer Convenio Modificatorio del contrato para la exploración y extracción de hidrocarburos bajo la modalidad de producción compartida en aguas someras número CNH-R02-L01-A2.TM/2017.</t>
  </si>
  <si>
    <t>PTO-120</t>
  </si>
  <si>
    <t>TIME-157</t>
  </si>
  <si>
    <t>El Órgano de Gobierno de la CNH, mediante la Resolución CNH.E.68.020/19, aprobó el Presupuesto asociado al Programa de Trabajo 2020 presentado por Pemex Exploración y Producción.</t>
  </si>
  <si>
    <t>PTO-121</t>
  </si>
  <si>
    <t>TIME-158</t>
  </si>
  <si>
    <t>El Órgano de Gobierno de la CNH, mediante la Resolución CNH.E.68.019/19, aprobó el Programa de Trabajo 2020 presentado por Pemex Exploración y Producción.</t>
  </si>
  <si>
    <t>TIME-159</t>
  </si>
  <si>
    <t>PTO-122</t>
  </si>
  <si>
    <t>Cesión del Control Indirecto</t>
  </si>
  <si>
    <t>El Órgano de Gobierno de la CNH, mediante la Resolución CNH.E.20.002/19, aprobó la solicitud de autorización de cesión del control indirecto de Deutsche Erdoel México, S. de R.L. de C.V., a favor de Wintershall Holding GmbH</t>
  </si>
  <si>
    <t>TIME-160</t>
  </si>
  <si>
    <t>PTO-123</t>
  </si>
  <si>
    <t>El Órgano de Gobierno de la CNH aprueba el Plan de Exploración y producción mediante las resoluciones CNH.E.58.001/18, CNH.E.58.002/18 y CNH.E.58.003/18.</t>
  </si>
  <si>
    <t>TIME-161</t>
  </si>
  <si>
    <t>El Órgano de Gobierno de la CNH aprueba el Programa de Trabajo y Presupuesto para 2019 relacionado con el Plan de Exploración mediante las resoluciones CNH.E.58.004/18 y CNH.E.58.005/18 presentado por Pemex Exploración y Producción.</t>
  </si>
  <si>
    <t>PTO-124</t>
  </si>
  <si>
    <t>TIME-162</t>
  </si>
  <si>
    <t>Queda inscrito en el Registro del Fiduciario con el número de registro RF-C036-2017-014.</t>
  </si>
  <si>
    <t>TIME-163</t>
  </si>
  <si>
    <t>PTO-125</t>
  </si>
  <si>
    <t>La CNH firma, en representación del Estado, el Contrato de Exploración y Extracción de Hidrocarburos con el contratista Pemex Exploración y Producción, y Deutsche Erdoel Mexico, S. de R.L. de C.V.</t>
  </si>
  <si>
    <t>TIME-164</t>
  </si>
  <si>
    <t>PTO-126</t>
  </si>
  <si>
    <t>Durante la 47ª Sesión Extraordinaria de 2017 del Órgano de Gobierno de la CNH, se autoriza la suscripción del Contrato para la Exploración y Extracción de Hidrocarburos bajo la modalidad de Producción Compartida en aguas someras, correspondiente al Área Contractual 2.</t>
  </si>
  <si>
    <t>TIME-165</t>
  </si>
  <si>
    <t>Se publica en el Diario Oficial de la Federación el fallo de la Licitación en el cual se declara la adjudicación del Contrato a DEA Deutsche Erdoel AG en consorcio con Pemex Exploración y Producción.</t>
  </si>
  <si>
    <t>PTO-127</t>
  </si>
  <si>
    <t>TIME-166</t>
  </si>
  <si>
    <t>TIME-167</t>
  </si>
  <si>
    <t>PTO-128</t>
  </si>
  <si>
    <t>TIME-168</t>
  </si>
  <si>
    <t>PTO-129</t>
  </si>
  <si>
    <t>TIME-169</t>
  </si>
  <si>
    <t>Presentación, apertura de propuestas y declaración del ganador en evento público.</t>
  </si>
  <si>
    <t>TIME-170</t>
  </si>
  <si>
    <t>PTO-130</t>
  </si>
  <si>
    <t>Publicación en DOF del fallo donde se adjudica el contrato.</t>
  </si>
  <si>
    <t>TIME-171</t>
  </si>
  <si>
    <t>Autorización para la suscripción del contrato</t>
  </si>
  <si>
    <t>Se instruye la suscripción de contratos en sesión de la CNH.</t>
  </si>
  <si>
    <t>PTO-131</t>
  </si>
  <si>
    <t>TIME-172</t>
  </si>
  <si>
    <t>Firma del Contrato de Exploración y Extracción.</t>
  </si>
  <si>
    <t>PTO-132</t>
  </si>
  <si>
    <t>TIME-173</t>
  </si>
  <si>
    <t>Registro con número RF-C066-2018-030.</t>
  </si>
  <si>
    <t>TIME-174</t>
  </si>
  <si>
    <t>PTO-133</t>
  </si>
  <si>
    <t>Resolución CNH.E.57.005/19.</t>
  </si>
  <si>
    <t>TIME-175</t>
  </si>
  <si>
    <t>Aprobación del Presupuesto asociado</t>
  </si>
  <si>
    <t>Resolución CNH.E.57.006/19.</t>
  </si>
  <si>
    <t>PTO-134</t>
  </si>
  <si>
    <t>TIME-176</t>
  </si>
  <si>
    <t>Resolución CNH.E.57.004/19.</t>
  </si>
  <si>
    <t>PTO-135</t>
  </si>
  <si>
    <t>TIME-177</t>
  </si>
  <si>
    <t>Resolución CNH.E.62.004/19.</t>
  </si>
  <si>
    <t>TIME-178</t>
  </si>
  <si>
    <t>Resolución CNH.E.62.005/19.</t>
  </si>
  <si>
    <t>PTO-136</t>
  </si>
  <si>
    <t>TIME-179</t>
  </si>
  <si>
    <t>Resolución CNH.E.58.003/2020.</t>
  </si>
  <si>
    <t>TIME-180</t>
  </si>
  <si>
    <t>PTO-137</t>
  </si>
  <si>
    <t>Resolución CNH.E.03.002/2021.</t>
  </si>
  <si>
    <t>TIME-181</t>
  </si>
  <si>
    <t>Resolución CNH.E.03.003/2021.</t>
  </si>
  <si>
    <t>PTO-138</t>
  </si>
  <si>
    <t>TIME-182</t>
  </si>
  <si>
    <t>Resolución CNH.E.63.003/2022.</t>
  </si>
  <si>
    <t>TIME-183</t>
  </si>
  <si>
    <t>PTO-139</t>
  </si>
  <si>
    <t>Resolución CNH.E.84.001/2022.</t>
  </si>
  <si>
    <t>TIME-184</t>
  </si>
  <si>
    <t>Resolución CNH.E.84.002/2022.</t>
  </si>
  <si>
    <t>PTO-140</t>
  </si>
  <si>
    <t>TIME-185</t>
  </si>
  <si>
    <t>Resolución CNH.E.93.001/2022.</t>
  </si>
  <si>
    <t>TIME-186</t>
  </si>
  <si>
    <t>PTO-141</t>
  </si>
  <si>
    <t>Resolución CNH.31.02/2023.</t>
  </si>
  <si>
    <t>TIME-187</t>
  </si>
  <si>
    <t>Resolución CNH.33.01/2023.</t>
  </si>
  <si>
    <t>TIME-188</t>
  </si>
  <si>
    <t>PTO-142</t>
  </si>
  <si>
    <t>Resolución CNH.33.02/2023.</t>
  </si>
  <si>
    <t>TIME-189</t>
  </si>
  <si>
    <t>PTO-143</t>
  </si>
  <si>
    <t>Resolución CNH.38.04/2023.</t>
  </si>
  <si>
    <t>TIME-190</t>
  </si>
  <si>
    <t>Resolución CNH.E.21.10/2023.</t>
  </si>
  <si>
    <t>TIME-191</t>
  </si>
  <si>
    <t>PTO-144</t>
  </si>
  <si>
    <t>Anuncio</t>
  </si>
  <si>
    <t>CNH ha publicado la primera convocatoria para la Ronda 3 y las bases del proceso de licitación pública internacional CNH-R03-L01 / 2017.</t>
  </si>
  <si>
    <t>TIME-192</t>
  </si>
  <si>
    <t>PTO-145</t>
  </si>
  <si>
    <t>Ofertas</t>
  </si>
  <si>
    <t>En un acto público retransmitido en directo por Internet, se lleva a cabo la presentación, la apertura de las ofertas y la proclamación del ganador del Área de Contrato.</t>
  </si>
  <si>
    <t>TIME-193</t>
  </si>
  <si>
    <t>Resolución del proceso de licitación</t>
  </si>
  <si>
    <t>PTO-146</t>
  </si>
  <si>
    <t>El dictamen del proceso de licitación en el que se declara la adjudicación del contrato a Shell Exploración y extracción de México, SA, publicado en el Diario Oficial de la Federación de CV en consorcio con Pemex Exploración y Producción.</t>
  </si>
  <si>
    <t>TIME-194</t>
  </si>
  <si>
    <t>Autorización para la firma del Contrato</t>
  </si>
  <si>
    <t>Durante la 37ª Sesión Extraordinaria del Órgano de Gobierno de la CNH 2018, se autoriza la firma del contrato para la exploración y extracción de hidrocarburos en forma de Participación en la Producción, correspondiente al Área de Contrato 35 Cuenca Hidrográfica Sureste.</t>
  </si>
  <si>
    <t>TIME-195</t>
  </si>
  <si>
    <t>PTO-147</t>
  </si>
  <si>
    <t>CNH firma, en nombre del Estado, el contrato de exploración y extracción de hidrocarburos con el contratista.</t>
  </si>
  <si>
    <t>TIME-196</t>
  </si>
  <si>
    <t>Admisión al Registro Fiduciario</t>
  </si>
  <si>
    <t>Registrado en el Registro Fiduciario con el número de registro RF-C059-2018-039.</t>
  </si>
  <si>
    <t>PTO-148</t>
  </si>
  <si>
    <t>TIME-197</t>
  </si>
  <si>
    <t>CNH, mediante Resolución CNH.E.57.001 / 19, aprobó el plan presentado por Shell Exploration and Extraction Mexico SA Exploration de CV.</t>
  </si>
  <si>
    <t>TIME-198</t>
  </si>
  <si>
    <t>PTO-149</t>
  </si>
  <si>
    <t>Aprobación del primer programa de trabajo</t>
  </si>
  <si>
    <t>CNH, mediante Resolución CNH.E.57.002/19, adoptó el Primer Programa de Trabajo presentado por Shell Exploration and Extraction Mexico SA de CV.</t>
  </si>
  <si>
    <t>TIME-199</t>
  </si>
  <si>
    <t>Aprobación del presupuesto asociado al primer programa de trabajo</t>
  </si>
  <si>
    <t>PTO-150</t>
  </si>
  <si>
    <t>CNH, mediante Resolución CNH.E.57.003/19, aprobó el Presupuesto asociado al Primer Programa de Trabajo, presentado por Shell Exploration and Extraction Mexico SA de CV</t>
  </si>
  <si>
    <t>TIME-200</t>
  </si>
  <si>
    <t>CNH, mediante Resolución CNH.E.64.010 / 19, aprobó el Programa de Trabajo 2020 presentado por Shell Exploration and Extraction of Mexico, SA de CV</t>
  </si>
  <si>
    <t>PTO-151</t>
  </si>
  <si>
    <t>TIME-201</t>
  </si>
  <si>
    <t>Aprobación del presupuesto asociado al Programa de Trabajo 2020</t>
  </si>
  <si>
    <t>CNH, mediante Resolución CNH.E.64.011 / 19, aprobó el Presupuesto asociado al Programa de Trabajo 2020, presentado por Shell Exploration and Extraction of Mexico, SA de CV</t>
  </si>
  <si>
    <t>TIME-202</t>
  </si>
  <si>
    <t>PTO-152</t>
  </si>
  <si>
    <t>Programa de trabajo 2021</t>
  </si>
  <si>
    <t>CNH, mediante Resolución CNH.E.16.003 / 2021, aprobó el Programa de Trabajo 2021 presentado por Shell Exploration and Extraction of Mexico, SA de CV con respecto al Plan de Exploración para el Contrato CNH-R03-L01-G-CS-04/2018.</t>
  </si>
  <si>
    <t>TIME-203</t>
  </si>
  <si>
    <t>El Órgano de Gobierno de CNH, mediante Resolución CNH.E.16.004 / 2021, aprobó el Presupuesto asociado al Programa de Trabajo 2021 presentado por Shell Exploration and Extraction of Mexico, SA de CV con respecto al Plan de Exploración para el Contrato CNH-R03-L01-G-CS-04/2018.</t>
  </si>
  <si>
    <t>PTO-153</t>
  </si>
  <si>
    <t>TIME-204</t>
  </si>
  <si>
    <t>Programa de trabajo 2022</t>
  </si>
  <si>
    <t>CNH, mediante Resolución CNH.E.16.001/2022, aprobó el Programa de Trabajo 2022 presentado por Shell Exploración y Extracción de México, SA de CV, en relación con el Plan de Exploración para el Contrato CNH-R03-L01-G-CS-04/2018.</t>
  </si>
  <si>
    <t>TIME-205</t>
  </si>
  <si>
    <t>PTO-154</t>
  </si>
  <si>
    <t>Resolución CNH.E.16.002/2022. Aprobó el Presupuesto asociado al Programa de Trabajo 2022, presentado por Shell Exploración y Extracción de México, SA de CV, respecto del Plan de Exploración para el Contrato CNH-R03-L01-G-CS-04/2018.</t>
  </si>
  <si>
    <t>TIME-206</t>
  </si>
  <si>
    <t>Programa de trabajo 2023</t>
  </si>
  <si>
    <t>PTO-155</t>
  </si>
  <si>
    <t>Resolución CNH.E.80.007/2022. Aprobó el Programa de Trabajo 2023 presentado por Shell Exploración y Extracción de México, SA de CV, respecto del Plan de Exploración del Contrato CNH-R03-L01-G-CS-04/2018.</t>
  </si>
  <si>
    <t>TIME-207</t>
  </si>
  <si>
    <t>Resolución CNH.E.80.008/2022. Aprobó el Presupuesto asociado al Programa de Trabajo 2023 presentado por Shell Exploración y Extracción de México, SA de CV, respecto del Plan de Exploración del Contrato CNH-R03-L01-G-CS-04/2018.</t>
  </si>
  <si>
    <t>PTO-156</t>
  </si>
  <si>
    <t>TIME-208</t>
  </si>
  <si>
    <t>Conclusión del procedimiento de renuncia voluntaria (toda el área contractual)</t>
  </si>
  <si>
    <t>Resolución CNH.E.15.07/2023. Determinó la conclusión del Procedimiento de Terminación Anticipada por renuncia a la totalidad del Área Contractual, presentación por Shell Exploración y Extracción de México, SA de CV respecto del Contrato para la Exploración y Extracción de Hidrocarburos bajo la modalidad de producción compartida en aguas someras CNH-R03-L01-G-CS-04/2018.</t>
  </si>
  <si>
    <t>TIME-209</t>
  </si>
  <si>
    <t>PTO-157</t>
  </si>
  <si>
    <t>TIME-210</t>
  </si>
  <si>
    <t>PTO-158</t>
  </si>
  <si>
    <t>TIME-211</t>
  </si>
  <si>
    <t>Durante la 6° Sesión Ordinaria del Órgano de Gobierno de la CNH del 2018, se autoriza la suscripción del Contrato para la Exploración y Extracción de Hidrocarburos bajo la modalidad de Licencia, correspondiente al Área Contractual 18 de Cordilleras Mexicanas.</t>
  </si>
  <si>
    <t>PTO-159</t>
  </si>
  <si>
    <t>TIME-212</t>
  </si>
  <si>
    <t>PTO-160</t>
  </si>
  <si>
    <t>TIME-213</t>
  </si>
  <si>
    <t>Queda inscrito en el Registro del Fiduciario con el número de registro RF-C032-2018-022.</t>
  </si>
  <si>
    <t>TIME-214</t>
  </si>
  <si>
    <t>PTO-161</t>
  </si>
  <si>
    <t>El Órgano de Gobierno de la CNH, mediante la Resolución CNH.E.41.010/19, aprobó el Plan de Exploración presentado por Pemex Exploración y Producción.</t>
  </si>
  <si>
    <t>TIME-215</t>
  </si>
  <si>
    <t>PTO-162</t>
  </si>
  <si>
    <t>Resolución CNH.E.10.13/2023. Aprobó la Prórroga del período inicial de exploración presentada por Pemex Exploración y Producción, respecto del contrato CNH-R02-L04-AP-CM-G09/2018.</t>
  </si>
  <si>
    <t>PTO-163</t>
  </si>
  <si>
    <t>PTO-164</t>
  </si>
  <si>
    <t>PTO-165</t>
  </si>
  <si>
    <t>PTO-166</t>
  </si>
  <si>
    <t>PTO-167</t>
  </si>
  <si>
    <t>PTO-168</t>
  </si>
  <si>
    <t>PTO-169</t>
  </si>
  <si>
    <t>PTO-170</t>
  </si>
  <si>
    <t>PTO-171</t>
  </si>
  <si>
    <t>PTO-172</t>
  </si>
  <si>
    <t>PTO-173</t>
  </si>
  <si>
    <t>PTO-174</t>
  </si>
  <si>
    <t>PTO-175</t>
  </si>
  <si>
    <t>PTO-176</t>
  </si>
  <si>
    <t>PTO-177</t>
  </si>
  <si>
    <t>PTO-178</t>
  </si>
  <si>
    <t>PTO-179</t>
  </si>
  <si>
    <t>PTO-180</t>
  </si>
  <si>
    <t>PTO-181</t>
  </si>
  <si>
    <t>PTO-182</t>
  </si>
  <si>
    <t>PTO-183</t>
  </si>
  <si>
    <t>PTO-184</t>
  </si>
  <si>
    <t>PTO-185</t>
  </si>
  <si>
    <t>PTO-186</t>
  </si>
  <si>
    <t>PTO-187</t>
  </si>
  <si>
    <t>PTO-188</t>
  </si>
  <si>
    <t>PTO-189</t>
  </si>
  <si>
    <t>PTO-190</t>
  </si>
  <si>
    <t>PTO-191</t>
  </si>
  <si>
    <t>PTO-192</t>
  </si>
  <si>
    <t>PTO-193</t>
  </si>
  <si>
    <t>PTO-194</t>
  </si>
  <si>
    <t>PTO-195</t>
  </si>
  <si>
    <t>PTO-196</t>
  </si>
  <si>
    <t>PTO-197</t>
  </si>
  <si>
    <t>PTO-198</t>
  </si>
  <si>
    <t>PTO-199</t>
  </si>
  <si>
    <t>PTO-200</t>
  </si>
  <si>
    <t>PTO-201</t>
  </si>
  <si>
    <t>PTO-202</t>
  </si>
  <si>
    <t>PTO-203</t>
  </si>
  <si>
    <t>PTO-204</t>
  </si>
  <si>
    <t>PTO-205</t>
  </si>
  <si>
    <t>PTO-206</t>
  </si>
  <si>
    <t>PTO-207</t>
  </si>
  <si>
    <t>PTO-208</t>
  </si>
  <si>
    <t>PTO-209</t>
  </si>
  <si>
    <t>PTO-210</t>
  </si>
  <si>
    <t>PTO-211</t>
  </si>
  <si>
    <t>PTO-212</t>
  </si>
  <si>
    <t>PTO-213</t>
  </si>
  <si>
    <t>PTO-214</t>
  </si>
  <si>
    <t>PTO-215</t>
  </si>
  <si>
    <t>PTO-216</t>
  </si>
  <si>
    <t>PTO-217</t>
  </si>
  <si>
    <t>PTO-218</t>
  </si>
  <si>
    <t>PTO-219</t>
  </si>
  <si>
    <t>PTO-220</t>
  </si>
  <si>
    <t>PTO-221</t>
  </si>
  <si>
    <t>PTO-222</t>
  </si>
  <si>
    <t>ID_Resolucion</t>
  </si>
  <si>
    <t>Actividad_Regulada</t>
  </si>
  <si>
    <t>Fecha_Presentacion</t>
  </si>
  <si>
    <t>Fecha_Resolucion</t>
  </si>
  <si>
    <t>Sentido_Resolucion</t>
  </si>
  <si>
    <t>Numero_Resolucion</t>
  </si>
  <si>
    <t>RES-01</t>
  </si>
  <si>
    <t>Aprobado</t>
  </si>
  <si>
    <t>CNH.E.22.08/2023</t>
  </si>
  <si>
    <t>RES-02</t>
  </si>
  <si>
    <t>CNH.E.81.002/2022</t>
  </si>
  <si>
    <t>RES-03</t>
  </si>
  <si>
    <t>CNH.E.81.001/2022</t>
  </si>
  <si>
    <t>RES-04</t>
  </si>
  <si>
    <t>CNH.E.63.003/2022</t>
  </si>
  <si>
    <t>RES-05</t>
  </si>
  <si>
    <t>CNH.E.42.005/2022</t>
  </si>
  <si>
    <t>RES-06</t>
  </si>
  <si>
    <t>CNH.E.42.004/2022</t>
  </si>
  <si>
    <t>RES-CNH-R03-07</t>
  </si>
  <si>
    <t>No aprobado</t>
  </si>
  <si>
    <t>CNH.E.18.006/2022</t>
  </si>
  <si>
    <t>RES-CNH-R03-08</t>
  </si>
  <si>
    <t>CNH.E.18.005/2022</t>
  </si>
  <si>
    <t>RES-07</t>
  </si>
  <si>
    <t>CNH.E.22.004/2021</t>
  </si>
  <si>
    <t>RES-08</t>
  </si>
  <si>
    <t>CNH.E.22.003/2021</t>
  </si>
  <si>
    <t>RES-09</t>
  </si>
  <si>
    <t>CNH.E.67.006/19</t>
  </si>
  <si>
    <t>RES-10</t>
  </si>
  <si>
    <t>CNH.E.67.005/19</t>
  </si>
  <si>
    <t>RES-11</t>
  </si>
  <si>
    <t>CNH.E.56.002/19</t>
  </si>
  <si>
    <t>RES-12</t>
  </si>
  <si>
    <t>CNH.E.56.004/19</t>
  </si>
  <si>
    <t>RES-13</t>
  </si>
  <si>
    <t>Primer Programa de Trabajo</t>
  </si>
  <si>
    <t>CNH.E.56.003/19</t>
  </si>
  <si>
    <t>RES-CNH-R03-16</t>
  </si>
  <si>
    <t>RES-CNH-R03-17</t>
  </si>
  <si>
    <t>RES-CNH-R03-18</t>
  </si>
  <si>
    <t>RES-CNH-R03-19</t>
  </si>
  <si>
    <t>RES-CNH-R03-20</t>
  </si>
  <si>
    <t>RES-CNH-R03-21</t>
  </si>
  <si>
    <t>RES-CNH-R03-22</t>
  </si>
  <si>
    <t>RES-CNH-R03-23</t>
  </si>
  <si>
    <t>RES-CNH-R03-24</t>
  </si>
  <si>
    <t>RES-CNH-R03-25</t>
  </si>
  <si>
    <t>RES-CNH-R03-26</t>
  </si>
  <si>
    <t>RES-14</t>
  </si>
  <si>
    <t>Cesión de control corporativo indirecto</t>
  </si>
  <si>
    <t>CNH.E.20.003/19</t>
  </si>
  <si>
    <t>RES-15</t>
  </si>
  <si>
    <t>CNH.E.55.001/19</t>
  </si>
  <si>
    <t>RES-16</t>
  </si>
  <si>
    <t>Presupuesto asociado al Plan</t>
  </si>
  <si>
    <t>ID_PMT</t>
  </si>
  <si>
    <t>CNH.E.55.003/19</t>
  </si>
  <si>
    <t>Programa_Minimo_Trabajo_UT</t>
  </si>
  <si>
    <t>Incremento_PMT_UT</t>
  </si>
  <si>
    <t>RES-17</t>
  </si>
  <si>
    <t>Periodo_Adicional_UT</t>
  </si>
  <si>
    <t>PMT_Total_Requerido</t>
  </si>
  <si>
    <t>Acreditadas_Reales</t>
  </si>
  <si>
    <t>Fecha_Limite</t>
  </si>
  <si>
    <t>PMT-RES-01</t>
  </si>
  <si>
    <t>CNH.E.68.015/19</t>
  </si>
  <si>
    <t>RES-18</t>
  </si>
  <si>
    <t>PMT-RES-02</t>
  </si>
  <si>
    <t>CNH.E.68.016/19</t>
  </si>
  <si>
    <t>RES-19</t>
  </si>
  <si>
    <t>Cambio de denominación social / Primer Convenio Modificatorio</t>
  </si>
  <si>
    <t>PMT-RES-03</t>
  </si>
  <si>
    <t>CNH.E.67.005/2020</t>
  </si>
  <si>
    <t>RES-20</t>
  </si>
  <si>
    <t>Modificación al Plan de Exploración</t>
  </si>
  <si>
    <t>PMT-RES-04</t>
  </si>
  <si>
    <t>CNH.E.58.002/2022</t>
  </si>
  <si>
    <t>PMT-RES-05</t>
  </si>
  <si>
    <t>RES-21</t>
  </si>
  <si>
    <t>CNH.E.58.004/2022</t>
  </si>
  <si>
    <t>PMT-RES-06</t>
  </si>
  <si>
    <t>RES-22</t>
  </si>
  <si>
    <t>PMT-RES-07</t>
  </si>
  <si>
    <t>CNH.E.58.005/2022</t>
  </si>
  <si>
    <t>RES-23</t>
  </si>
  <si>
    <t>PMT-RES-08</t>
  </si>
  <si>
    <t>CNH.E.87.003/2022</t>
  </si>
  <si>
    <t>PMT-RES-09</t>
  </si>
  <si>
    <t>RES-24</t>
  </si>
  <si>
    <t>CNH.E.87.004/2022</t>
  </si>
  <si>
    <t>PMT-RES-10</t>
  </si>
  <si>
    <t>RES-25</t>
  </si>
  <si>
    <t>Modificación al Programa de Trabajo 2023</t>
  </si>
  <si>
    <t>PMT-RES-11</t>
  </si>
  <si>
    <t>CNH.E.22.01/2023</t>
  </si>
  <si>
    <t>RES-26</t>
  </si>
  <si>
    <t>PMT-RES-12</t>
  </si>
  <si>
    <t>Modificación al Presupuesto 2023</t>
  </si>
  <si>
    <t>CNH.E.22.02/2023</t>
  </si>
  <si>
    <t>PMT-RES-13</t>
  </si>
  <si>
    <t>RES-27</t>
  </si>
  <si>
    <t>ID_PMT_Pozo</t>
  </si>
  <si>
    <t>CNH.E.22.001/19</t>
  </si>
  <si>
    <t>PMT-RES-14</t>
  </si>
  <si>
    <t>Profundidad_Metros</t>
  </si>
  <si>
    <t>Unidades_Trabajo</t>
  </si>
  <si>
    <t>Profundidad de perforación (mbnm)</t>
  </si>
  <si>
    <t>RES-28</t>
  </si>
  <si>
    <t>Tirante de agua (metros) 500-1000</t>
  </si>
  <si>
    <t>Tirante de agua (metros) &gt;1000-2000</t>
  </si>
  <si>
    <t>Plan de Exploración (Modificación)</t>
  </si>
  <si>
    <t>Tirante de agua (metros) &gt;2000</t>
  </si>
  <si>
    <t>PMT-POZ-01</t>
  </si>
  <si>
    <t>CNH.E.30.003/2022</t>
  </si>
  <si>
    <t>RES-29</t>
  </si>
  <si>
    <t>PMT-POZ-02</t>
  </si>
  <si>
    <t>CNH.37.02/2023</t>
  </si>
  <si>
    <t>RES-30</t>
  </si>
  <si>
    <t>PMT-POZ-03</t>
  </si>
  <si>
    <t>CNH.E.10.02/2024</t>
  </si>
  <si>
    <t>PMT-POZ-04</t>
  </si>
  <si>
    <t>PMT-POZ-05</t>
  </si>
  <si>
    <t>RES-31</t>
  </si>
  <si>
    <t>PMT-POZ-06</t>
  </si>
  <si>
    <t>PMT-POZ-07</t>
  </si>
  <si>
    <t>CNH.09.08/2024</t>
  </si>
  <si>
    <t>RES-32</t>
  </si>
  <si>
    <t>Cesión del control de las operaciones</t>
  </si>
  <si>
    <t>PMT-POZ-08</t>
  </si>
  <si>
    <t>CNH.E.23.04/2023</t>
  </si>
  <si>
    <t>RES-33</t>
  </si>
  <si>
    <t>PMT-POZ-09</t>
  </si>
  <si>
    <t>CNH.E.31.002/19</t>
  </si>
  <si>
    <t>PMT-POZ-10</t>
  </si>
  <si>
    <t>RES-34</t>
  </si>
  <si>
    <t>PMT-POZ-11</t>
  </si>
  <si>
    <t>PMT-POZ-12</t>
  </si>
  <si>
    <t>RES-35</t>
  </si>
  <si>
    <t>PMT-POZ-13</t>
  </si>
  <si>
    <t>CNH.E.20.04/2023</t>
  </si>
  <si>
    <t>PMT-POZ-14</t>
  </si>
  <si>
    <t>PMT-POZ-15</t>
  </si>
  <si>
    <t>RES-36</t>
  </si>
  <si>
    <t>PMT-POZ-16</t>
  </si>
  <si>
    <t>CNH.E.20.03/2023</t>
  </si>
  <si>
    <t>PMT-POZ-17</t>
  </si>
  <si>
    <t>PMT-POZ-18</t>
  </si>
  <si>
    <t>RES-37</t>
  </si>
  <si>
    <t>PMT-POZ-19</t>
  </si>
  <si>
    <t>CNH.E.94.003/2022</t>
  </si>
  <si>
    <t>PMT-POZ-20</t>
  </si>
  <si>
    <t>RES-38</t>
  </si>
  <si>
    <t>Programa de Trabajo 2022 (modificación)</t>
  </si>
  <si>
    <t>PMT-POZ-21</t>
  </si>
  <si>
    <t>CNH.E.94.002/2022</t>
  </si>
  <si>
    <t>PMT-POZ-22</t>
  </si>
  <si>
    <t>RES-39</t>
  </si>
  <si>
    <t>PMT-POZ-23</t>
  </si>
  <si>
    <t>CNH.E.76.001/2022</t>
  </si>
  <si>
    <t>PMT-POZ-24</t>
  </si>
  <si>
    <t>RES-40</t>
  </si>
  <si>
    <t>PMT-POZ-25</t>
  </si>
  <si>
    <t>Oficio 220.0732/2022</t>
  </si>
  <si>
    <t>PMT-POZ-26</t>
  </si>
  <si>
    <t>PMT-POZ-27</t>
  </si>
  <si>
    <t>RES-41</t>
  </si>
  <si>
    <t>PMT-POZ-28</t>
  </si>
  <si>
    <t>CNH.05.001/2022</t>
  </si>
  <si>
    <t>PMT-POZ-29</t>
  </si>
  <si>
    <t>PMT-POZ-30</t>
  </si>
  <si>
    <t>RES-42</t>
  </si>
  <si>
    <t>PMT-POZ-31</t>
  </si>
  <si>
    <t>CNH.E.25.004/2021</t>
  </si>
  <si>
    <t>PMT-POZ-32</t>
  </si>
  <si>
    <t>RES-43</t>
  </si>
  <si>
    <t>PMT-POZ-33</t>
  </si>
  <si>
    <t>CNH.E.25.003/2021</t>
  </si>
  <si>
    <t>PMT-POZ-34</t>
  </si>
  <si>
    <t>Más de 8,000</t>
  </si>
  <si>
    <t>RES-44</t>
  </si>
  <si>
    <t>PMT-POZ-35</t>
  </si>
  <si>
    <t>CNH.E.68.012/19</t>
  </si>
  <si>
    <t>PMT-POZ-36</t>
  </si>
  <si>
    <t>RES-45</t>
  </si>
  <si>
    <t>PMT-POZ-37</t>
  </si>
  <si>
    <t>CNH.E.68.011/19</t>
  </si>
  <si>
    <t>PMT-POZ-38</t>
  </si>
  <si>
    <t>PMT-POZ-39</t>
  </si>
  <si>
    <t>RES-46</t>
  </si>
  <si>
    <t>Presupuesto 2019</t>
  </si>
  <si>
    <t>PMT-POZ-40</t>
  </si>
  <si>
    <t>CNH.E.57.002/18</t>
  </si>
  <si>
    <t>PMT-POZ-41</t>
  </si>
  <si>
    <t>RES-47</t>
  </si>
  <si>
    <t>PMT-POZ-42</t>
  </si>
  <si>
    <t>Programa de Trabajo 2019</t>
  </si>
  <si>
    <t>CNH.E.57.001/18</t>
  </si>
  <si>
    <t>PMT-POZ-43</t>
  </si>
  <si>
    <t>PMT-POZ-44</t>
  </si>
  <si>
    <t>RES-48</t>
  </si>
  <si>
    <t>PMT-POZ-45</t>
  </si>
  <si>
    <t>CNH.E.56.002/18</t>
  </si>
  <si>
    <t>PMT-POZ-46</t>
  </si>
  <si>
    <t>RES-49</t>
  </si>
  <si>
    <t>PMT-POZ-47</t>
  </si>
  <si>
    <t>CNH.E.56.004/18</t>
  </si>
  <si>
    <t>PMT-POZ-48</t>
  </si>
  <si>
    <t>RES-50</t>
  </si>
  <si>
    <t>PMT-POZ-49</t>
  </si>
  <si>
    <t>CNH.E.56.003/18</t>
  </si>
  <si>
    <t>PMT-POZ-50</t>
  </si>
  <si>
    <t>RES-51</t>
  </si>
  <si>
    <t>Cesión del Control Coporativo y de Gestión</t>
  </si>
  <si>
    <t>PMT-POZ-51</t>
  </si>
  <si>
    <t>CNH.E.20.004/19</t>
  </si>
  <si>
    <t>RES-52</t>
  </si>
  <si>
    <t>PMT-POZ-52</t>
  </si>
  <si>
    <t>CNH.E.53.001/19</t>
  </si>
  <si>
    <t>PMT-POZ-53</t>
  </si>
  <si>
    <t>RES-53</t>
  </si>
  <si>
    <t>PMT-POZ-54</t>
  </si>
  <si>
    <t>CNH.E.53.003/19</t>
  </si>
  <si>
    <t>RES-54</t>
  </si>
  <si>
    <t>PMT-POZ-55</t>
  </si>
  <si>
    <t>CNH.E.53.002/19</t>
  </si>
  <si>
    <t>PMT-POZ-56</t>
  </si>
  <si>
    <t>RES-55</t>
  </si>
  <si>
    <t>PMT-POZ-57</t>
  </si>
  <si>
    <t>CNH.E.68.018/19</t>
  </si>
  <si>
    <t>RES-56</t>
  </si>
  <si>
    <t>PMT-POZ-58</t>
  </si>
  <si>
    <t>CNH.E.68.017/19</t>
  </si>
  <si>
    <t>PMT-POZ-59</t>
  </si>
  <si>
    <t>RES-57</t>
  </si>
  <si>
    <t>PMT-POZ-60</t>
  </si>
  <si>
    <t>CNH.E.67.006/2020</t>
  </si>
  <si>
    <t>RES-58</t>
  </si>
  <si>
    <t>PMT-POZ-61</t>
  </si>
  <si>
    <t>CNH.E.10.006/2021</t>
  </si>
  <si>
    <t>PMT-POZ-62</t>
  </si>
  <si>
    <t>RES-59</t>
  </si>
  <si>
    <t>PMT-POZ-63</t>
  </si>
  <si>
    <t>CNH.E.10.005/2021</t>
  </si>
  <si>
    <t>RES-60</t>
  </si>
  <si>
    <t>PMT-POZ-64</t>
  </si>
  <si>
    <t>CNH.E.58.003/2022</t>
  </si>
  <si>
    <t>PMT-POZ-65</t>
  </si>
  <si>
    <t>RES-61</t>
  </si>
  <si>
    <t>PMT-POZ-66</t>
  </si>
  <si>
    <t>CNH.E.58.007/2022</t>
  </si>
  <si>
    <t>RES-62</t>
  </si>
  <si>
    <t>PMT-POZ-67</t>
  </si>
  <si>
    <t>CNH.E.58.006/2022</t>
  </si>
  <si>
    <t>PMT-POZ-68</t>
  </si>
  <si>
    <t>RES-63</t>
  </si>
  <si>
    <t>PMT-POZ-69</t>
  </si>
  <si>
    <t>CNH.E.87.006/2022</t>
  </si>
  <si>
    <t>PMT-POZ-70</t>
  </si>
  <si>
    <t>RES-64</t>
  </si>
  <si>
    <t>CNH.E.87.005/2022</t>
  </si>
  <si>
    <t>PMT-POZ-71</t>
  </si>
  <si>
    <t>RES-65</t>
  </si>
  <si>
    <t>PMT-POZ-72</t>
  </si>
  <si>
    <t>CNH.30.04/2023</t>
  </si>
  <si>
    <t>PMT-POZ-73</t>
  </si>
  <si>
    <t>RES-66</t>
  </si>
  <si>
    <t>CNH.E.14.04/2023</t>
  </si>
  <si>
    <t>PMT-POZ-74</t>
  </si>
  <si>
    <t>RES-67</t>
  </si>
  <si>
    <t>Presupuesto 2023 (modificación)</t>
  </si>
  <si>
    <t>PMT-POZ-75</t>
  </si>
  <si>
    <t>CNH.E.22.04/2023</t>
  </si>
  <si>
    <t>PMT-POZ-76</t>
  </si>
  <si>
    <t>RES-68</t>
  </si>
  <si>
    <t>Programa de Trabajo 2023 (modificación)</t>
  </si>
  <si>
    <t>PMT-POZ-77</t>
  </si>
  <si>
    <t>NULL</t>
  </si>
  <si>
    <t>RES-69</t>
  </si>
  <si>
    <t>PMT-POZ-78</t>
  </si>
  <si>
    <t>CNH.39.05/2024</t>
  </si>
  <si>
    <t>RES-70</t>
  </si>
  <si>
    <t>PMT-POZ-79</t>
  </si>
  <si>
    <t>CNH.40.40/2024</t>
  </si>
  <si>
    <t>PMT-POZ-80</t>
  </si>
  <si>
    <t>RES-71</t>
  </si>
  <si>
    <t>PMT-POZ-81</t>
  </si>
  <si>
    <t>CNH.13.06/2023</t>
  </si>
  <si>
    <t>PMT-POZ-82</t>
  </si>
  <si>
    <t>RES-72</t>
  </si>
  <si>
    <t>PMT-POZ-83</t>
  </si>
  <si>
    <t>CNH.E.26.001/19</t>
  </si>
  <si>
    <t>RES-73</t>
  </si>
  <si>
    <t>PMT-POZ-84</t>
  </si>
  <si>
    <t>Conclusión del procedimiento de terminación anticipada por renuncia</t>
  </si>
  <si>
    <t>Más de 8000</t>
  </si>
  <si>
    <t>ID_PMT_Info</t>
  </si>
  <si>
    <t>CNH.17.02/2023</t>
  </si>
  <si>
    <t>PMT-POZ-85</t>
  </si>
  <si>
    <t>RES-74</t>
  </si>
  <si>
    <t>Actividad_Exploratoria</t>
  </si>
  <si>
    <t>Descripcion_Actividad</t>
  </si>
  <si>
    <t>Unidad_Medida</t>
  </si>
  <si>
    <t>PMT-POZ-86</t>
  </si>
  <si>
    <t>CNH.09.004/2022</t>
  </si>
  <si>
    <t>PMT-INF-01</t>
  </si>
  <si>
    <t>Información del Centro Nacional de Información de Hidrocarburos (CNIH)</t>
  </si>
  <si>
    <t>PMT-POZ-87</t>
  </si>
  <si>
    <t>Por el monto total de información adquirida al CNIH a partir de la Fecha Efectiva, relacionada con zonas marinas.</t>
  </si>
  <si>
    <t>Por cada mil dólares ($EUA)</t>
  </si>
  <si>
    <t>RES-75</t>
  </si>
  <si>
    <t>PMT-POZ-88</t>
  </si>
  <si>
    <t>CNH.E.62.001/18</t>
  </si>
  <si>
    <t>PMT-INF-02</t>
  </si>
  <si>
    <t>Reproceso e interpretación de información sísmica 3D existente</t>
  </si>
  <si>
    <t>Reproceso e interpretación contará según cubrimiento superficial</t>
  </si>
  <si>
    <t>RES-76</t>
  </si>
  <si>
    <t>Km²</t>
  </si>
  <si>
    <t>PMT-POZ-89</t>
  </si>
  <si>
    <t>PMT-INF-03</t>
  </si>
  <si>
    <t>CNH.E.12.001/18</t>
  </si>
  <si>
    <t>Adquisición y procesado de sísmica 3D NAz</t>
  </si>
  <si>
    <t>La adquisición realizada contará según el cubrimiento superficial.</t>
  </si>
  <si>
    <t>PMT-POZ-90</t>
  </si>
  <si>
    <t>RES-77</t>
  </si>
  <si>
    <t>sto</t>
  </si>
  <si>
    <t>PMT-INF-04</t>
  </si>
  <si>
    <t>Adquisición y procesado de sísmica 3D WAz</t>
  </si>
  <si>
    <t>PMT-POZ-91</t>
  </si>
  <si>
    <t>CNH.15.04/2024</t>
  </si>
  <si>
    <t>PMT-INF-05</t>
  </si>
  <si>
    <t>RES-78</t>
  </si>
  <si>
    <t>PMT-POZ-92</t>
  </si>
  <si>
    <t>Adquisición y procesado de sísmica 2D</t>
  </si>
  <si>
    <t>La adquisición realizada contará según el cubrimiento lineal.</t>
  </si>
  <si>
    <t>Programa de Trabajo</t>
  </si>
  <si>
    <t>Km</t>
  </si>
  <si>
    <t>CNH.15.03/2024</t>
  </si>
  <si>
    <t>PMT-INF-06</t>
  </si>
  <si>
    <t>PMT-POZ-93</t>
  </si>
  <si>
    <t>Reproceso de sísmica 2D existente</t>
  </si>
  <si>
    <t>El reproceso realizado contará según el cubrimiento lineal</t>
  </si>
  <si>
    <t>RES-79</t>
  </si>
  <si>
    <t>Programa de Trabajo y Presupuesto 2024 (modificación)</t>
  </si>
  <si>
    <t>PMT-POZ-94</t>
  </si>
  <si>
    <t>PMT-INF-07</t>
  </si>
  <si>
    <t>CNH.15.02/2024</t>
  </si>
  <si>
    <t>Interpretación sísmica</t>
  </si>
  <si>
    <t>Incluyendo al menos interpretación y generación de configuraciones estructurales de los principales intervalos estratigráficos de interés. Cubrimiento de la totalidad de la superficie con cobertura sísmica del área contractual.</t>
  </si>
  <si>
    <t>Por área contractual</t>
  </si>
  <si>
    <t>RES-80</t>
  </si>
  <si>
    <t>PMT-POZ-95</t>
  </si>
  <si>
    <t>PMT-INF-08</t>
  </si>
  <si>
    <t>CNH.11.03/2024</t>
  </si>
  <si>
    <t>PMT-POZ-96</t>
  </si>
  <si>
    <t>RES-81</t>
  </si>
  <si>
    <t>PMT-INF-09</t>
  </si>
  <si>
    <t>PMT-POZ-97</t>
  </si>
  <si>
    <t>Reproceso e interpretación contará según cubrimiento superficial.</t>
  </si>
  <si>
    <t>CNH.11.02/2024</t>
  </si>
  <si>
    <t>PMT-INF-10</t>
  </si>
  <si>
    <t>PMT-POZ-98</t>
  </si>
  <si>
    <t>RES-82</t>
  </si>
  <si>
    <t>Programa de Evaluación</t>
  </si>
  <si>
    <t>PMT-POZ-99</t>
  </si>
  <si>
    <t>PMT-INF-11</t>
  </si>
  <si>
    <t>CNH.11.01/2024</t>
  </si>
  <si>
    <t>RES-83</t>
  </si>
  <si>
    <t>PMT-POZ-100</t>
  </si>
  <si>
    <t>PMT-INF-12</t>
  </si>
  <si>
    <t>CNH.E.29.01/2023</t>
  </si>
  <si>
    <t>PMT-POZ-101</t>
  </si>
  <si>
    <t>&gt;8000</t>
  </si>
  <si>
    <t>RES-84</t>
  </si>
  <si>
    <t>PMT-INF-13</t>
  </si>
  <si>
    <t>El reproceso realizado contará según el cubrimiento lineal.</t>
  </si>
  <si>
    <t>PMT-POZ-102</t>
  </si>
  <si>
    <t>CNH.38.05/2023</t>
  </si>
  <si>
    <t>PMT-INF-14</t>
  </si>
  <si>
    <t>PMT-POZ-103</t>
  </si>
  <si>
    <t>RES-85</t>
  </si>
  <si>
    <t>Autorización Perforación Pozo Binak</t>
  </si>
  <si>
    <t>PMT-INF-15</t>
  </si>
  <si>
    <t>PMT-POZ-104</t>
  </si>
  <si>
    <t>RES-86</t>
  </si>
  <si>
    <t>PMT-POZ-105</t>
  </si>
  <si>
    <t>PMT-INF-16</t>
  </si>
  <si>
    <t>CNH.E.88.007/2022</t>
  </si>
  <si>
    <t>Adquisición y procesado de sísmica 3D NAZ</t>
  </si>
  <si>
    <t>PMT-POZ-106</t>
  </si>
  <si>
    <t>RES-87</t>
  </si>
  <si>
    <t>PMT-INF-17</t>
  </si>
  <si>
    <t>Adquisición y procesado de sísmica 3D WAZ</t>
  </si>
  <si>
    <t>CNH.E.88.006/2022</t>
  </si>
  <si>
    <t>PMT-POZ-107</t>
  </si>
  <si>
    <t>PMT-INF-18</t>
  </si>
  <si>
    <t>RES-88</t>
  </si>
  <si>
    <t>Adquisición y proceso de sísmica 3D Full Azimut</t>
  </si>
  <si>
    <t>Pozo Xale-1EXP</t>
  </si>
  <si>
    <t>PMT-POZ-108</t>
  </si>
  <si>
    <t>CNH.07.002/2022</t>
  </si>
  <si>
    <t>PMT-INF-19</t>
  </si>
  <si>
    <t>Reproceso de sísmica 3D NAZ</t>
  </si>
  <si>
    <t>PMT-POZ-109</t>
  </si>
  <si>
    <t>RES-89</t>
  </si>
  <si>
    <t>PMT-INF-20</t>
  </si>
  <si>
    <t>PMT-POZ-110</t>
  </si>
  <si>
    <t>CNH.E.46.004/2022</t>
  </si>
  <si>
    <t>Reproceso de sísmica 3D WAZ</t>
  </si>
  <si>
    <t>RES-90</t>
  </si>
  <si>
    <t>PMT-POZ-111</t>
  </si>
  <si>
    <t>PMT-INF-21</t>
  </si>
  <si>
    <t>CNH.E.46.003/2022</t>
  </si>
  <si>
    <t>PMT-POZ-112</t>
  </si>
  <si>
    <t>PMT-INF-22</t>
  </si>
  <si>
    <t>RES-91</t>
  </si>
  <si>
    <t>PMT-POZ-113</t>
  </si>
  <si>
    <t>PMT-INF-23</t>
  </si>
  <si>
    <t>CNH.E.30.004/2022</t>
  </si>
  <si>
    <t>PMT-POZ-114</t>
  </si>
  <si>
    <t>RES-92</t>
  </si>
  <si>
    <t>PMT-INF-24</t>
  </si>
  <si>
    <t>Evaluación de Recursos Prospectivos</t>
  </si>
  <si>
    <t>Evaluación de plays y prospectivos</t>
  </si>
  <si>
    <t>CNH.E.22.006/2021</t>
  </si>
  <si>
    <t>PMT-POZ-115</t>
  </si>
  <si>
    <t>RES-93</t>
  </si>
  <si>
    <t>PMT-INF-25</t>
  </si>
  <si>
    <t>PMT-POZ-116</t>
  </si>
  <si>
    <t>CNH.E.22.005/2021</t>
  </si>
  <si>
    <t>PMT-INF-26</t>
  </si>
  <si>
    <t>RES-94</t>
  </si>
  <si>
    <t>PMT-POZ-117</t>
  </si>
  <si>
    <t>CNH.E.69.004/19</t>
  </si>
  <si>
    <t>PMT-INF-27</t>
  </si>
  <si>
    <t>PMT-POZ-118</t>
  </si>
  <si>
    <t>RES-95</t>
  </si>
  <si>
    <t>PMT-POZ-119</t>
  </si>
  <si>
    <t>PMT-INF-28</t>
  </si>
  <si>
    <t>CNH.E.69.003/19</t>
  </si>
  <si>
    <t>RES-96</t>
  </si>
  <si>
    <t>PMT-POZ-120</t>
  </si>
  <si>
    <t>PMT-INF-29</t>
  </si>
  <si>
    <t>CNH.E.56.005/19</t>
  </si>
  <si>
    <t>PMT-POZ-121</t>
  </si>
  <si>
    <t>RES-97</t>
  </si>
  <si>
    <t>PMT-INF-30</t>
  </si>
  <si>
    <t>CNH.E.56.007/19</t>
  </si>
  <si>
    <t>PMT-POZ-122</t>
  </si>
  <si>
    <t>RES-98</t>
  </si>
  <si>
    <t>PMT-INF-31</t>
  </si>
  <si>
    <t>PMT-POZ-123</t>
  </si>
  <si>
    <t>CNH.E.56.006/19</t>
  </si>
  <si>
    <t>RES-99</t>
  </si>
  <si>
    <t>PMT-INF-32</t>
  </si>
  <si>
    <t>PMT-POZ-124</t>
  </si>
  <si>
    <t>CNH.E.03.04/2024</t>
  </si>
  <si>
    <t>PMT-POZ-125</t>
  </si>
  <si>
    <t>PMT-INF-33</t>
  </si>
  <si>
    <t>RES-100</t>
  </si>
  <si>
    <t>PMT-POZ-126</t>
  </si>
  <si>
    <t>RES-101</t>
  </si>
  <si>
    <t>PMT-INF-34</t>
  </si>
  <si>
    <t>PMT-POZ-127</t>
  </si>
  <si>
    <t>Resolucion CNH.E.03.03/2024</t>
  </si>
  <si>
    <t>RES-102</t>
  </si>
  <si>
    <t>PMT-INF-35</t>
  </si>
  <si>
    <t>PMT-POZ-128</t>
  </si>
  <si>
    <t>Información del Centro Nacional de Información</t>
  </si>
  <si>
    <t>Por el monto total de información utilizada</t>
  </si>
  <si>
    <t>CNH.E.28.03/2023</t>
  </si>
  <si>
    <t>RES-103</t>
  </si>
  <si>
    <t>PMT-POZ-129</t>
  </si>
  <si>
    <t>PMT-INF-36</t>
  </si>
  <si>
    <t>Reproceso e interpretación de información</t>
  </si>
  <si>
    <t>Reproceso e interpretación con información existente</t>
  </si>
  <si>
    <t>CNH.E.28.05/2023</t>
  </si>
  <si>
    <t>PMT-POZ-130</t>
  </si>
  <si>
    <t>PMT-INF-37</t>
  </si>
  <si>
    <t>RES-104</t>
  </si>
  <si>
    <t>Adquisición y procesado de sísmica 3D N</t>
  </si>
  <si>
    <t>La adquisición realizada contará</t>
  </si>
  <si>
    <t>PMT-POZ-131</t>
  </si>
  <si>
    <t>CNH.E.28.07/2023</t>
  </si>
  <si>
    <t>PMT-INF-38</t>
  </si>
  <si>
    <t>RES-105</t>
  </si>
  <si>
    <t>PMT-POZ-132</t>
  </si>
  <si>
    <t>Adquisición y procesado de sísmica 3D W</t>
  </si>
  <si>
    <t>CNH.E.28.04/2023</t>
  </si>
  <si>
    <t>PMT-POZ-133</t>
  </si>
  <si>
    <t>PMT-INF-39</t>
  </si>
  <si>
    <t>RES-106</t>
  </si>
  <si>
    <t>PMT-POZ-134</t>
  </si>
  <si>
    <t>CNH.E.28.06/2023</t>
  </si>
  <si>
    <t>PMT-INF-40</t>
  </si>
  <si>
    <t>El reproceso realizado contará</t>
  </si>
  <si>
    <t>RES-107</t>
  </si>
  <si>
    <t>PMT-POZ-135</t>
  </si>
  <si>
    <t>PMT-INF-41</t>
  </si>
  <si>
    <t>CNH.30.02/2023</t>
  </si>
  <si>
    <t>Incluyendo al menos interpretación por área contractual</t>
  </si>
  <si>
    <t>PMT-POZ-136</t>
  </si>
  <si>
    <t>RES-108</t>
  </si>
  <si>
    <t>Pozo Amistli-1EXP</t>
  </si>
  <si>
    <t>PMT-INF-42</t>
  </si>
  <si>
    <t>PMT-POZ-137</t>
  </si>
  <si>
    <t>CNH.E.88.010/2022</t>
  </si>
  <si>
    <t>PMT-POZ-138</t>
  </si>
  <si>
    <t>PMT-INF-43</t>
  </si>
  <si>
    <t>RES-109</t>
  </si>
  <si>
    <t>Reproceso de información sísmica 3D existente</t>
  </si>
  <si>
    <t>Reproceso contará según cubrimiento superficial.</t>
  </si>
  <si>
    <t>PMT-POZ-139</t>
  </si>
  <si>
    <t>CNH.E.74.002/2022</t>
  </si>
  <si>
    <t>PMT-INF-44</t>
  </si>
  <si>
    <t>RES-110</t>
  </si>
  <si>
    <t>PMT-POZ-140</t>
  </si>
  <si>
    <t>CNH.E.74.001/2022</t>
  </si>
  <si>
    <t>PMT-INF-45</t>
  </si>
  <si>
    <t>PMT-POZ-141</t>
  </si>
  <si>
    <t>RES-111</t>
  </si>
  <si>
    <t>PMT-INF-46</t>
  </si>
  <si>
    <t>PMT-POZ-142</t>
  </si>
  <si>
    <t>CNH.E.18.002/2022</t>
  </si>
  <si>
    <t>RES-112</t>
  </si>
  <si>
    <t>PMT-INF-47</t>
  </si>
  <si>
    <t>PMT-POZ-143</t>
  </si>
  <si>
    <t>CNH.E.18.001/2022</t>
  </si>
  <si>
    <t>RES-113</t>
  </si>
  <si>
    <t>PMT-POZ-144</t>
  </si>
  <si>
    <t>PMT-INF-48</t>
  </si>
  <si>
    <t>CNH.E.26.006/2021</t>
  </si>
  <si>
    <t>PMT-POZ-145</t>
  </si>
  <si>
    <t>RES-114</t>
  </si>
  <si>
    <t>PMT-INF-49</t>
  </si>
  <si>
    <t>PMT-POZ-146</t>
  </si>
  <si>
    <t>CNH.E.26.005/2021</t>
  </si>
  <si>
    <t>PMT-INF-50</t>
  </si>
  <si>
    <t>RES-115</t>
  </si>
  <si>
    <t>PMT-POZ-147</t>
  </si>
  <si>
    <t>CNH.E.67.003/2020</t>
  </si>
  <si>
    <t>PMT-INF-51</t>
  </si>
  <si>
    <t>PMT-POZ-148</t>
  </si>
  <si>
    <t>RES-116</t>
  </si>
  <si>
    <t>PMT-INF-52</t>
  </si>
  <si>
    <t>CNH.E.68.020/19</t>
  </si>
  <si>
    <t>PMT-POZ-149</t>
  </si>
  <si>
    <t>RES-117</t>
  </si>
  <si>
    <t>PMT-INF-53</t>
  </si>
  <si>
    <t>PMT-POZ-150</t>
  </si>
  <si>
    <t>CNH.E.68.019/19</t>
  </si>
  <si>
    <t>PMT-POZ-151</t>
  </si>
  <si>
    <t>PMT-INF-54</t>
  </si>
  <si>
    <t>RES-118</t>
  </si>
  <si>
    <t>PMT-POZ-152</t>
  </si>
  <si>
    <t>CNH.E.20.002/19</t>
  </si>
  <si>
    <t>PMT-INF-55</t>
  </si>
  <si>
    <t>RES-119</t>
  </si>
  <si>
    <t>PMT-POZ-153</t>
  </si>
  <si>
    <t>PMT-INF-56</t>
  </si>
  <si>
    <t>CNH.E.58.001/18</t>
  </si>
  <si>
    <t>RES-120</t>
  </si>
  <si>
    <t>PMT-POZ-154</t>
  </si>
  <si>
    <t>PMT-INF-57</t>
  </si>
  <si>
    <t>CNH.E.58.005/18</t>
  </si>
  <si>
    <t>PMT-POZ-155</t>
  </si>
  <si>
    <t>RES-121</t>
  </si>
  <si>
    <t>PMT-INF-58</t>
  </si>
  <si>
    <t>PMT-POZ-156</t>
  </si>
  <si>
    <t>CNH.E.58.003/18</t>
  </si>
  <si>
    <t>PMT-POZ-157</t>
  </si>
  <si>
    <t>RES-122</t>
  </si>
  <si>
    <t>PMT-INF-59</t>
  </si>
  <si>
    <t>CNH.E.58.002/18</t>
  </si>
  <si>
    <t>PMT-POZ-158</t>
  </si>
  <si>
    <t>PMT-INF-60</t>
  </si>
  <si>
    <t>RES-123</t>
  </si>
  <si>
    <t>PMT-POZ-159</t>
  </si>
  <si>
    <t>PMT-INF-61</t>
  </si>
  <si>
    <t>CNH.E.58.004/18</t>
  </si>
  <si>
    <t>PMT-POZ-160</t>
  </si>
  <si>
    <t>RES-124</t>
  </si>
  <si>
    <t>PMT-INF-62</t>
  </si>
  <si>
    <t>PMT-POZ-161</t>
  </si>
  <si>
    <t>PMT-INF-63</t>
  </si>
  <si>
    <t>PMT-POZ-162</t>
  </si>
  <si>
    <t>PMT-POZ-163</t>
  </si>
  <si>
    <t>PMT-INF-64</t>
  </si>
  <si>
    <t>RES-125</t>
  </si>
  <si>
    <t>Conclusión del procedimiento de terminación</t>
  </si>
  <si>
    <t>PMT-POZ-164</t>
  </si>
  <si>
    <t>PMT-INF-65</t>
  </si>
  <si>
    <t>PMT-POZ-165</t>
  </si>
  <si>
    <t>RES-126</t>
  </si>
  <si>
    <t>PMT-INF-66</t>
  </si>
  <si>
    <t>PMT-POZ-166</t>
  </si>
  <si>
    <t>PMT-INF-67</t>
  </si>
  <si>
    <t>RES-127</t>
  </si>
  <si>
    <t>Reproceso de información sísmica 3D NAz existente</t>
  </si>
  <si>
    <t>PMT-POZ-167</t>
  </si>
  <si>
    <t>PMT-POZ-168</t>
  </si>
  <si>
    <t>PMT-INF-68</t>
  </si>
  <si>
    <t>RES-128</t>
  </si>
  <si>
    <t>Reproceso de información sísmica 3D WAz existente</t>
  </si>
  <si>
    <t>PMT-POZ-169</t>
  </si>
  <si>
    <t>PMT-INF-69</t>
  </si>
  <si>
    <t>RES-129</t>
  </si>
  <si>
    <t>Adquisición y proceso de sísmica 3D NAz</t>
  </si>
  <si>
    <t>PMT-POZ-170</t>
  </si>
  <si>
    <t>PMT-INF-70</t>
  </si>
  <si>
    <t>PMT-POZ-171</t>
  </si>
  <si>
    <t>RES-130</t>
  </si>
  <si>
    <t>Adquisición, proceso de sísmica 3D Waz</t>
  </si>
  <si>
    <t>PMT-POZ-172</t>
  </si>
  <si>
    <t>RES-131</t>
  </si>
  <si>
    <t>PMT-INF-71</t>
  </si>
  <si>
    <t>PMT-POZ-173</t>
  </si>
  <si>
    <t>Para acreditar las unidades de trabajo correspondientes, el estudio deberá incluir al menos interpretación y generación de configuraciones estructurales de los principales intervalos estratigráficos de interés (piso marino, cima y base de sal alóctona, Mioceno, Eoceno, Oligoceno, Cretácico). Cubrimiento de la totalidad de la superficie con cobertura sísmica del área contractual.</t>
  </si>
  <si>
    <t>RES-132</t>
  </si>
  <si>
    <t>PMT-POZ-174</t>
  </si>
  <si>
    <t>PMT-INF-72</t>
  </si>
  <si>
    <t>Adquisición y proceso de información electromagnética</t>
  </si>
  <si>
    <t>PMT-POZ-175</t>
  </si>
  <si>
    <t>PMT-INF-73</t>
  </si>
  <si>
    <t>RES-133</t>
  </si>
  <si>
    <t>Reproceso de información electromagnética</t>
  </si>
  <si>
    <t>PMT-INF-74</t>
  </si>
  <si>
    <t>Generación de atributos sísmicos AVO e Inversión sísmica</t>
  </si>
  <si>
    <t>RES-134</t>
  </si>
  <si>
    <t>Para acreditar las unidades de trabajo correspondientes, el estudio deberá incluir al menos inversiónsísmica donde existe cobertura con la calidad necesaria; preferentemente inversión preapilado. Cubrimiento de la totalidad de la superficie con cobertura sísmica del área contractual.</t>
  </si>
  <si>
    <t>CNH.E.57.004/19</t>
  </si>
  <si>
    <t>PMT-INF-75</t>
  </si>
  <si>
    <t>Sismogramas sintéticos</t>
  </si>
  <si>
    <t>RES-135</t>
  </si>
  <si>
    <t>PMT-POZ-176</t>
  </si>
  <si>
    <t>Obtención de sismogramas sintéticos a partir de la información de pozos disponibles. Para acreditar las unidades de trabajo correspondientes, el estudio deberá incluir todos los puntos siguientes: 1) edición de registros para generación de sintéticos; 2) generación de pseudo registros sónicos y de densidad en caso de no existir datos reales de pozo; 3) generación de sintéticos para todos los pozos disponibles utilizados para la calibración sísmica; 4) determinación de polaridad y fase de cada survey; y 5) determinación de frecuencias y ajuste de espesores en intervalos de interés.</t>
  </si>
  <si>
    <t>RES-136</t>
  </si>
  <si>
    <t>PMT-INF-76</t>
  </si>
  <si>
    <t>PMT-POZ-177</t>
  </si>
  <si>
    <t>Modelos de física de rocas</t>
  </si>
  <si>
    <t>Construcción de modelos de propiedades petrofísicas de posibles rocas almacenadoras. Para acreditar las unidades de trabajo correspondientes, el estudio deberá incluir todos los puntos siguientes: 1) sustitución de fluidos para determinar su efecto en posibles intervalos almacenadores (salmuera, aceite, gas); 2) estimación de respuestas teóricas con atributos AVO para rocas saturadas con salmuera, aceite y gas; generación de gathers sintéticos; y 3) determinación de la clase AVO para la detección de hidrocarburos a partir de los resultados del modelado.</t>
  </si>
  <si>
    <t>RES-137</t>
  </si>
  <si>
    <t>PMT-INF-77</t>
  </si>
  <si>
    <t>Modelo de velocidades</t>
  </si>
  <si>
    <t>Generación de un modelo de velocidades para el área contractual, incorporando datos de pozo y de velocidades en la conversión tiempo-profundidad. Volumen de velocidad para la totalidad de la superficie del área contractual con cobertura sísmica 3D.</t>
  </si>
  <si>
    <t>PMT-POZ-178</t>
  </si>
  <si>
    <t>RES-138</t>
  </si>
  <si>
    <t>PMT-INF-78</t>
  </si>
  <si>
    <t>Estudios geológicos regionales</t>
  </si>
  <si>
    <t>RES-139</t>
  </si>
  <si>
    <t>PMT-POZ-179</t>
  </si>
  <si>
    <t>Para acreditar las unidades de trabajo correspondientes, el estudio deberá incluir todos los puntos siguientes: 1) estudios integrados de análisis de cuencas (historia de subsidencia, maduración térmica, interpretación sismo-estratigráfica, etc.); y 2) Secciones regionales de correlación.</t>
  </si>
  <si>
    <t>RES-140</t>
  </si>
  <si>
    <t>PMT-POZ-180</t>
  </si>
  <si>
    <t>Plan de exploración</t>
  </si>
  <si>
    <t>PMT-INF-79</t>
  </si>
  <si>
    <t>CNH.E.57.001/19</t>
  </si>
  <si>
    <t>Evaluación de plays y prospectos. Para acreditar las unidades de trabajo correspondientes, el estudio deberá incluir todos los puntos siguientes: 1) identificación y jerarquización de prospectos; 2) análisis probabilístico, Pg y estimación de recursos con análisis económico; y 3) Reporte de la estimación de recursos prospectivos en el área contractual (incluyendo el proceso de evaluación y los posibles leads exploratorios identificados como no comerciales.</t>
  </si>
  <si>
    <t>RES-141</t>
  </si>
  <si>
    <t>Primer presupuesto</t>
  </si>
  <si>
    <t>PMT-POZ-181</t>
  </si>
  <si>
    <t>CNH.E.57.003/19</t>
  </si>
  <si>
    <t>PMT-INF-80</t>
  </si>
  <si>
    <t>RES-142</t>
  </si>
  <si>
    <t>Primer programa de trabajo</t>
  </si>
  <si>
    <t>CNH.E.57.002/19</t>
  </si>
  <si>
    <t>PMT-POZ-182</t>
  </si>
  <si>
    <t>PMT-INF-81</t>
  </si>
  <si>
    <t>RES-143</t>
  </si>
  <si>
    <t>CNH.E.64.011/19</t>
  </si>
  <si>
    <t>RES-144</t>
  </si>
  <si>
    <t>PMT-INF-82</t>
  </si>
  <si>
    <t>Programa de trabajo 2020</t>
  </si>
  <si>
    <t>PMT-POZ-183</t>
  </si>
  <si>
    <t>CNH.E.64.010/19</t>
  </si>
  <si>
    <t>RES-145</t>
  </si>
  <si>
    <t>PMT-INF-83</t>
  </si>
  <si>
    <t>PMT-POZ-184</t>
  </si>
  <si>
    <t>CNH.E.16.004/2021</t>
  </si>
  <si>
    <t>RES-146</t>
  </si>
  <si>
    <t>PMT-POZ-185</t>
  </si>
  <si>
    <t>CNH.E.16.003/2021</t>
  </si>
  <si>
    <t>PMT-INF-84</t>
  </si>
  <si>
    <t>RES-147</t>
  </si>
  <si>
    <t>PMT-POZ-186</t>
  </si>
  <si>
    <t>CNH.E.16.002/2022</t>
  </si>
  <si>
    <t>PMT-INF-85</t>
  </si>
  <si>
    <t>RES-148</t>
  </si>
  <si>
    <t>CNH.E.16.001/2022</t>
  </si>
  <si>
    <t>PMT-POZ-187</t>
  </si>
  <si>
    <t>RES-149</t>
  </si>
  <si>
    <t>PMT-INF-86</t>
  </si>
  <si>
    <t>CNH.E.80.008/2022</t>
  </si>
  <si>
    <t>PMT-POZ-188</t>
  </si>
  <si>
    <t>RES-150</t>
  </si>
  <si>
    <t>PMT-INF-87</t>
  </si>
  <si>
    <t>CNH.E.80.007/2022</t>
  </si>
  <si>
    <t>RES-151</t>
  </si>
  <si>
    <t>PMT-POZ-189</t>
  </si>
  <si>
    <t>CNH.E.15.07/2023</t>
  </si>
  <si>
    <t>PMT-INF-88</t>
  </si>
  <si>
    <t>RES-152</t>
  </si>
  <si>
    <t>PMT-POZ-190</t>
  </si>
  <si>
    <t>CNH.E.10.13/2023</t>
  </si>
  <si>
    <t>RES-153</t>
  </si>
  <si>
    <t>PMT-INF-89</t>
  </si>
  <si>
    <t>CNH.E.41.010/19</t>
  </si>
  <si>
    <t>PMT-POZ-191</t>
  </si>
  <si>
    <t xml:space="preserve">  </t>
  </si>
  <si>
    <t>PMT-INF-90</t>
  </si>
  <si>
    <t>PMT-POZ-192</t>
  </si>
  <si>
    <t>PMT-INF-91</t>
  </si>
  <si>
    <t>PMT-POZ-193</t>
  </si>
  <si>
    <t>PMT-INF-92</t>
  </si>
  <si>
    <t>PMT-POZ-194</t>
  </si>
  <si>
    <t>PMT-INF-93</t>
  </si>
  <si>
    <t>PMT-POZ-195</t>
  </si>
  <si>
    <t>PMT-INF-94</t>
  </si>
  <si>
    <t>PMT-POZ-196</t>
  </si>
  <si>
    <t>&gt; 8,000.00</t>
  </si>
  <si>
    <t>PMT-INF-95</t>
  </si>
  <si>
    <t>PMT-POZ-197</t>
  </si>
  <si>
    <t>PMT-INF-96</t>
  </si>
  <si>
    <t>PMT-POZ-198</t>
  </si>
  <si>
    <t>PMT-POZ-199</t>
  </si>
  <si>
    <t>PMT-INF-97</t>
  </si>
  <si>
    <t>PMT-POZ-200</t>
  </si>
  <si>
    <t>PMT-INF-98</t>
  </si>
  <si>
    <t>PMT-POZ-201</t>
  </si>
  <si>
    <t>PMT-POZ-202</t>
  </si>
  <si>
    <t>PMT-INF-99</t>
  </si>
  <si>
    <t>PMT-POZ-203</t>
  </si>
  <si>
    <t>PMT-INF-100</t>
  </si>
  <si>
    <t>PMT-POZ-204</t>
  </si>
  <si>
    <t>PMT-INF-101</t>
  </si>
  <si>
    <t>Por el monto total de información adquirida del CNIH hasta la fecha de entrada en vigor, en relación con las zonas marítimas.</t>
  </si>
  <si>
    <t>Por cada mil dólares (USD)</t>
  </si>
  <si>
    <t>PMT-POZ-205</t>
  </si>
  <si>
    <t>PMT-INF-102</t>
  </si>
  <si>
    <t>Reprocesamiento e interpretación de sísmica 3D existente</t>
  </si>
  <si>
    <t>El reprocesamiento y la interpretación se contabilizarán según el recubrimiento de la superficie.</t>
  </si>
  <si>
    <t>PMT-POZ-206</t>
  </si>
  <si>
    <t>PMT-INF-103</t>
  </si>
  <si>
    <t>Adquisición y procesamiento sísmico 3D NAz</t>
  </si>
  <si>
    <t>La adquisición realizada se contabilizará según el recubrimiento de la superficie.</t>
  </si>
  <si>
    <t>PMT-INF-104</t>
  </si>
  <si>
    <t>PMT-POZ-207</t>
  </si>
  <si>
    <t>Adquisición y procesamiento sísmico 3D WAz</t>
  </si>
  <si>
    <t>PMT-INF-105</t>
  </si>
  <si>
    <t>PMT-POZ-208</t>
  </si>
  <si>
    <t>Adquisición y procesamiento sísmico 2D</t>
  </si>
  <si>
    <t>La adquisición realizada se contabilizará según el recubrimiento lineal.</t>
  </si>
  <si>
    <t>PMT-INF-106</t>
  </si>
  <si>
    <t>Reprocesamiento de datos sísmicos 2D existentes</t>
  </si>
  <si>
    <t>PMT-POZ-209</t>
  </si>
  <si>
    <t>El procesamiento realizado se contabilizará según el recubrimiento lineal.</t>
  </si>
  <si>
    <t>PMT-INF-107</t>
  </si>
  <si>
    <t>PMT-POZ-210</t>
  </si>
  <si>
    <t>Incluye, como mínimo, la interpretación y generación de configuraciones estructurales de los principales intervalos estratigráficos de interés. Recubrimiento de la totalidad de la superficie del área contractual con cobertura sísmica.</t>
  </si>
  <si>
    <t>PMT-POZ-211</t>
  </si>
  <si>
    <t>PMT-INF-108</t>
  </si>
  <si>
    <t>PMT-POZ-212</t>
  </si>
  <si>
    <t>PMT-INF-109</t>
  </si>
  <si>
    <t>PMT-POZ-213</t>
  </si>
  <si>
    <t>PMT-INF-110</t>
  </si>
  <si>
    <t>PMT-INF-111</t>
  </si>
  <si>
    <t>PMT-POZ-214</t>
  </si>
  <si>
    <t>PMT-INF-112</t>
  </si>
  <si>
    <t>PMT-POZ-215</t>
  </si>
  <si>
    <t>PMT-POZ-216</t>
  </si>
  <si>
    <t>PMT-INF-113</t>
  </si>
  <si>
    <t>PMT-POZ-217</t>
  </si>
  <si>
    <t>PMT-INF-114</t>
  </si>
  <si>
    <t>PMT-POZ-218</t>
  </si>
  <si>
    <t>PMT-INF-115</t>
  </si>
  <si>
    <t>PMT-POZ-219</t>
  </si>
  <si>
    <t>PMT-POZ-220</t>
  </si>
  <si>
    <t>PMT-INF-116</t>
  </si>
  <si>
    <t>PMT-POZ-221</t>
  </si>
  <si>
    <t>PMT-INF-117</t>
  </si>
  <si>
    <t>PMT-POZ-222</t>
  </si>
  <si>
    <t>PMT-POZ-223</t>
  </si>
  <si>
    <t>PMT-POZ-224</t>
  </si>
  <si>
    <t>PMT-POZ-225</t>
  </si>
  <si>
    <t>PMT-POZ-226</t>
  </si>
  <si>
    <t>PMT-POZ-227</t>
  </si>
  <si>
    <t>PMT-POZ-228</t>
  </si>
  <si>
    <t>PMT-POZ-229</t>
  </si>
  <si>
    <t>ID_PMT_Estudio</t>
  </si>
  <si>
    <t>PMT-POZ-230</t>
  </si>
  <si>
    <t>&gt; 8000</t>
  </si>
  <si>
    <t>Estudios exploratorios</t>
  </si>
  <si>
    <t>PMT-POZ-231</t>
  </si>
  <si>
    <t>PMT-EST-01</t>
  </si>
  <si>
    <t>Registros geofísicos de pozos</t>
  </si>
  <si>
    <t>Litológicos-correlación (SP, GR, PEF).</t>
  </si>
  <si>
    <t>Por metro de registro</t>
  </si>
  <si>
    <t>PMT-POZ-232</t>
  </si>
  <si>
    <t>PMT-EST-02</t>
  </si>
  <si>
    <t>Resistividad (inducción, onda electromagnética).</t>
  </si>
  <si>
    <t>PMT-EST-03</t>
  </si>
  <si>
    <t>Porosidad (densidad, neutrón).</t>
  </si>
  <si>
    <t>PMT-POZ-233</t>
  </si>
  <si>
    <t>PMT-EST-04</t>
  </si>
  <si>
    <t>Propiedades físicas de las rocas (sónico dipolar).</t>
  </si>
  <si>
    <t>PMT-POZ-234</t>
  </si>
  <si>
    <t>PMT-EST-05</t>
  </si>
  <si>
    <t>Registros especiales (MRI, ECS, FMI, NMR).</t>
  </si>
  <si>
    <t>PMT-POZ-235</t>
  </si>
  <si>
    <t>PMT-EST-06</t>
  </si>
  <si>
    <t>VSP/Checkshots.</t>
  </si>
  <si>
    <t>Por estación</t>
  </si>
  <si>
    <t>PMT-POZ-236</t>
  </si>
  <si>
    <t>PMT-EST-07</t>
  </si>
  <si>
    <t>Adquisición de muestras de núcleo</t>
  </si>
  <si>
    <t>Por cada metro de núcleo de fondo.</t>
  </si>
  <si>
    <t>Por metro de núcleo</t>
  </si>
  <si>
    <t>PMT-POZ-237</t>
  </si>
  <si>
    <t>PMT-EST-08</t>
  </si>
  <si>
    <t>Por cada 3 muestras de núcleos de pared.</t>
  </si>
  <si>
    <t>Por 3 núcleos de pared</t>
  </si>
  <si>
    <t>PMT-POZ-238</t>
  </si>
  <si>
    <t>PMT-EST-09</t>
  </si>
  <si>
    <t>Análisis Rutinarios/Convencionales de núcleos (RCALs)</t>
  </si>
  <si>
    <t>Análisis de petrofísica básica.</t>
  </si>
  <si>
    <t>Por muestra</t>
  </si>
  <si>
    <t>PMT-EST-10</t>
  </si>
  <si>
    <t>PMT-POZ-239</t>
  </si>
  <si>
    <t>Petrografía en secciones delgadas, análisis de difracción de rayos-X y análisis MEB.</t>
  </si>
  <si>
    <t>PMT-EST-11</t>
  </si>
  <si>
    <t>Análisis Especiales a núcleos (SCALs)</t>
  </si>
  <si>
    <t>PMT-POZ-240</t>
  </si>
  <si>
    <t>Presión capilar, permeabilidad relativa, daño de formación, tomografía, resonancia magnética, factor de recuperación, mojabilidad, geomecánica, rayos gamma espectral, análisis de fracturas (triaxiales y caracterización de fracturas), etc.</t>
  </si>
  <si>
    <t>PMT-EST-12</t>
  </si>
  <si>
    <t>Presiones MDT</t>
  </si>
  <si>
    <t>Máximo 4 muestras por unidad de depósito</t>
  </si>
  <si>
    <t>Por cada medición de presión</t>
  </si>
  <si>
    <t>PMT-POZ-241</t>
  </si>
  <si>
    <t>PMT-EST-13</t>
  </si>
  <si>
    <t>Muestras MDT</t>
  </si>
  <si>
    <t>Por cada muestra de aceite o gas en cada depósito hidráulicamente conectado.</t>
  </si>
  <si>
    <t>Por cada muestra de fluido</t>
  </si>
  <si>
    <t>PMT-EST-14</t>
  </si>
  <si>
    <t>PVT</t>
  </si>
  <si>
    <t>Cada análisis de presión transitoria en el fondo de pozo.</t>
  </si>
  <si>
    <t>PMT-POZ-242</t>
  </si>
  <si>
    <t>Por cada prueba</t>
  </si>
  <si>
    <t>PMT-EST-15</t>
  </si>
  <si>
    <t>Prueba de Producción</t>
  </si>
  <si>
    <t>En caso de descubrimiento. Por cada prueba de producción en cada pozo perforado en el marco del contrato.</t>
  </si>
  <si>
    <t>PMT-POZ-243</t>
  </si>
  <si>
    <t>PMT-EST-16</t>
  </si>
  <si>
    <t>Evaluación de plays y prospectos.</t>
  </si>
  <si>
    <t>PMT-EST-17</t>
  </si>
  <si>
    <t>PMT-POZ-244</t>
  </si>
  <si>
    <t>PMT-EST-18</t>
  </si>
  <si>
    <t>PMT-EST-19</t>
  </si>
  <si>
    <t>PMT-POZ-245</t>
  </si>
  <si>
    <t>PMT-EST-20</t>
  </si>
  <si>
    <t>PMT-POZ-246</t>
  </si>
  <si>
    <t>PMT-EST-21</t>
  </si>
  <si>
    <t>PMT-EST-22</t>
  </si>
  <si>
    <t>PMT-POZ-247</t>
  </si>
  <si>
    <t>PMT-EST-23</t>
  </si>
  <si>
    <t>PMT-EST-24</t>
  </si>
  <si>
    <t>PMT-POZ-248</t>
  </si>
  <si>
    <t>PMT-EST-25</t>
  </si>
  <si>
    <t>PMT-POZ-249</t>
  </si>
  <si>
    <t>PMT-EST-26</t>
  </si>
  <si>
    <t>PMT-POZ-250</t>
  </si>
  <si>
    <t>PMT-EST-27</t>
  </si>
  <si>
    <t>PMT-EST-28</t>
  </si>
  <si>
    <t>Máximo 4 muestras por unidad de depósito.</t>
  </si>
  <si>
    <t>PMT-POZ-251</t>
  </si>
  <si>
    <t>PMT-EST-29</t>
  </si>
  <si>
    <t>PMT-POZ-252</t>
  </si>
  <si>
    <t>PMT-EST-30</t>
  </si>
  <si>
    <t>PMT-EST-31</t>
  </si>
  <si>
    <t>PMT-EST-32</t>
  </si>
  <si>
    <t>PMT-EST-33</t>
  </si>
  <si>
    <t>Litológicos-correlación (SP, GR, PEF)</t>
  </si>
  <si>
    <t>PMT-EST-34</t>
  </si>
  <si>
    <t>Resistividad (inducción, onda electromagnética)</t>
  </si>
  <si>
    <t>PMT-EST-35</t>
  </si>
  <si>
    <t>Porosidad (densidad, neutrón)</t>
  </si>
  <si>
    <t>PMT-EST-36</t>
  </si>
  <si>
    <t>Propiedades físicas de las rocas (sónico dipolar)</t>
  </si>
  <si>
    <t>PMT-EST-37</t>
  </si>
  <si>
    <t>Registros especiales (MRI, ECS, FMI, NMR)</t>
  </si>
  <si>
    <t>PMT-EST-38</t>
  </si>
  <si>
    <t>VSP/Checkshot</t>
  </si>
  <si>
    <t>PMT-EST-39</t>
  </si>
  <si>
    <t>Por cada metro de núcleo de fondo</t>
  </si>
  <si>
    <t>PMT-EST-40</t>
  </si>
  <si>
    <t>PMT-EST-41</t>
  </si>
  <si>
    <t>Análisis de petrofísica básica</t>
  </si>
  <si>
    <t>PMT-EST-42</t>
  </si>
  <si>
    <t>Petrografía en secciones delgadas, análisis de difracción de rayos-X y análisis MEB</t>
  </si>
  <si>
    <t>PMT-EST-43</t>
  </si>
  <si>
    <t>PMT-EST-44</t>
  </si>
  <si>
    <t>Al menos 4 muestras por unidad de depósito</t>
  </si>
  <si>
    <t>PMT-EST-45</t>
  </si>
  <si>
    <t>Por cada muestra de fluido en cada depósito hidráulicamente conectado</t>
  </si>
  <si>
    <t>PMT-EST-46</t>
  </si>
  <si>
    <t>En cada muestra por unidad de flujo</t>
  </si>
  <si>
    <t>PMT-EST-47</t>
  </si>
  <si>
    <t>Por cada prueba de producción, que no se considere de alcance extendido.</t>
  </si>
  <si>
    <t>PMT-EST-48</t>
  </si>
  <si>
    <t>PMT-EST-49</t>
  </si>
  <si>
    <t>PMT-EST-50</t>
  </si>
  <si>
    <t>PMT-EST-51</t>
  </si>
  <si>
    <t>PMT-EST-52</t>
  </si>
  <si>
    <t>PMT-EST-53</t>
  </si>
  <si>
    <t>PMT-EST-54</t>
  </si>
  <si>
    <t>PMT-EST-55</t>
  </si>
  <si>
    <t>PMT-EST-56</t>
  </si>
  <si>
    <t>PMT-EST-57</t>
  </si>
  <si>
    <t>PMT-EST-58</t>
  </si>
  <si>
    <t>PMT-EST-59</t>
  </si>
  <si>
    <t>PMT-EST-60</t>
  </si>
  <si>
    <t>PMT-EST-61</t>
  </si>
  <si>
    <t>PMT-EST-62</t>
  </si>
  <si>
    <t>PMT-EST-63</t>
  </si>
  <si>
    <t>Litológicos-correlación (SP, GR)</t>
  </si>
  <si>
    <t>PMT-EST-64</t>
  </si>
  <si>
    <t>Resistividad (inducción, onda eléctrica)</t>
  </si>
  <si>
    <t>PMT-EST-65</t>
  </si>
  <si>
    <t>PMT-EST-66</t>
  </si>
  <si>
    <t>Propiedades físicas de las rocas</t>
  </si>
  <si>
    <t>PMT-EST-67</t>
  </si>
  <si>
    <t>Registros especiales (MRI, ECS)</t>
  </si>
  <si>
    <t>PMT-EST-68</t>
  </si>
  <si>
    <t>VSP/Checkshots</t>
  </si>
  <si>
    <t>PMT-EST-69</t>
  </si>
  <si>
    <t>Por cada metro de núcleo</t>
  </si>
  <si>
    <t>PMT-EST-70</t>
  </si>
  <si>
    <t>Por cada 3 muestras de núcleos</t>
  </si>
  <si>
    <t>PMT-EST-71</t>
  </si>
  <si>
    <t>Análisis rutinarios/convenionales de núcleos</t>
  </si>
  <si>
    <t>PMT-EST-72</t>
  </si>
  <si>
    <t>Petrografía en secciones delgadas</t>
  </si>
  <si>
    <t>PMT-EST-73</t>
  </si>
  <si>
    <t>Análisis especiales a núcleos (SCALs)</t>
  </si>
  <si>
    <t>Presión capilar, permeabilidad relativa</t>
  </si>
  <si>
    <t>PMT-EST-74</t>
  </si>
  <si>
    <t>PMT-EST-75</t>
  </si>
  <si>
    <t>PMT-EST-76</t>
  </si>
  <si>
    <t>PMT-EST-77</t>
  </si>
  <si>
    <t>PMT-EST-78</t>
  </si>
  <si>
    <t>PMT-EST-79</t>
  </si>
  <si>
    <t>VSP/Checkshot.</t>
  </si>
  <si>
    <t>PMT-EST-80</t>
  </si>
  <si>
    <t>PMT-EST-81</t>
  </si>
  <si>
    <t>PMT-EST-82</t>
  </si>
  <si>
    <t>PMT-EST-83</t>
  </si>
  <si>
    <t>PMT-EST-84</t>
  </si>
  <si>
    <t>PMT-EST-85</t>
  </si>
  <si>
    <t>Al menos 4 muestras por unidad de depósito.</t>
  </si>
  <si>
    <t>PMT-EST-86</t>
  </si>
  <si>
    <t>Por cada muestra de fluido en cada depósito hidráulicamente conectado.</t>
  </si>
  <si>
    <t>PMT-EST-87</t>
  </si>
  <si>
    <t>En cada muestra por unidad de flujo.</t>
  </si>
  <si>
    <t>PMT-EST-88</t>
  </si>
  <si>
    <t>PMT-EST-89</t>
  </si>
  <si>
    <t>Prueba de Producción de alcance extendido</t>
  </si>
  <si>
    <t>Por cada prueba de producción de alcance extendido.</t>
  </si>
  <si>
    <t>PMT-EST-90</t>
  </si>
  <si>
    <t>PMT-EST-91</t>
  </si>
  <si>
    <t>PMT-EST-92</t>
  </si>
  <si>
    <t>PMT-EST-93</t>
  </si>
  <si>
    <t>PMT-EST-94</t>
  </si>
  <si>
    <t>PMT-EST-95</t>
  </si>
  <si>
    <t>PMT-EST-96</t>
  </si>
  <si>
    <t>PMT-EST-97</t>
  </si>
  <si>
    <t>PMT-EST-98</t>
  </si>
  <si>
    <t>PMT-EST-99</t>
  </si>
  <si>
    <t>PMT-EST-100</t>
  </si>
  <si>
    <t>PMT-EST-101</t>
  </si>
  <si>
    <t>PMT-EST-102</t>
  </si>
  <si>
    <t>PMT-EST-103</t>
  </si>
  <si>
    <t>PMT-EST-104</t>
  </si>
  <si>
    <t>PMT-EST-105</t>
  </si>
  <si>
    <t>PMT-EST-106</t>
  </si>
  <si>
    <t>PMT-EST-107</t>
  </si>
  <si>
    <t>PMT-EST-108</t>
  </si>
  <si>
    <t>PMT-EST-109</t>
  </si>
  <si>
    <t>PMT-EST-110</t>
  </si>
  <si>
    <t>PMT-EST-111</t>
  </si>
  <si>
    <t>PMT-EST-112</t>
  </si>
  <si>
    <t>PMT-EST-113</t>
  </si>
  <si>
    <t>PMT-EST-114</t>
  </si>
  <si>
    <t>PMT-EST-115</t>
  </si>
  <si>
    <t>PMT-EST-116</t>
  </si>
  <si>
    <t>PMT-EST-117</t>
  </si>
  <si>
    <t>PMT-EST-118</t>
  </si>
  <si>
    <t>PMT-EST-119</t>
  </si>
  <si>
    <t>PMT-EST-120</t>
  </si>
  <si>
    <t>PMT-EST-121</t>
  </si>
  <si>
    <t>PMT-EST-122</t>
  </si>
  <si>
    <t>Litológicos-correlación (SP, GR, PE)</t>
  </si>
  <si>
    <t>PMT-EST-123</t>
  </si>
  <si>
    <t>PMT-EST-124</t>
  </si>
  <si>
    <t>PMT-EST-125</t>
  </si>
  <si>
    <t>PMT-EST-126</t>
  </si>
  <si>
    <t>Registro especiales (MRI, ECS, FMI, NMR)</t>
  </si>
  <si>
    <t>PMT-EST-127</t>
  </si>
  <si>
    <t>Perfil Sísmico Vertical VSP</t>
  </si>
  <si>
    <t>PMT-EST-128</t>
  </si>
  <si>
    <t>PMT-EST-129</t>
  </si>
  <si>
    <t>Por cada 3 muestras de núcleos de pared</t>
  </si>
  <si>
    <t>PMT-EST-130</t>
  </si>
  <si>
    <t>Análisis especiales de núcleos (SCAL)</t>
  </si>
  <si>
    <t>PMT-EST-131</t>
  </si>
  <si>
    <t>PMT-EST-132</t>
  </si>
  <si>
    <t>PMT-EST-133</t>
  </si>
  <si>
    <t>Por cada muestra de aceite o gas en cada depósito hidráulicamente conectado</t>
  </si>
  <si>
    <t>PMT-EST-134</t>
  </si>
  <si>
    <t>PMT-EST-135</t>
  </si>
  <si>
    <t>Prueba de alcance extendido según el tiempo de duración de la prueba</t>
  </si>
  <si>
    <t>Por día de prueba</t>
  </si>
  <si>
    <t>PMT-EST-136</t>
  </si>
  <si>
    <t>PMT-EST-137</t>
  </si>
  <si>
    <t>PMT-EST-138</t>
  </si>
  <si>
    <t>PMT-EST-139</t>
  </si>
  <si>
    <t>PMT-EST-140</t>
  </si>
  <si>
    <t>PMT-EST-141</t>
  </si>
  <si>
    <t>PMT-EST-142</t>
  </si>
  <si>
    <t>PMT-EST-143</t>
  </si>
  <si>
    <t>ID_PMT_Metodo</t>
  </si>
  <si>
    <t>PMT-EST-144</t>
  </si>
  <si>
    <t>PMT-EST-145</t>
  </si>
  <si>
    <t>PMT-MET-01</t>
  </si>
  <si>
    <t>Electromagnéticos</t>
  </si>
  <si>
    <t>Adquisición y procesado de datos. Contabilización de Unidades de Trabajo según cubrimiento superficial.</t>
  </si>
  <si>
    <t>PMT-EST-146</t>
  </si>
  <si>
    <t>PMT-MET-02</t>
  </si>
  <si>
    <t>PMT-EST-147</t>
  </si>
  <si>
    <t>Gravimetría</t>
  </si>
  <si>
    <t>Adquisición y procesado de datos. Contabilización de Unidades de Trabajo según cubrimiento superficial/lineal.</t>
  </si>
  <si>
    <t>Km² / Km</t>
  </si>
  <si>
    <t>PMT-MET-03</t>
  </si>
  <si>
    <t>PMT-EST-148</t>
  </si>
  <si>
    <t>Magnetometría</t>
  </si>
  <si>
    <t>PMT-MET-04</t>
  </si>
  <si>
    <t>PMT-EST-149</t>
  </si>
  <si>
    <t>PMT-MET-05</t>
  </si>
  <si>
    <t>PMT-EST-150</t>
  </si>
  <si>
    <t>PMT-MET-06</t>
  </si>
  <si>
    <t>PMT-EST-151</t>
  </si>
  <si>
    <t>PMT-MET-07</t>
  </si>
  <si>
    <t>Adquisición y procesado de datos, contará según cubrimiento superficial.</t>
  </si>
  <si>
    <t>PMT-EST-152</t>
  </si>
  <si>
    <t>PMT-MET-08</t>
  </si>
  <si>
    <t>Reprocesado de datos, contará según cubrimiento superficial.</t>
  </si>
  <si>
    <t>PMT-EST-153</t>
  </si>
  <si>
    <t>PMT-MET-09</t>
  </si>
  <si>
    <t>Adquisición y procesado de datos; contará según cubrimiento superficial.</t>
  </si>
  <si>
    <t>Km / Km²</t>
  </si>
  <si>
    <t>PMT-EST-154</t>
  </si>
  <si>
    <t>PMT-MET-10</t>
  </si>
  <si>
    <t>PMT-EST-155</t>
  </si>
  <si>
    <t>PMT-MET-11</t>
  </si>
  <si>
    <t>PMT-EST-156</t>
  </si>
  <si>
    <t>PMT-MET-12</t>
  </si>
  <si>
    <t>PMT-EST-157</t>
  </si>
  <si>
    <t>PMT-MET-13</t>
  </si>
  <si>
    <t>PMT-EST-158</t>
  </si>
  <si>
    <t>PMT-MET-14</t>
  </si>
  <si>
    <t>PMT-EST-159</t>
  </si>
  <si>
    <t>PMT-MET-15</t>
  </si>
  <si>
    <t>Adquisición y procesado de datos</t>
  </si>
  <si>
    <t>PMT-EST-160</t>
  </si>
  <si>
    <t>PMT-MET-16</t>
  </si>
  <si>
    <t>Análisis Rutinarios/Convencionales
 de núcleos (RCALs)</t>
  </si>
  <si>
    <t>PMT-EST-161</t>
  </si>
  <si>
    <t>PMT-MET-17</t>
  </si>
  <si>
    <t>PMT-MET-18</t>
  </si>
  <si>
    <t>PMT-EST-162</t>
  </si>
  <si>
    <t>PMT-MET-19</t>
  </si>
  <si>
    <t>PMT-EST-163</t>
  </si>
  <si>
    <t>PMT-MET-20</t>
  </si>
  <si>
    <t>PMT-EST-164</t>
  </si>
  <si>
    <t>PMT-MET-21</t>
  </si>
  <si>
    <t>PMT-EST-165</t>
  </si>
  <si>
    <t>PMT-MET-22</t>
  </si>
  <si>
    <t>PMT-EST-166</t>
  </si>
  <si>
    <t>PMT-MET-23</t>
  </si>
  <si>
    <t>PMT-EST-167</t>
  </si>
  <si>
    <t>PMT-MET-24</t>
  </si>
  <si>
    <t>PMT-EST-168</t>
  </si>
  <si>
    <t>PMT-MET-25</t>
  </si>
  <si>
    <t>PMT-EST-169</t>
  </si>
  <si>
    <t>PMT-MET-26</t>
  </si>
  <si>
    <t>PMT-EST-170</t>
  </si>
  <si>
    <t>CNH-R03-L01-AS-CS-06/2019</t>
  </si>
  <si>
    <t>PMT-MET-27</t>
  </si>
  <si>
    <t>PMT-EST-171</t>
  </si>
  <si>
    <t>CNH-R03-L01-AS-CS-06/2020</t>
  </si>
  <si>
    <t>PMT-MET-28</t>
  </si>
  <si>
    <t>PMT-EST-172</t>
  </si>
  <si>
    <t>CNH-R03-L01-AS-CS-06/2021</t>
  </si>
  <si>
    <t>PMT-MET-29</t>
  </si>
  <si>
    <t>PMT-EST-173</t>
  </si>
  <si>
    <t>CNH-R03-L01-AS-CS-06/2022</t>
  </si>
  <si>
    <t>PMT-MET-30</t>
  </si>
  <si>
    <t>PMT-EST-174</t>
  </si>
  <si>
    <t>PMT-MET-31</t>
  </si>
  <si>
    <t>CNH-R03-L01-AS-CS-06/2023</t>
  </si>
  <si>
    <t>PMT-EST-175</t>
  </si>
  <si>
    <t>PMT-MET-32</t>
  </si>
  <si>
    <t>CNH-R03-L01-AS-CS-06/2024</t>
  </si>
  <si>
    <t>PMT-MET-33</t>
  </si>
  <si>
    <t>PMT-EST-176</t>
  </si>
  <si>
    <t>CNH-R03-L01-AS-CS-06/2025</t>
  </si>
  <si>
    <t>PMT-MET-34</t>
  </si>
  <si>
    <t>PMT-EST-177</t>
  </si>
  <si>
    <t>CNH-R03-L01-AS-CS-06/2026</t>
  </si>
  <si>
    <t>PMT-MET-35</t>
  </si>
  <si>
    <t>PMT-EST-178</t>
  </si>
  <si>
    <t>CNH-R03-L01-AS-CS-06/2027</t>
  </si>
  <si>
    <t>PMT-MET-36</t>
  </si>
  <si>
    <t>PMT-EST-179</t>
  </si>
  <si>
    <t>CNH-R03-L01-AS-CS-06/2028</t>
  </si>
  <si>
    <t>PMT-MET-37</t>
  </si>
  <si>
    <t>Electromagnetismo</t>
  </si>
  <si>
    <t>Adquisición y procesamiento de datos. Contabilización de la unidad de trabajo según el recubrimiento de la superficie.</t>
  </si>
  <si>
    <t>PMT-EST-180</t>
  </si>
  <si>
    <t>CNH-R03-L01-AS-CS-06/2029</t>
  </si>
  <si>
    <t>PMT-MET-38</t>
  </si>
  <si>
    <t>Adquisición y procesamiento de datos. Contabilización de la unidad de trabajo según el recubrimiento superficial/lineal.</t>
  </si>
  <si>
    <t>PMT-EST-181</t>
  </si>
  <si>
    <t>CNH-R03-L01-AS-CS-06/2030</t>
  </si>
  <si>
    <t>PMT-MET-39</t>
  </si>
  <si>
    <t>PMT-EST-182</t>
  </si>
  <si>
    <t>CNH-R03-L01-AS-CS-06/2031</t>
  </si>
  <si>
    <t>PMT-MET-40</t>
  </si>
  <si>
    <t>PMT-EST-183</t>
  </si>
  <si>
    <t>CNH-R03-L01-AS-CS-06/2032</t>
  </si>
  <si>
    <t>PMT-MET-41</t>
  </si>
  <si>
    <t>PMT-EST-184</t>
  </si>
  <si>
    <t>CNH-R03-L01-AS-CS-06/2033</t>
  </si>
  <si>
    <t>PMT-MET-42</t>
  </si>
  <si>
    <t>PMT-EST-185</t>
  </si>
  <si>
    <t>PMT-MET-43</t>
  </si>
  <si>
    <t>Correlación litológica (SP, GR, PEF).</t>
  </si>
  <si>
    <t>Por medidor logarítmico</t>
  </si>
  <si>
    <t>PMT-EST-186</t>
  </si>
  <si>
    <t>PMT-EST-187</t>
  </si>
  <si>
    <t>Porosidad (densidad, neutrones).</t>
  </si>
  <si>
    <t>PMT-EST-188</t>
  </si>
  <si>
    <t>PMT-EST-189</t>
  </si>
  <si>
    <t>Registros especiales (RMN, ECS, EMI, RMN).</t>
  </si>
  <si>
    <t>PMT-EST-190</t>
  </si>
  <si>
    <t>PMT-EST-191</t>
  </si>
  <si>
    <t>Medidor por núcleo</t>
  </si>
  <si>
    <t>PMT-EST-192</t>
  </si>
  <si>
    <t>Por cada 3 núcleos de pared lateral</t>
  </si>
  <si>
    <t>PMT-EST-193</t>
  </si>
  <si>
    <t>Análisis de núcleos rutinarios/convencionales (RCAL)</t>
  </si>
  <si>
    <t>Análisis petrofísico básico.</t>
  </si>
  <si>
    <t>PMT-EST-194</t>
  </si>
  <si>
    <t>Petrografía en secciones delgadas, análisis de difracción de rayos X y análisis SEM.</t>
  </si>
  <si>
    <t>PMT-EST-195</t>
  </si>
  <si>
    <t>Análisis de núcleos especiales (SCAL)</t>
  </si>
  <si>
    <t>Presión capilar, permeabilidad relativa, daño a la formación, tomografía, resonancia magnética, factor de recuperación, mojabilidad, geomecánica, rayos gamma espectrales, análisis de fracturas (triaxial y caracterización de fracturas), etc.</t>
  </si>
  <si>
    <t>PMT-EST-196</t>
  </si>
  <si>
    <t>Presiones DEM</t>
  </si>
  <si>
    <t>Hasta 4 muestras por unidad de almacenamiento.</t>
  </si>
  <si>
    <t>PMT-EST-197</t>
  </si>
  <si>
    <t>Muestras DEM</t>
  </si>
  <si>
    <t>Por cada muestra de petróleo o gas en cada tanque conectado hidráulicamente.</t>
  </si>
  <si>
    <t>PMT-EST-198</t>
  </si>
  <si>
    <t>Soldado raso</t>
  </si>
  <si>
    <t>Por cada análisis de presión transitoria en el fondo del pozo</t>
  </si>
  <si>
    <t>PMT-EST-199</t>
  </si>
  <si>
    <t>Prueba de producción</t>
  </si>
  <si>
    <t>En caso de descubrimiento. Por cada muestra de producción de rango extendido en cada pozo perforado bajo el Contrato</t>
  </si>
  <si>
    <t>PMT-EST-200</t>
  </si>
  <si>
    <t>Evaluación prospectiva de recursos</t>
  </si>
  <si>
    <t>Juego y evaluación de prospectos</t>
  </si>
  <si>
    <t>PMT-EST-201</t>
  </si>
  <si>
    <t>PMT-EST-202</t>
  </si>
  <si>
    <t>PMT-EST-203</t>
  </si>
  <si>
    <t>PMT-EST-204</t>
  </si>
  <si>
    <t>PMT-EST-205</t>
  </si>
  <si>
    <t>PMT-EST-206</t>
  </si>
  <si>
    <t>PMT-EST-207</t>
  </si>
  <si>
    <t>PMT-EST-208</t>
  </si>
  <si>
    <t>PMT-EST-209</t>
  </si>
  <si>
    <t>PMT-EST-210</t>
  </si>
  <si>
    <t>PMT-EST-211</t>
  </si>
  <si>
    <t>PMT-EST-212</t>
  </si>
  <si>
    <t>PMT-EST-213</t>
  </si>
  <si>
    <t>PMT-EST-214</t>
  </si>
  <si>
    <t>PMT-EST-215</t>
  </si>
  <si>
    <t>PMT_PENALIZACIONES</t>
  </si>
  <si>
    <t>Rango_Brent_Minimo_USD</t>
  </si>
  <si>
    <t>Rango_Brent_Maximo_USD</t>
  </si>
  <si>
    <t>Valor_Por_Unidad_USD</t>
  </si>
  <si>
    <t>PMT-PEN-01</t>
  </si>
  <si>
    <t>0</t>
  </si>
  <si>
    <t>30</t>
  </si>
  <si>
    <t>PMT-PEN-02</t>
  </si>
  <si>
    <t>35</t>
  </si>
  <si>
    <t>PMT-PEN-03</t>
  </si>
  <si>
    <t>40</t>
  </si>
  <si>
    <t>PMT-PEN-04</t>
  </si>
  <si>
    <t>45</t>
  </si>
  <si>
    <t>PMT-PEN-05</t>
  </si>
  <si>
    <t>50</t>
  </si>
  <si>
    <t>PMT-PEN-06</t>
  </si>
  <si>
    <t>55</t>
  </si>
  <si>
    <t>PMT-PEN-07</t>
  </si>
  <si>
    <t>60</t>
  </si>
  <si>
    <t>PMT-PEN-08</t>
  </si>
  <si>
    <t>65</t>
  </si>
  <si>
    <t>PMT-PEN-09</t>
  </si>
  <si>
    <t>70</t>
  </si>
  <si>
    <t>PMT-PEN-10</t>
  </si>
  <si>
    <t>75</t>
  </si>
  <si>
    <t>PMT-PEN-11</t>
  </si>
  <si>
    <t>80</t>
  </si>
  <si>
    <t>PMT-PEN-12</t>
  </si>
  <si>
    <t>85</t>
  </si>
  <si>
    <t>PMT-PEN-13</t>
  </si>
  <si>
    <t>90</t>
  </si>
  <si>
    <t>PMT-PEN-14</t>
  </si>
  <si>
    <t>95</t>
  </si>
  <si>
    <t>PMT-PEN-15</t>
  </si>
  <si>
    <t>100</t>
  </si>
  <si>
    <t>PMT-PEN-16</t>
  </si>
  <si>
    <t>105</t>
  </si>
  <si>
    <t>PMT-PEN-17</t>
  </si>
  <si>
    <t>PMT-PEN-18</t>
  </si>
  <si>
    <t>PMT-PEN-19</t>
  </si>
  <si>
    <t>PMT-PEN-20</t>
  </si>
  <si>
    <t>PMT-PEN-21</t>
  </si>
  <si>
    <t>PMT-PEN-22</t>
  </si>
  <si>
    <t>PMT-PEN-23</t>
  </si>
  <si>
    <t>PMT-PEN-24</t>
  </si>
  <si>
    <t>PMT-PEN-25</t>
  </si>
  <si>
    <t>PMT-PEN-26</t>
  </si>
  <si>
    <t>PMT-PEN-27</t>
  </si>
  <si>
    <t>PMT-PEN-28</t>
  </si>
  <si>
    <t>PMT-PEN-29</t>
  </si>
  <si>
    <t>PMT-PEN-30</t>
  </si>
  <si>
    <t>PMT-PEN-31</t>
  </si>
  <si>
    <t>PMT-PEN-32</t>
  </si>
  <si>
    <t>En adelante</t>
  </si>
  <si>
    <t>PMT-PEN-33</t>
  </si>
  <si>
    <t>PMT-PEN-34</t>
  </si>
  <si>
    <t>PMT-PEN-35</t>
  </si>
  <si>
    <t>PMT-PEN-36</t>
  </si>
  <si>
    <t>PMT-PEN-37</t>
  </si>
  <si>
    <t>PMT-PEN-38</t>
  </si>
  <si>
    <t>PMT-PEN-39</t>
  </si>
  <si>
    <t>ID_Regla_CN</t>
  </si>
  <si>
    <t>Etapa</t>
  </si>
  <si>
    <t>PMT-PEN-40</t>
  </si>
  <si>
    <t>Porcentaje_Base</t>
  </si>
  <si>
    <t>Descripcion_Regla</t>
  </si>
  <si>
    <t>PMT-PEN-41</t>
  </si>
  <si>
    <t>PMT-PEN-42</t>
  </si>
  <si>
    <t>REG-01</t>
  </si>
  <si>
    <t>PMT-PEN-43</t>
  </si>
  <si>
    <t>Exploración</t>
  </si>
  <si>
    <t>Fijo</t>
  </si>
  <si>
    <t>PMT-PEN-44</t>
  </si>
  <si>
    <t>PMT-PEN-45</t>
  </si>
  <si>
    <t>REG-02</t>
  </si>
  <si>
    <t>PMT-PEN-46</t>
  </si>
  <si>
    <t>Evaluación</t>
  </si>
  <si>
    <t>PMT-PEN-47</t>
  </si>
  <si>
    <t>REG-03</t>
  </si>
  <si>
    <t>Desarrollo</t>
  </si>
  <si>
    <t>PMT-PEN-48</t>
  </si>
  <si>
    <t>12% el primer año e incrementos anuales hasta alcanzar al menos 17% en el año 2025.</t>
  </si>
  <si>
    <t>PMT-PEN-49</t>
  </si>
  <si>
    <t>REG-04</t>
  </si>
  <si>
    <t>PMT-PEN-50</t>
  </si>
  <si>
    <t>REG-05</t>
  </si>
  <si>
    <t>PMT-PEN-51</t>
  </si>
  <si>
    <t>PMT-PEN-52</t>
  </si>
  <si>
    <t>REG-06</t>
  </si>
  <si>
    <t>PMT-PEN-53</t>
  </si>
  <si>
    <t>26% el primer año e incrementos anuales hasta alcanzar al menos 35% en 2025.</t>
  </si>
  <si>
    <t>PMT-PEN-54</t>
  </si>
  <si>
    <t>REG-07</t>
  </si>
  <si>
    <t>PMT-PEN-55</t>
  </si>
  <si>
    <t>3% durante el Periodo Inicial de Exploración, 6% durante el Primer Periodo Adicional de Exploración y 8% durante el Segundo Periodo Adicional de Exploración.</t>
  </si>
  <si>
    <t>PMT-PEN-56</t>
  </si>
  <si>
    <t>PMT-PEN-57</t>
  </si>
  <si>
    <t>REG-08</t>
  </si>
  <si>
    <t>PMT-PEN-58</t>
  </si>
  <si>
    <t>Se aplicará el mismo porcentaje mínimo del Periodo de Exploración en el que se haya declarado el Descubrimiento sujeto a la Evaluación.</t>
  </si>
  <si>
    <t>PMT-PEN-59</t>
  </si>
  <si>
    <t>REG-09</t>
  </si>
  <si>
    <t>PMT-PEN-60</t>
  </si>
  <si>
    <t>4% a partir de la aprobación del Plan de Desarrollo, y 10% a partir del inicio de la Producción Comercial Regular.</t>
  </si>
  <si>
    <t>PMT-PEN-61</t>
  </si>
  <si>
    <t>REG-10</t>
  </si>
  <si>
    <t>PMT-PEN-62</t>
  </si>
  <si>
    <t>PMT-PEN-63</t>
  </si>
  <si>
    <t>PMT-PEN-64</t>
  </si>
  <si>
    <t>REG-11</t>
  </si>
  <si>
    <t>PMT-PEN-65</t>
  </si>
  <si>
    <t>PMT-PEN-66</t>
  </si>
  <si>
    <t>REG-12</t>
  </si>
  <si>
    <t>PMT-PEN-67</t>
  </si>
  <si>
    <t>REG-13</t>
  </si>
  <si>
    <t>PMT-PEN-68</t>
  </si>
  <si>
    <t>REG-14</t>
  </si>
  <si>
    <t>PMT-PEN-69</t>
  </si>
  <si>
    <t>PMT-PEN-70</t>
  </si>
  <si>
    <t>REG-15</t>
  </si>
  <si>
    <t>PMT-PEN-71</t>
  </si>
  <si>
    <t>REG-16</t>
  </si>
  <si>
    <t>PMT-PEN-72</t>
  </si>
  <si>
    <t>PMT-PEN-73</t>
  </si>
  <si>
    <t>REG-17</t>
  </si>
  <si>
    <t>PMT-PEN-74</t>
  </si>
  <si>
    <t>PMT-PEN-75</t>
  </si>
  <si>
    <t>PMT-PEN-76</t>
  </si>
  <si>
    <t>REG-18</t>
  </si>
  <si>
    <t>PMT-PEN-77</t>
  </si>
  <si>
    <t>PMT-PEN-78</t>
  </si>
  <si>
    <t>REG-19</t>
  </si>
  <si>
    <t>PMT-PEN-79</t>
  </si>
  <si>
    <t>PMT-PEN-80</t>
  </si>
  <si>
    <t>PMT-PEN-81</t>
  </si>
  <si>
    <t>REG-20</t>
  </si>
  <si>
    <t>PMT-PEN-82</t>
  </si>
  <si>
    <t>PMT-PEN-83</t>
  </si>
  <si>
    <t>REG-21</t>
  </si>
  <si>
    <t>PMT-PEN-84</t>
  </si>
  <si>
    <t>Incremento anual hasta alcanzar al 35% en el año 2025</t>
  </si>
  <si>
    <t>PMT-PEN-85</t>
  </si>
  <si>
    <t>REG-22</t>
  </si>
  <si>
    <t>PMT-PEN-86</t>
  </si>
  <si>
    <t>PMT-PEN-87</t>
  </si>
  <si>
    <t>REG-23</t>
  </si>
  <si>
    <t>PMT-PEN-88</t>
  </si>
  <si>
    <t>REG-24</t>
  </si>
  <si>
    <t>PMT-PEN-89</t>
  </si>
  <si>
    <t>PMT-PEN-90</t>
  </si>
  <si>
    <t>PMT-PEN-91</t>
  </si>
  <si>
    <t>REG-25</t>
  </si>
  <si>
    <t>PMT-PEN-92</t>
  </si>
  <si>
    <t>3% durante el Periodo Inicial de Exploración, 6% durante el Primer Periodo Adicional de Exploración y 8% durante el Segundo Periodo Adicional de Exploración</t>
  </si>
  <si>
    <t>PMT-PEN-93</t>
  </si>
  <si>
    <t>REG-26</t>
  </si>
  <si>
    <t>PMT-PEN-94</t>
  </si>
  <si>
    <t>PMT-PEN-95</t>
  </si>
  <si>
    <t>REG-27</t>
  </si>
  <si>
    <t>PMT-PEN-96</t>
  </si>
  <si>
    <t>4%, y 10% a partir del inicio de la Producción Comercial Regular.</t>
  </si>
  <si>
    <t>PMT-PEN-97</t>
  </si>
  <si>
    <t>REG-28</t>
  </si>
  <si>
    <t>PMT-PEN-98</t>
  </si>
  <si>
    <t>PMT-PEN-99</t>
  </si>
  <si>
    <t>PMT-PEN-100</t>
  </si>
  <si>
    <t>REG-29</t>
  </si>
  <si>
    <t>PMT-PEN-101</t>
  </si>
  <si>
    <t>REG-30</t>
  </si>
  <si>
    <t>PMT-PEN-102</t>
  </si>
  <si>
    <t>el primer año e incrementos anuales hasta alcanzar al menos 35% en el año 2025.</t>
  </si>
  <si>
    <t>PMT-PEN-103</t>
  </si>
  <si>
    <t>REG-31</t>
  </si>
  <si>
    <t>15%.</t>
  </si>
  <si>
    <t>PMT-PEN-104</t>
  </si>
  <si>
    <t>REG-32</t>
  </si>
  <si>
    <t>PMT-PEN-105</t>
  </si>
  <si>
    <t>17%.</t>
  </si>
  <si>
    <t>PMT-PEN-106</t>
  </si>
  <si>
    <t>PMT-PEN-107</t>
  </si>
  <si>
    <t>REG-33</t>
  </si>
  <si>
    <t>PMT-PEN-108</t>
  </si>
  <si>
    <t>REG-34</t>
  </si>
  <si>
    <t>PMT-PEN-109</t>
  </si>
  <si>
    <t>PMT-PEN-110</t>
  </si>
  <si>
    <t>PMT-PEN-111</t>
  </si>
  <si>
    <t>REG-35</t>
  </si>
  <si>
    <t>PMT-PEN-112</t>
  </si>
  <si>
    <t>PMT-PEN-113</t>
  </si>
  <si>
    <t>REG-36</t>
  </si>
  <si>
    <t>PMT-PEN-114</t>
  </si>
  <si>
    <t>26% el primer año e incrementos anuales hasta alcanzar al menos 35% en 2025</t>
  </si>
  <si>
    <t>PMT-PEN-115</t>
  </si>
  <si>
    <t>PMT-PEN-116</t>
  </si>
  <si>
    <t>REG-37</t>
  </si>
  <si>
    <t>PMT-PEN-117</t>
  </si>
  <si>
    <t>REG-38</t>
  </si>
  <si>
    <t>PMT-PEN-118</t>
  </si>
  <si>
    <t>PMT-PEN-119</t>
  </si>
  <si>
    <t>REG-39</t>
  </si>
  <si>
    <t>PMT-PEN-120</t>
  </si>
  <si>
    <t>26% el primer año y aumentos anuales hasta alcanzar al menos un 35% en 2025.</t>
  </si>
  <si>
    <t>PMT-PEN-121</t>
  </si>
  <si>
    <t>REG-40</t>
  </si>
  <si>
    <t>PMT-PEN-122</t>
  </si>
  <si>
    <t>3% durante el Periodo Inicial de Exploración.</t>
  </si>
  <si>
    <t>PMT-PEN-123</t>
  </si>
  <si>
    <t>REG-41</t>
  </si>
  <si>
    <t>PMT-PEN-124</t>
  </si>
  <si>
    <t>6% durante el Primer Periodo Adicional de Exploración.</t>
  </si>
  <si>
    <t>PMT-PEN-125</t>
  </si>
  <si>
    <t>REG-42</t>
  </si>
  <si>
    <t>PMT-PEN-126</t>
  </si>
  <si>
    <t>8% durante el Segundo Periodo Adicional de Exploración.</t>
  </si>
  <si>
    <t>PMT-PEN-127</t>
  </si>
  <si>
    <t>PMT-PEN-128</t>
  </si>
  <si>
    <t>REG-43</t>
  </si>
  <si>
    <t>PMT-PEN-129</t>
  </si>
  <si>
    <t>PMT-PEN-130</t>
  </si>
  <si>
    <t>REG-44</t>
  </si>
  <si>
    <t>PMT-PEN-131</t>
  </si>
  <si>
    <t>4% a partir de la aprobación del Plan de Desarrollo.</t>
  </si>
  <si>
    <t>PMT-PEN-132</t>
  </si>
  <si>
    <t>REG-45</t>
  </si>
  <si>
    <t>PMT-PEN-133</t>
  </si>
  <si>
    <t>10% a partir del inicio de la Producción Comercial Regular.</t>
  </si>
  <si>
    <t>PMT-PEN-134</t>
  </si>
  <si>
    <t>PMT-PEN-135</t>
  </si>
  <si>
    <t>PMT-PEN-136</t>
  </si>
  <si>
    <t>PMT-PEN-137</t>
  </si>
  <si>
    <t>PMT-PEN-138</t>
  </si>
  <si>
    <t>PMT-PEN-139</t>
  </si>
  <si>
    <t>PMT-PEN-140</t>
  </si>
  <si>
    <t>PMT-PEN-141</t>
  </si>
  <si>
    <t>PMT-PEN-142</t>
  </si>
  <si>
    <t>PMT-PEN-143</t>
  </si>
  <si>
    <t>PMT-PEN-144</t>
  </si>
  <si>
    <t>PMT-PEN-145</t>
  </si>
  <si>
    <t>PMT-PEN-146</t>
  </si>
  <si>
    <t>PMT-PEN-147</t>
  </si>
  <si>
    <t>PMT-PEN-148</t>
  </si>
  <si>
    <t>PMT-PEN-149</t>
  </si>
  <si>
    <t>PMT-PEN-150</t>
  </si>
  <si>
    <t>PMT-PEN-151</t>
  </si>
  <si>
    <t>PMT-PEN-152</t>
  </si>
  <si>
    <t>PMT-PEN-153</t>
  </si>
  <si>
    <t>PMT-PEN-154</t>
  </si>
  <si>
    <t>PMT-PEN-155</t>
  </si>
  <si>
    <t>PMT-PEN-156</t>
  </si>
  <si>
    <t>PMT-PEN-157</t>
  </si>
  <si>
    <t>PMT-PEN-158</t>
  </si>
  <si>
    <t>PMT-PEN-159</t>
  </si>
  <si>
    <t>PMT-PEN-160</t>
  </si>
  <si>
    <t>PMT-PEN-161</t>
  </si>
  <si>
    <t>PMT-PEN-162</t>
  </si>
  <si>
    <t>PMT-PEN-163</t>
  </si>
  <si>
    <t>PMT-PEN-164</t>
  </si>
  <si>
    <t>PMT-PEN-165</t>
  </si>
  <si>
    <t>PMT-PEN-166</t>
  </si>
  <si>
    <t>PMT-PEN-167</t>
  </si>
  <si>
    <t>PMT-PEN-168</t>
  </si>
  <si>
    <t>PMT-PEN-169</t>
  </si>
  <si>
    <t>PMT-PEN-170</t>
  </si>
  <si>
    <t>PMT-PEN-171</t>
  </si>
  <si>
    <t>PMT-PEN-172</t>
  </si>
  <si>
    <t>PMT-PEN-173</t>
  </si>
  <si>
    <t>PMT-PEN-174</t>
  </si>
  <si>
    <t>PMT-PEN-175</t>
  </si>
  <si>
    <t>ID_Documento</t>
  </si>
  <si>
    <t>PMT-PEN-176</t>
  </si>
  <si>
    <t>Tipo_Documento</t>
  </si>
  <si>
    <t>Fecha_Documento</t>
  </si>
  <si>
    <t>DOC-01</t>
  </si>
  <si>
    <t>PMT-PEN-177</t>
  </si>
  <si>
    <t>Dictamen Técnico del Plan de Exploración</t>
  </si>
  <si>
    <t>Septiembre 2019</t>
  </si>
  <si>
    <t>DOC-02</t>
  </si>
  <si>
    <t>PMT-PEN-178</t>
  </si>
  <si>
    <t>Opinión Técnica del Primer Programa de Trabajo y Presupuesto</t>
  </si>
  <si>
    <t>DOC-03</t>
  </si>
  <si>
    <t>Opinión Técnica Programa de Trabajo y Presupuesto 2020</t>
  </si>
  <si>
    <t>PMT-PEN-179</t>
  </si>
  <si>
    <t>DOC-04</t>
  </si>
  <si>
    <t>12-sep-2019</t>
  </si>
  <si>
    <t>PMT-PEN-180</t>
  </si>
  <si>
    <t>DOC-05</t>
  </si>
  <si>
    <t>Presupuesto asociado al Plan de Exploración</t>
  </si>
  <si>
    <t>PMT-PEN-181</t>
  </si>
  <si>
    <t>DOC-06</t>
  </si>
  <si>
    <t>19-nov-2019</t>
  </si>
  <si>
    <t>PMT-PEN-182</t>
  </si>
  <si>
    <t>DOC-07</t>
  </si>
  <si>
    <t>PMT-PEN-183</t>
  </si>
  <si>
    <t>DOC-08</t>
  </si>
  <si>
    <t>09-feb-2021</t>
  </si>
  <si>
    <t>PMT-PEN-184</t>
  </si>
  <si>
    <t>DOC-09</t>
  </si>
  <si>
    <t>PMT-PEN-185</t>
  </si>
  <si>
    <t>DOC-10</t>
  </si>
  <si>
    <t>12-jul-2022</t>
  </si>
  <si>
    <t>DOC-11</t>
  </si>
  <si>
    <t>PMT-PEN-186</t>
  </si>
  <si>
    <t>DOC-12</t>
  </si>
  <si>
    <t>PMT-PEN-187</t>
  </si>
  <si>
    <t>DOC-13</t>
  </si>
  <si>
    <t>PMT-PEN-188</t>
  </si>
  <si>
    <t>29-nov-2022</t>
  </si>
  <si>
    <t>DOC-14</t>
  </si>
  <si>
    <t>PMT-PEN-189</t>
  </si>
  <si>
    <t>DOC-15</t>
  </si>
  <si>
    <t>08-ago-2023</t>
  </si>
  <si>
    <t>PMT-PEN-190</t>
  </si>
  <si>
    <t>DOC-16</t>
  </si>
  <si>
    <t>DOC-17</t>
  </si>
  <si>
    <t>PMT-PEN-191</t>
  </si>
  <si>
    <t>Prórroga del Periodo Inicial de Exploración</t>
  </si>
  <si>
    <t>21-sep-2023</t>
  </si>
  <si>
    <t>DOC-18</t>
  </si>
  <si>
    <t>Junio 2019</t>
  </si>
  <si>
    <t>PMT-PEN-192</t>
  </si>
  <si>
    <t>DOC-19</t>
  </si>
  <si>
    <t>Mayo 2019</t>
  </si>
  <si>
    <t>PMT-PEN-193</t>
  </si>
  <si>
    <t>DOC-20</t>
  </si>
  <si>
    <t>2019-09-12</t>
  </si>
  <si>
    <t>DOC-21</t>
  </si>
  <si>
    <t>PMT-PEN-194</t>
  </si>
  <si>
    <t>DOC-22</t>
  </si>
  <si>
    <t>2019-11-19</t>
  </si>
  <si>
    <t>DOC-23</t>
  </si>
  <si>
    <t>PMT-PEN-195</t>
  </si>
  <si>
    <t>DOC-24</t>
  </si>
  <si>
    <t>PMT-PEN-196</t>
  </si>
  <si>
    <t>2021-02-09</t>
  </si>
  <si>
    <t>DOC-25</t>
  </si>
  <si>
    <t>PMT-PEN-197</t>
  </si>
  <si>
    <t>DOC-26</t>
  </si>
  <si>
    <t>2022-07-12</t>
  </si>
  <si>
    <t>DOC-27</t>
  </si>
  <si>
    <t>PMT-PEN-198</t>
  </si>
  <si>
    <t>DOC-28</t>
  </si>
  <si>
    <t>DOC-29</t>
  </si>
  <si>
    <t>2022-11-29</t>
  </si>
  <si>
    <t>PMT-PEN-199</t>
  </si>
  <si>
    <t>DOC-30</t>
  </si>
  <si>
    <t>PMT-PEN-200</t>
  </si>
  <si>
    <t>DOC-31</t>
  </si>
  <si>
    <t>2023-08-08</t>
  </si>
  <si>
    <t>DOC-32</t>
  </si>
  <si>
    <t>PMT-PEN-201</t>
  </si>
  <si>
    <t>DOC-33</t>
  </si>
  <si>
    <t>2023-09-21</t>
  </si>
  <si>
    <t>DOC-34</t>
  </si>
  <si>
    <t>PMT-PEN-202</t>
  </si>
  <si>
    <t>octubre 2018</t>
  </si>
  <si>
    <t>DOC-35</t>
  </si>
  <si>
    <t>Opinión Técnica del Primer Programa de Trabajo y Presupuesto 2020</t>
  </si>
  <si>
    <t>PMT-PEN-203</t>
  </si>
  <si>
    <t>Noviembre 2019</t>
  </si>
  <si>
    <t>ID_Actividad</t>
  </si>
  <si>
    <t>0.00</t>
  </si>
  <si>
    <t>DOC-36</t>
  </si>
  <si>
    <t>Sub_Actividad</t>
  </si>
  <si>
    <t>PMT-PEN-204</t>
  </si>
  <si>
    <t>DOC-37</t>
  </si>
  <si>
    <t>Tarea / Descripción</t>
  </si>
  <si>
    <t>Año_Inicio</t>
  </si>
  <si>
    <t>30.00</t>
  </si>
  <si>
    <t>Año_Fin</t>
  </si>
  <si>
    <t>DOC-38</t>
  </si>
  <si>
    <t>Mes_Inicio</t>
  </si>
  <si>
    <t>PMT-PEN-205</t>
  </si>
  <si>
    <t>Mes_Fin</t>
  </si>
  <si>
    <t>Cantidad</t>
  </si>
  <si>
    <t>UT_Aporta</t>
  </si>
  <si>
    <t>35.00</t>
  </si>
  <si>
    <t>DOC-39</t>
  </si>
  <si>
    <t>ACT-01</t>
  </si>
  <si>
    <t>Marzo de 2018</t>
  </si>
  <si>
    <t>PMT-PEN-206</t>
  </si>
  <si>
    <t>DOC-CNH-R03-01</t>
  </si>
  <si>
    <t>Geofísica</t>
  </si>
  <si>
    <t>855 km² sísmica 3D WAz, Licenciamiento y Procesado en Profundidad Kirchhoff</t>
  </si>
  <si>
    <t>40.00</t>
  </si>
  <si>
    <t>DOC-40</t>
  </si>
  <si>
    <t>Enero</t>
  </si>
  <si>
    <t>Diciembre</t>
  </si>
  <si>
    <t>PMT-PEN-207</t>
  </si>
  <si>
    <t>DOC-41</t>
  </si>
  <si>
    <t>45.00</t>
  </si>
  <si>
    <t>Primer Programa de Trabajo y Presupuesto</t>
  </si>
  <si>
    <t>ACT-02</t>
  </si>
  <si>
    <t>855 km² Licenciamiento y Procesado en Profundidad PSDM RTM</t>
  </si>
  <si>
    <t>DOC-42</t>
  </si>
  <si>
    <t>PMT-PEN-208</t>
  </si>
  <si>
    <t>Programa de Trabajo y Presupuesto 2020</t>
  </si>
  <si>
    <t>50.00</t>
  </si>
  <si>
    <t>DOC-43</t>
  </si>
  <si>
    <t>Plan de Exploración 2018</t>
  </si>
  <si>
    <t>oct-18</t>
  </si>
  <si>
    <t>ACT-03</t>
  </si>
  <si>
    <t>PMT-PEN-209</t>
  </si>
  <si>
    <t>DOC-44</t>
  </si>
  <si>
    <t>Geología</t>
  </si>
  <si>
    <t>Plan de Exploración 2023</t>
  </si>
  <si>
    <t>dic-23</t>
  </si>
  <si>
    <t>55.00</t>
  </si>
  <si>
    <t>DOC-45</t>
  </si>
  <si>
    <t>Opinión Técnica del Programa de Trabajo y Presupuesto 2020</t>
  </si>
  <si>
    <t>nov-19</t>
  </si>
  <si>
    <t>PMT-PEN-210</t>
  </si>
  <si>
    <t>DOC-46</t>
  </si>
  <si>
    <t>60.00</t>
  </si>
  <si>
    <t>ACT-04</t>
  </si>
  <si>
    <t>Opinión Técnica del Programa de Trabajo y Presupuesto 2022</t>
  </si>
  <si>
    <t>mar-22</t>
  </si>
  <si>
    <t>Evaluación de recursos prospectivos</t>
  </si>
  <si>
    <t>DOC-47</t>
  </si>
  <si>
    <t>PMT-PEN-211</t>
  </si>
  <si>
    <t>Opinión Técnica de la Modificacion del Programa de Trabajo y Presupuesto 2022</t>
  </si>
  <si>
    <t>65.00</t>
  </si>
  <si>
    <t>DOC-48</t>
  </si>
  <si>
    <t>ago-22</t>
  </si>
  <si>
    <t>ACT-05</t>
  </si>
  <si>
    <t>PMT-PEN-212</t>
  </si>
  <si>
    <t>DOC-CNH-R03-02</t>
  </si>
  <si>
    <t>DOC-49</t>
  </si>
  <si>
    <t>General</t>
  </si>
  <si>
    <t>70.00</t>
  </si>
  <si>
    <t>Opinión Técnica del Programa de Trabajo y Presupuesto 2023</t>
  </si>
  <si>
    <t>Administración, gestión de actividades y gastos generales del proyecto</t>
  </si>
  <si>
    <t>Junio</t>
  </si>
  <si>
    <t>DOC-50</t>
  </si>
  <si>
    <t>PMT-PEN-213</t>
  </si>
  <si>
    <t>Opinión Técnica de la Modificacion del Programa de Trabajo y Presupuesto 2024</t>
  </si>
  <si>
    <t>jul-24</t>
  </si>
  <si>
    <t>75.00</t>
  </si>
  <si>
    <t>DOC-51</t>
  </si>
  <si>
    <t>ACT-06</t>
  </si>
  <si>
    <t>PMT-PEN-214</t>
  </si>
  <si>
    <t>2018</t>
  </si>
  <si>
    <t>Licenciamiento de información sísmica multicliente</t>
  </si>
  <si>
    <t>DOC-52</t>
  </si>
  <si>
    <t>Julio</t>
  </si>
  <si>
    <t>2019</t>
  </si>
  <si>
    <t>80.00</t>
  </si>
  <si>
    <t>DOC-53</t>
  </si>
  <si>
    <t>Octubre 2018</t>
  </si>
  <si>
    <t>ACT-07</t>
  </si>
  <si>
    <t>PMT-PEN-215</t>
  </si>
  <si>
    <t>Procesado sísmico 3D</t>
  </si>
  <si>
    <t>85.00</t>
  </si>
  <si>
    <t>DOC-54</t>
  </si>
  <si>
    <t>PMT-PEN-216</t>
  </si>
  <si>
    <t>DOC-55</t>
  </si>
  <si>
    <t>90.00</t>
  </si>
  <si>
    <t>Opinión Técnica Programa de Trabajo y Presupuesto 2021</t>
  </si>
  <si>
    <t>ACT-08</t>
  </si>
  <si>
    <t>Febrero 2021</t>
  </si>
  <si>
    <t>DOC-56</t>
  </si>
  <si>
    <t>PMT-PEN-217</t>
  </si>
  <si>
    <t>Opinión Técnica del Primer Programa de Trabajo y Presupuesto del Plan de Exploración</t>
  </si>
  <si>
    <t>95.00</t>
  </si>
  <si>
    <t>Agosto</t>
  </si>
  <si>
    <t>DOC-57</t>
  </si>
  <si>
    <t>PMT-PEN-218</t>
  </si>
  <si>
    <t>Julio 2019</t>
  </si>
  <si>
    <t>100.00</t>
  </si>
  <si>
    <t>ACT-09</t>
  </si>
  <si>
    <t>DOC-58</t>
  </si>
  <si>
    <t>SSMA</t>
  </si>
  <si>
    <t>Primer Convenio Modificatorio del Contrato</t>
  </si>
  <si>
    <t>27-nov-2025</t>
  </si>
  <si>
    <t>Estudio de Línea Base Ambiental</t>
  </si>
  <si>
    <t>PMT-PEN-219</t>
  </si>
  <si>
    <t>Marzo</t>
  </si>
  <si>
    <t>ACT-10</t>
  </si>
  <si>
    <t>DOC-CNH-R03-03</t>
  </si>
  <si>
    <t>Administración, gestión de actividades y gastos del proyecto</t>
  </si>
  <si>
    <t>ACT-11</t>
  </si>
  <si>
    <t>Interpretación Sísmica detallada del Terciario</t>
  </si>
  <si>
    <t>ACT-12</t>
  </si>
  <si>
    <t>Interpretación Sísmica detallada del Mesozoico</t>
  </si>
  <si>
    <t>Septiembre</t>
  </si>
  <si>
    <t>Abril</t>
  </si>
  <si>
    <t>ACT-13</t>
  </si>
  <si>
    <t>DOC-TMV02-003</t>
  </si>
  <si>
    <t>Recopilación de información y seguimiento de las actividades del Plan de Exploración aprobado.</t>
  </si>
  <si>
    <t>ACT-14</t>
  </si>
  <si>
    <t>Administración, gestión de actividades y gastos del proyecto.</t>
  </si>
  <si>
    <t>ACT-15</t>
  </si>
  <si>
    <t>Pre-procesado, procesado, interpretación y re-procesado de datos sísmicos; reprocesamiento de 710 km² de sísmica 3D y 102 km de sísmica 2D.</t>
  </si>
  <si>
    <t>ACT-16</t>
  </si>
  <si>
    <t>Estudios geológicos regionales: evaluación y desarrollo de plays, mapas GDE, CRS y restauración estructural.</t>
  </si>
  <si>
    <t>ACT-17</t>
  </si>
  <si>
    <t>Estudios geológicos de detalle: Estudio Analógico de Yacimientos de los campos Atún y Bagre.</t>
  </si>
  <si>
    <t>ACT-18</t>
  </si>
  <si>
    <t>Estudios petrofísicos.</t>
  </si>
  <si>
    <t>ACT-19</t>
  </si>
  <si>
    <t>DOC-TMV02-001</t>
  </si>
  <si>
    <t>Evaluación de recursos prospectivos.</t>
  </si>
  <si>
    <t>ACT-20</t>
  </si>
  <si>
    <t>Interpretación sísmica integral del área contractual.</t>
  </si>
  <si>
    <t>ACT-21</t>
  </si>
  <si>
    <t>DOC-CNH-R02-L04-AP-G2-01</t>
  </si>
  <si>
    <t>Licenciamiento (compra) de información sísmica 3D Multi-Azimut (PSDM-RTM MAZ Centauro)</t>
  </si>
  <si>
    <t>Octubre</t>
  </si>
  <si>
    <t>ACT-22</t>
  </si>
  <si>
    <t>Licenciamiento (compra) de información sísmica 3D WAZ pre-apilada (Levantamiento sísmico Centauro)</t>
  </si>
  <si>
    <t>ACT-23</t>
  </si>
  <si>
    <t>Interpretación sísmica de volúmenes sísmicos 3D</t>
  </si>
  <si>
    <t>ACT-24</t>
  </si>
  <si>
    <t>Geoquímica</t>
  </si>
  <si>
    <t>Análisis geoquímico de muestras</t>
  </si>
  <si>
    <t>ACT-25</t>
  </si>
  <si>
    <t>ACT-26</t>
  </si>
  <si>
    <t>Estudios geológicos de detalle</t>
  </si>
  <si>
    <t>ACT-27</t>
  </si>
  <si>
    <t>Estudios petrofísicos</t>
  </si>
  <si>
    <t>ACT-28</t>
  </si>
  <si>
    <t>Estimación de recursos prospectivos y estimación de producción</t>
  </si>
  <si>
    <t>ACT-29</t>
  </si>
  <si>
    <t>Perforación</t>
  </si>
  <si>
    <t>Perforación de pozo exploratorio — Oportunidad Exploratoria B (~5,500 mvbnm ± 500 m)</t>
  </si>
  <si>
    <t>ACT-30</t>
  </si>
  <si>
    <t>DOC-CNH-R02-L04-AP-CS-01</t>
  </si>
  <si>
    <t>Adquisición y procesamiento de sísmica 3D WAZ (licenciamiento Campeche ED WAZ).</t>
  </si>
  <si>
    <t>ACT-31</t>
  </si>
  <si>
    <t>Reprocesamiento de sísmica 3D WAZ PSDM RTM y krichhoff</t>
  </si>
  <si>
    <t>ACT-32</t>
  </si>
  <si>
    <t>ACT-33</t>
  </si>
  <si>
    <t>Construcción de secciones estructurales y modelado de madurez térmica.</t>
  </si>
  <si>
    <t>ACT-34</t>
  </si>
  <si>
    <t>Estudios de roca almácen, estratigrafía sísmica, modelado de física de rocas y estudios geoquímicos.</t>
  </si>
  <si>
    <t>ACT-35</t>
  </si>
  <si>
    <t>Evalución petrofísica integral de información de pozos</t>
  </si>
  <si>
    <t>ACT-36</t>
  </si>
  <si>
    <t>Un pozo exploratorio aprox. 7,600 m de profundidad, con un escenario incremental de un segundo pozo de 6,000 m de profundidad.</t>
  </si>
  <si>
    <t>ACT-37</t>
  </si>
  <si>
    <t>ACT-38</t>
  </si>
  <si>
    <t>Actualización del EBS</t>
  </si>
  <si>
    <t>ACT-39</t>
  </si>
  <si>
    <t>Estudios de impacto socila y ambiental y planes de mitigación</t>
  </si>
  <si>
    <t>ACT-40</t>
  </si>
  <si>
    <t>Recopilación de información y seguimiento de las actividades del Plan de Exploración</t>
  </si>
  <si>
    <t>ACT-41</t>
  </si>
  <si>
    <t>ACT-42</t>
  </si>
  <si>
    <t>ACT-43</t>
  </si>
  <si>
    <t>ACT-44</t>
  </si>
  <si>
    <t>ACT-45</t>
  </si>
  <si>
    <t>ACT-46</t>
  </si>
  <si>
    <t>ACT-47</t>
  </si>
  <si>
    <t>ACT-48</t>
  </si>
  <si>
    <t>ACT-49</t>
  </si>
  <si>
    <t>ACT-50</t>
  </si>
  <si>
    <t>ACT-51</t>
  </si>
  <si>
    <t>ACT-52</t>
  </si>
  <si>
    <t>ACT-53</t>
  </si>
  <si>
    <t>ACT-54</t>
  </si>
  <si>
    <t>Reprocesamiento de sísmica 3D (~1,299 km²) en tiempo y profundidad</t>
  </si>
  <si>
    <t>ACT-55</t>
  </si>
  <si>
    <t>Procesamiento sísmico (~842 km² del área contractual)</t>
  </si>
  <si>
    <t>ACT-56</t>
  </si>
  <si>
    <t>Procesamiento de datos magnetométricos</t>
  </si>
  <si>
    <t>ACT-57</t>
  </si>
  <si>
    <t>Interpretación sísmica regional para identificación de plays</t>
  </si>
  <si>
    <t>ACT-58</t>
  </si>
  <si>
    <t>Administración y gestión de actividades del proyecto</t>
  </si>
  <si>
    <t>ACT-59</t>
  </si>
  <si>
    <t>Transferencia de tecnología y responsabilidad social</t>
  </si>
  <si>
    <t>ACT-60</t>
  </si>
  <si>
    <t>Evaluación de plays y modelo de depósitos (GDE, CRS)</t>
  </si>
  <si>
    <t>ACT-61</t>
  </si>
  <si>
    <t>Estudios geológicos de detalle (análogos de yacimientos)</t>
  </si>
  <si>
    <t>ACT-62</t>
  </si>
  <si>
    <t>Estudios post-mortem de aproximadamente 56 pozos</t>
  </si>
  <si>
    <t>ACT-63</t>
  </si>
  <si>
    <t>Actualización e integración de información sísmica y prospectos</t>
  </si>
  <si>
    <t>ACT-64</t>
  </si>
  <si>
    <t>Reprocesado de 1,420 km² de sísmica 3D (PSTM y PSDM).</t>
  </si>
  <si>
    <t>ACT-65</t>
  </si>
  <si>
    <t>Interpretación Geológica-Geofísica</t>
  </si>
  <si>
    <t>ACT-66</t>
  </si>
  <si>
    <t>Visualización y jerarquización de oportunidades</t>
  </si>
  <si>
    <t>ACT-67</t>
  </si>
  <si>
    <t>Evaluación de oportunidad (Amistli-1EXP)</t>
  </si>
  <si>
    <t>ACT-68</t>
  </si>
  <si>
    <t>Perforación pozo Patux-1EXP</t>
  </si>
  <si>
    <t>ACT-69</t>
  </si>
  <si>
    <t>Diseño VCD, estudios geotécnicos y geofísicos.</t>
  </si>
  <si>
    <t>ACT-70</t>
  </si>
  <si>
    <t>Evaluación de oportunidad (Cuxi-1EXP)</t>
  </si>
  <si>
    <t>ACT-71</t>
  </si>
  <si>
    <t>Mejoramiento del volumen de velocidades para Cuxi-1EXP.</t>
  </si>
  <si>
    <t>ACT-72</t>
  </si>
  <si>
    <t>Perforación, terminación y toma de información del pozo Amistli-1EXP (5,661 m).</t>
  </si>
  <si>
    <t>ACT-73</t>
  </si>
  <si>
    <t>Perforación, terminación y toma de información del pozo Cuxi-1EXP (4,700 m).</t>
  </si>
  <si>
    <t>ACT-74</t>
  </si>
  <si>
    <t>ACT-75</t>
  </si>
  <si>
    <t>Pre-procesado, procesado, interpretación y reprocesamiento sísmico</t>
  </si>
  <si>
    <t>ACT-76</t>
  </si>
  <si>
    <t>Estudios geológicos de detalle e interpretación sísmica</t>
  </si>
  <si>
    <t>ACT-77</t>
  </si>
  <si>
    <t>ACT-78</t>
  </si>
  <si>
    <t>Preparación de áreas y vías de acceso a localización</t>
  </si>
  <si>
    <t>ACT-79</t>
  </si>
  <si>
    <t>Servicios de soporte (logística, transporte, seguridad, etc.)</t>
  </si>
  <si>
    <t>ACT-80</t>
  </si>
  <si>
    <t>Estudios de impacto ambiental</t>
  </si>
  <si>
    <t>ACT-81</t>
  </si>
  <si>
    <t>ACT-82</t>
  </si>
  <si>
    <t>Adquisición de información sísmica 3D NAz (1596 km2).</t>
  </si>
  <si>
    <t xml:space="preserve">Enero </t>
  </si>
  <si>
    <t>ACT-83</t>
  </si>
  <si>
    <t>Compra de paquete métodos potenciales CNIH.</t>
  </si>
  <si>
    <t>ACT-84</t>
  </si>
  <si>
    <t>Reprocesamiento de información sísmica 3D NAz (1596 km2).</t>
  </si>
  <si>
    <t>ACT-85</t>
  </si>
  <si>
    <t>Reprocesamiento de información sísmica 2D existente (580 km).</t>
  </si>
  <si>
    <t>ACT-86</t>
  </si>
  <si>
    <t>Licencia y procesamiento de datos magnetométricos CGG (797.995 km2).</t>
  </si>
  <si>
    <t>ACT-87</t>
  </si>
  <si>
    <t>Licencia y procesamiento de datos gracimétricos CGG (797.995 km2).</t>
  </si>
  <si>
    <t>ACT-88</t>
  </si>
  <si>
    <t xml:space="preserve">Interpretación sismica </t>
  </si>
  <si>
    <t>ACT-89</t>
  </si>
  <si>
    <t>ACT-90</t>
  </si>
  <si>
    <t>Estudios estratigráficos</t>
  </si>
  <si>
    <t>Mayo</t>
  </si>
  <si>
    <t>ACT-91</t>
  </si>
  <si>
    <t>Análisis de hidrocarburos</t>
  </si>
  <si>
    <t>Noviembre</t>
  </si>
  <si>
    <t>ACT-92</t>
  </si>
  <si>
    <t>ACT-93</t>
  </si>
  <si>
    <t>Estudios geológicos a detalle</t>
  </si>
  <si>
    <t>ACT-94</t>
  </si>
  <si>
    <t>ACT-95</t>
  </si>
  <si>
    <t>Ingeniería de Yacimientos</t>
  </si>
  <si>
    <t xml:space="preserve">Estimación de recursos prospectivos </t>
  </si>
  <si>
    <t>ACT-96</t>
  </si>
  <si>
    <t>Estudios sedimentologicos</t>
  </si>
  <si>
    <t>ACT-97</t>
  </si>
  <si>
    <t>Caracterización de yacimientos</t>
  </si>
  <si>
    <t>ACT-98</t>
  </si>
  <si>
    <t>DOC-G09-001</t>
  </si>
  <si>
    <t>Escenario A - Adquisición y procesado de sísmica 2D.</t>
  </si>
  <si>
    <t>ACT-99</t>
  </si>
  <si>
    <t>Escenario A - Reproceso de sísmica 2D.</t>
  </si>
  <si>
    <t>ACT-100</t>
  </si>
  <si>
    <t>Escenario A - Adquisición y procesado de sísmica 3D WAz.</t>
  </si>
  <si>
    <t>ACT-101</t>
  </si>
  <si>
    <t>Escenario A - Reproceso de sísmica 3D WAz.</t>
  </si>
  <si>
    <t>ACT-102</t>
  </si>
  <si>
    <t>Escenario A - Interpretación sísmica.</t>
  </si>
  <si>
    <t>ACT-103</t>
  </si>
  <si>
    <t>Escenario A - Evaluación de recursos prospectivos.</t>
  </si>
  <si>
    <t>ACT-104</t>
  </si>
  <si>
    <t>ACT-105</t>
  </si>
  <si>
    <t>Pozo</t>
  </si>
  <si>
    <t>Escenario A - Perforación y terminación.</t>
  </si>
  <si>
    <t>ACT-106</t>
  </si>
  <si>
    <t>Escenario A - Toma de información.</t>
  </si>
  <si>
    <t>ACT-107</t>
  </si>
  <si>
    <t>Ambiental</t>
  </si>
  <si>
    <t>Escenario A - Línea Base Ambiental.</t>
  </si>
  <si>
    <t>ACT-108</t>
  </si>
  <si>
    <t>Social</t>
  </si>
  <si>
    <t>Escenario A - Evaluación de Impacto Social.</t>
  </si>
  <si>
    <t>ACT-109</t>
  </si>
  <si>
    <t>Escenario B - Adquisición y procesado de sísmica 2D.</t>
  </si>
  <si>
    <t>ACT-110</t>
  </si>
  <si>
    <t>Escenario B - Reproceso de sísmica 2D.</t>
  </si>
  <si>
    <t>ACT-111</t>
  </si>
  <si>
    <t>Escenario B - Adquisición y procesado de sísmica 3D WAz.</t>
  </si>
  <si>
    <t>ACT-112</t>
  </si>
  <si>
    <t>Escenario B - Reproceso de sísmica 3D WAz.</t>
  </si>
  <si>
    <t>ACT-113</t>
  </si>
  <si>
    <t>Escenario B - Adquisición y procesado de información electromagnética.</t>
  </si>
  <si>
    <t>ACT-114</t>
  </si>
  <si>
    <t>Escenario B - Adquisición y procesado de sísmica 3D NAz.</t>
  </si>
  <si>
    <t>ACT-115</t>
  </si>
  <si>
    <t>Escenario B - Interpretación sísmica.</t>
  </si>
  <si>
    <t>ACT-116</t>
  </si>
  <si>
    <t>ACT-117</t>
  </si>
  <si>
    <t>Escenario B - Evaluación de recursos prospectivos.</t>
  </si>
  <si>
    <t>ACT-118</t>
  </si>
  <si>
    <t>ACT-119</t>
  </si>
  <si>
    <t>Escenario B - Perforación y terminación.</t>
  </si>
  <si>
    <t>ACT-120</t>
  </si>
  <si>
    <t>Escenario B - Toma de información.</t>
  </si>
  <si>
    <t>ACT-121</t>
  </si>
  <si>
    <t>Escenario B - Línea Base Ambiental.</t>
  </si>
  <si>
    <t>ACT-122</t>
  </si>
  <si>
    <t>Escenario B - Evaluación de Impacto Social.</t>
  </si>
  <si>
    <t>ID_Inversion</t>
  </si>
  <si>
    <t>Año</t>
  </si>
  <si>
    <t>Mes</t>
  </si>
  <si>
    <t>Fase_Actividad</t>
  </si>
  <si>
    <t>Monto_Aprobado_USD</t>
  </si>
  <si>
    <t>Monto_Ejercido_USD</t>
  </si>
  <si>
    <t>ID_Ingreso</t>
  </si>
  <si>
    <t>INV-01</t>
  </si>
  <si>
    <t>Concepto_Pago</t>
  </si>
  <si>
    <t>Monto_Pagado_MXN</t>
  </si>
  <si>
    <t>Monto_Pagado_USD</t>
  </si>
  <si>
    <t>Exploracion</t>
  </si>
  <si>
    <t>ING-01</t>
  </si>
  <si>
    <t>Cuota Contractual Fase Exploratoria</t>
  </si>
  <si>
    <t>INV-02</t>
  </si>
  <si>
    <t>ING-02</t>
  </si>
  <si>
    <t>INV-03</t>
  </si>
  <si>
    <t>ING-03</t>
  </si>
  <si>
    <t>INV-04</t>
  </si>
  <si>
    <t>ING-04</t>
  </si>
  <si>
    <t>INV-05</t>
  </si>
  <si>
    <t>ING-05</t>
  </si>
  <si>
    <t>INV-06</t>
  </si>
  <si>
    <t>ING-06</t>
  </si>
  <si>
    <t>ING-07</t>
  </si>
  <si>
    <t>INV-07</t>
  </si>
  <si>
    <t>ING-08</t>
  </si>
  <si>
    <t>INV-08</t>
  </si>
  <si>
    <t>ING-09</t>
  </si>
  <si>
    <t>Febrero</t>
  </si>
  <si>
    <t>INV-09</t>
  </si>
  <si>
    <t>ING-10</t>
  </si>
  <si>
    <t>INV-10</t>
  </si>
  <si>
    <t>ING-11</t>
  </si>
  <si>
    <t>ING-12</t>
  </si>
  <si>
    <t>INV-11</t>
  </si>
  <si>
    <t>ING-13</t>
  </si>
  <si>
    <t>INV-12</t>
  </si>
  <si>
    <t>ING-14</t>
  </si>
  <si>
    <t>ING-15</t>
  </si>
  <si>
    <t>INV-13</t>
  </si>
  <si>
    <t>ING-16</t>
  </si>
  <si>
    <t>INV-14</t>
  </si>
  <si>
    <t>ING-17</t>
  </si>
  <si>
    <t>ING-18</t>
  </si>
  <si>
    <t>INV-15</t>
  </si>
  <si>
    <t>ING-19</t>
  </si>
  <si>
    <t>INV-16</t>
  </si>
  <si>
    <t>ING-20</t>
  </si>
  <si>
    <t>ING-21</t>
  </si>
  <si>
    <t>INV-17</t>
  </si>
  <si>
    <t>ING-22</t>
  </si>
  <si>
    <t>INV-18</t>
  </si>
  <si>
    <t>ING-23</t>
  </si>
  <si>
    <t>ING-24</t>
  </si>
  <si>
    <t>INV-19</t>
  </si>
  <si>
    <t>ING-25</t>
  </si>
  <si>
    <t>ING-26</t>
  </si>
  <si>
    <t>INV-20</t>
  </si>
  <si>
    <t>ING-27</t>
  </si>
  <si>
    <t>INV-21</t>
  </si>
  <si>
    <t>ING-28</t>
  </si>
  <si>
    <t>INV-22</t>
  </si>
  <si>
    <t>ING-29</t>
  </si>
  <si>
    <t>ING-30</t>
  </si>
  <si>
    <t>INV-23</t>
  </si>
  <si>
    <t>ID_DatGeo</t>
  </si>
  <si>
    <t>ING-31</t>
  </si>
  <si>
    <t>Provincia_Petrolera</t>
  </si>
  <si>
    <t>Provincia_Geologica</t>
  </si>
  <si>
    <t>INV-24</t>
  </si>
  <si>
    <t>Superficie_AContractual_km2</t>
  </si>
  <si>
    <t>ING-32</t>
  </si>
  <si>
    <t>Cobertura_sismica_3D</t>
  </si>
  <si>
    <t>Edad_Play</t>
  </si>
  <si>
    <t>Litologias</t>
  </si>
  <si>
    <t>Hidrocarburo_Esperado</t>
  </si>
  <si>
    <t>ING-33</t>
  </si>
  <si>
    <t>DAG-01</t>
  </si>
  <si>
    <t>INV-25</t>
  </si>
  <si>
    <t>Cuencas del Sureste</t>
  </si>
  <si>
    <t>Cuenca Salina</t>
  </si>
  <si>
    <t>ING-34</t>
  </si>
  <si>
    <t>Plioceno-Pleistoceno, Cretácico</t>
  </si>
  <si>
    <t>INV-26</t>
  </si>
  <si>
    <t>Arenisca grano grueso, Caliza fracturada</t>
  </si>
  <si>
    <t>Aceite pesado, Gas seco</t>
  </si>
  <si>
    <t>ING-35</t>
  </si>
  <si>
    <t>DAG-02</t>
  </si>
  <si>
    <t>INV-27</t>
  </si>
  <si>
    <t>Tampico-Misantla-
Veracruz</t>
  </si>
  <si>
    <t>Cuenca Tampico-Misantla</t>
  </si>
  <si>
    <t>ING-36</t>
  </si>
  <si>
    <t>Mioceno, Mesozoico, Cretácico Medio</t>
  </si>
  <si>
    <t>Arenisca grano medio , Brechas y Boundstone (Calizas)</t>
  </si>
  <si>
    <t>INV-28</t>
  </si>
  <si>
    <t>Aceite ligero, Gas seco</t>
  </si>
  <si>
    <t>ING-37</t>
  </si>
  <si>
    <t>DAG-03</t>
  </si>
  <si>
    <t>INV-29</t>
  </si>
  <si>
    <t>ING-38</t>
  </si>
  <si>
    <t>Mioceno Medio, Cretácico</t>
  </si>
  <si>
    <t>Arena grano medio, Caliza fracturada</t>
  </si>
  <si>
    <t>Aceite pesado</t>
  </si>
  <si>
    <t>INV-30</t>
  </si>
  <si>
    <t>ING-39</t>
  </si>
  <si>
    <t>DAG-04</t>
  </si>
  <si>
    <t>Área Perdido</t>
  </si>
  <si>
    <t>Salina del Bravo</t>
  </si>
  <si>
    <t>INV-31</t>
  </si>
  <si>
    <t>ING-40</t>
  </si>
  <si>
    <t>Eoceno Temprano</t>
  </si>
  <si>
    <t>Arena grano fino</t>
  </si>
  <si>
    <t>Aceite ligero</t>
  </si>
  <si>
    <t>INV-32</t>
  </si>
  <si>
    <t>ING-41</t>
  </si>
  <si>
    <t>DAG-05</t>
  </si>
  <si>
    <t>ING-42</t>
  </si>
  <si>
    <t>Jurásico Tardío, Cretácico Medio</t>
  </si>
  <si>
    <t>Grainstone de Oolitas y Brechas (Calizas)</t>
  </si>
  <si>
    <t>INV-33</t>
  </si>
  <si>
    <t>ING-43</t>
  </si>
  <si>
    <t>DAG-06</t>
  </si>
  <si>
    <t>ING-44</t>
  </si>
  <si>
    <t>INV-34</t>
  </si>
  <si>
    <t>Salina del Istmo</t>
  </si>
  <si>
    <t>Plioceno Temprano, Plioceno Medio, Mioceno Temprano-Medio</t>
  </si>
  <si>
    <t>Arena grano medio</t>
  </si>
  <si>
    <t>ING-45</t>
  </si>
  <si>
    <t>INV-35</t>
  </si>
  <si>
    <t>DAG-07</t>
  </si>
  <si>
    <t>INV-36</t>
  </si>
  <si>
    <t>ING-46</t>
  </si>
  <si>
    <t>DAG-08</t>
  </si>
  <si>
    <t>ING-47</t>
  </si>
  <si>
    <t>INV-37</t>
  </si>
  <si>
    <t>Cinturón Plegado Perdido</t>
  </si>
  <si>
    <t>Oligoceno Tardío, Oligoceno Temprano, Eoceno Temprano</t>
  </si>
  <si>
    <t>ING-48</t>
  </si>
  <si>
    <t>INV-38</t>
  </si>
  <si>
    <t>DAG-09</t>
  </si>
  <si>
    <t>ING-49</t>
  </si>
  <si>
    <t>INV-39</t>
  </si>
  <si>
    <t>Neógeno, Paleógeno</t>
  </si>
  <si>
    <t>Arena grano fino, Arena grano medio</t>
  </si>
  <si>
    <t>ING-50</t>
  </si>
  <si>
    <t>Aceite super ligero, Aceite ligero</t>
  </si>
  <si>
    <t>INV-40</t>
  </si>
  <si>
    <t>DAG-10</t>
  </si>
  <si>
    <t>ING-51</t>
  </si>
  <si>
    <t>INV-41</t>
  </si>
  <si>
    <t>ING-52</t>
  </si>
  <si>
    <t>Plioceno-Pleistoceno, Mioceno</t>
  </si>
  <si>
    <t>Arenisca grano medio</t>
  </si>
  <si>
    <t>INV-42</t>
  </si>
  <si>
    <t>ING-53</t>
  </si>
  <si>
    <t>DAG-11</t>
  </si>
  <si>
    <t>Tampico Misantla</t>
  </si>
  <si>
    <t>Tampico-Misantla Marino</t>
  </si>
  <si>
    <t>ING-54</t>
  </si>
  <si>
    <t>Mioceno, Cretácico Medio</t>
  </si>
  <si>
    <t>INV-43</t>
  </si>
  <si>
    <t>Arena grano medio, Boundstone,  Brechas</t>
  </si>
  <si>
    <t>ING-55</t>
  </si>
  <si>
    <t>DAG-12</t>
  </si>
  <si>
    <t>INV-44</t>
  </si>
  <si>
    <t>ING-56</t>
  </si>
  <si>
    <t>INV-45</t>
  </si>
  <si>
    <t>Pre Oxfordiano</t>
  </si>
  <si>
    <t>ING-57</t>
  </si>
  <si>
    <t>Arenisca grano fino</t>
  </si>
  <si>
    <t>Aceite super ligero</t>
  </si>
  <si>
    <t>INV-46</t>
  </si>
  <si>
    <t>DAG-13</t>
  </si>
  <si>
    <t>ING-58</t>
  </si>
  <si>
    <t>Pilar Reforma-Akal</t>
  </si>
  <si>
    <t>INV-47</t>
  </si>
  <si>
    <t>Paleoceno, Eoceno</t>
  </si>
  <si>
    <t>ING-59</t>
  </si>
  <si>
    <t>Calcarenitas</t>
  </si>
  <si>
    <t>Aceite extrapesado</t>
  </si>
  <si>
    <t>INV-48</t>
  </si>
  <si>
    <t>DAG-14</t>
  </si>
  <si>
    <t>ING-60</t>
  </si>
  <si>
    <t>INV-49</t>
  </si>
  <si>
    <t>ING-61</t>
  </si>
  <si>
    <t>Mioceno Tardío-Medio Mioceno Temprano Oligoceno Temprano</t>
  </si>
  <si>
    <t xml:space="preserve"> Arena Grano Medio</t>
  </si>
  <si>
    <t xml:space="preserve"> aceite ligero, gas seco</t>
  </si>
  <si>
    <t>INV-50</t>
  </si>
  <si>
    <t>ING-62</t>
  </si>
  <si>
    <t>INV-51</t>
  </si>
  <si>
    <t>ING-63</t>
  </si>
  <si>
    <t>INV-52</t>
  </si>
  <si>
    <t>ING-64</t>
  </si>
  <si>
    <t>ING-65</t>
  </si>
  <si>
    <t>INV-53</t>
  </si>
  <si>
    <t>ING-66</t>
  </si>
  <si>
    <t>INV-54</t>
  </si>
  <si>
    <t>ING-67</t>
  </si>
  <si>
    <t>INV-55</t>
  </si>
  <si>
    <t>ING-68</t>
  </si>
  <si>
    <t>INV-56</t>
  </si>
  <si>
    <t>ING-69</t>
  </si>
  <si>
    <t>INV-57</t>
  </si>
  <si>
    <t>ING-70</t>
  </si>
  <si>
    <t>INV-58</t>
  </si>
  <si>
    <t>ING-71</t>
  </si>
  <si>
    <t>ING-72</t>
  </si>
  <si>
    <t>INV-59</t>
  </si>
  <si>
    <t>ING-73</t>
  </si>
  <si>
    <t>INV-60</t>
  </si>
  <si>
    <t>ING-74</t>
  </si>
  <si>
    <t>INV-61</t>
  </si>
  <si>
    <t>ING-75</t>
  </si>
  <si>
    <t>ING-76</t>
  </si>
  <si>
    <t>INV-62</t>
  </si>
  <si>
    <t>ING-77</t>
  </si>
  <si>
    <t>ING-78</t>
  </si>
  <si>
    <t>INV-63</t>
  </si>
  <si>
    <t>ING-79</t>
  </si>
  <si>
    <t>INV-64</t>
  </si>
  <si>
    <t>ING-80</t>
  </si>
  <si>
    <t>INV-65</t>
  </si>
  <si>
    <t>ING-81</t>
  </si>
  <si>
    <t>INV-66</t>
  </si>
  <si>
    <t>ING-82</t>
  </si>
  <si>
    <t>INV-67</t>
  </si>
  <si>
    <t>ING-83</t>
  </si>
  <si>
    <t>INV-68</t>
  </si>
  <si>
    <t>ING-84</t>
  </si>
  <si>
    <t>INV-69</t>
  </si>
  <si>
    <t>ING-85</t>
  </si>
  <si>
    <t>ING-86</t>
  </si>
  <si>
    <t>INV-70</t>
  </si>
  <si>
    <t>ING-87</t>
  </si>
  <si>
    <t>INV-71</t>
  </si>
  <si>
    <t>ING-88</t>
  </si>
  <si>
    <t>ING-89</t>
  </si>
  <si>
    <t>INV-72</t>
  </si>
  <si>
    <t>ING-90</t>
  </si>
  <si>
    <t>INV-73</t>
  </si>
  <si>
    <t>ING-91</t>
  </si>
  <si>
    <t>INV-74</t>
  </si>
  <si>
    <t>ING-92</t>
  </si>
  <si>
    <t>ING-93</t>
  </si>
  <si>
    <t>INV-75</t>
  </si>
  <si>
    <t>INV-76</t>
  </si>
  <si>
    <t>ING-94</t>
  </si>
  <si>
    <t>ING-95</t>
  </si>
  <si>
    <t>INV-77</t>
  </si>
  <si>
    <t>ING-96</t>
  </si>
  <si>
    <t>INV-78</t>
  </si>
  <si>
    <t>ING-97</t>
  </si>
  <si>
    <t>INV-79</t>
  </si>
  <si>
    <t>ING-98</t>
  </si>
  <si>
    <t>INV-80</t>
  </si>
  <si>
    <t>ING-99</t>
  </si>
  <si>
    <t>INV-81</t>
  </si>
  <si>
    <t>ING-100</t>
  </si>
  <si>
    <t>INV-82</t>
  </si>
  <si>
    <t>ING-101</t>
  </si>
  <si>
    <t>INV-83</t>
  </si>
  <si>
    <t>ING-102</t>
  </si>
  <si>
    <t>INV-84</t>
  </si>
  <si>
    <t>ING-103</t>
  </si>
  <si>
    <t>INV-85</t>
  </si>
  <si>
    <t>ING-104</t>
  </si>
  <si>
    <t>INV-86</t>
  </si>
  <si>
    <t>ING-105</t>
  </si>
  <si>
    <t>INV-87</t>
  </si>
  <si>
    <t>ING-106</t>
  </si>
  <si>
    <t>INV-88</t>
  </si>
  <si>
    <t>ING-107</t>
  </si>
  <si>
    <t>INV-89</t>
  </si>
  <si>
    <t>ING-108</t>
  </si>
  <si>
    <t>INV-90</t>
  </si>
  <si>
    <t>ING-109</t>
  </si>
  <si>
    <t>ING-110</t>
  </si>
  <si>
    <t>INV-91</t>
  </si>
  <si>
    <t>ING-111</t>
  </si>
  <si>
    <t>INV-92</t>
  </si>
  <si>
    <t>ING-112</t>
  </si>
  <si>
    <t>ING-113</t>
  </si>
  <si>
    <t>INV-93</t>
  </si>
  <si>
    <t>ING-114</t>
  </si>
  <si>
    <t>ING-115</t>
  </si>
  <si>
    <t>INV-94</t>
  </si>
  <si>
    <t>ING-116</t>
  </si>
  <si>
    <t>INV-95</t>
  </si>
  <si>
    <t>ING-117</t>
  </si>
  <si>
    <t>INV-96</t>
  </si>
  <si>
    <t>ING-118</t>
  </si>
  <si>
    <t>INV-97</t>
  </si>
  <si>
    <t>ING-119</t>
  </si>
  <si>
    <t>INV-98</t>
  </si>
  <si>
    <t>ING-120</t>
  </si>
  <si>
    <t>INV-99</t>
  </si>
  <si>
    <t>ING-121</t>
  </si>
  <si>
    <t>INV-100</t>
  </si>
  <si>
    <t>ING-122</t>
  </si>
  <si>
    <t>ING-123</t>
  </si>
  <si>
    <t>INV-101</t>
  </si>
  <si>
    <t>ING-124</t>
  </si>
  <si>
    <t>INV-102</t>
  </si>
  <si>
    <t>ING-125</t>
  </si>
  <si>
    <t>INV-103</t>
  </si>
  <si>
    <t>ING-126</t>
  </si>
  <si>
    <t>INV-104</t>
  </si>
  <si>
    <t>ING-127</t>
  </si>
  <si>
    <t>INV-105</t>
  </si>
  <si>
    <t>ING-128</t>
  </si>
  <si>
    <t>INV-106</t>
  </si>
  <si>
    <t>ING-129</t>
  </si>
  <si>
    <t>INV-107</t>
  </si>
  <si>
    <t>ING-130</t>
  </si>
  <si>
    <t>INV-108</t>
  </si>
  <si>
    <t>ING-131</t>
  </si>
  <si>
    <t>INV-109</t>
  </si>
  <si>
    <t>ING-132</t>
  </si>
  <si>
    <t>INV-110</t>
  </si>
  <si>
    <t>ING-133</t>
  </si>
  <si>
    <t>INV-111</t>
  </si>
  <si>
    <t>ING-134</t>
  </si>
  <si>
    <t>INV-112</t>
  </si>
  <si>
    <t>ING-135</t>
  </si>
  <si>
    <t>ING-136</t>
  </si>
  <si>
    <t>INV-113</t>
  </si>
  <si>
    <t>ING-137</t>
  </si>
  <si>
    <t>INV-114</t>
  </si>
  <si>
    <t>ING-138</t>
  </si>
  <si>
    <t>INV-115</t>
  </si>
  <si>
    <t>ING-139</t>
  </si>
  <si>
    <t>INV-116</t>
  </si>
  <si>
    <t>Fase Exploratoria</t>
  </si>
  <si>
    <t>ING-140</t>
  </si>
  <si>
    <t>INV-117</t>
  </si>
  <si>
    <t>ING-141</t>
  </si>
  <si>
    <t>INV-118</t>
  </si>
  <si>
    <t>ING-142</t>
  </si>
  <si>
    <t>INV-119</t>
  </si>
  <si>
    <t>ING-143</t>
  </si>
  <si>
    <t>INV-120</t>
  </si>
  <si>
    <t>ING-144</t>
  </si>
  <si>
    <t>INV-121</t>
  </si>
  <si>
    <t>ING-145</t>
  </si>
  <si>
    <t>INV-122</t>
  </si>
  <si>
    <t>ING-146</t>
  </si>
  <si>
    <t>INV-123</t>
  </si>
  <si>
    <t>ING-147</t>
  </si>
  <si>
    <t>INV-124</t>
  </si>
  <si>
    <t>ING-148</t>
  </si>
  <si>
    <t>INV-125</t>
  </si>
  <si>
    <t>ING-149</t>
  </si>
  <si>
    <t>ING-150</t>
  </si>
  <si>
    <t>INV-126</t>
  </si>
  <si>
    <t>ING-151</t>
  </si>
  <si>
    <t>INV-127</t>
  </si>
  <si>
    <t>ING-152</t>
  </si>
  <si>
    <t>INV-128</t>
  </si>
  <si>
    <t>ING-153</t>
  </si>
  <si>
    <t>INV-129</t>
  </si>
  <si>
    <t>ING-154</t>
  </si>
  <si>
    <t>INV-130</t>
  </si>
  <si>
    <t>ING-155</t>
  </si>
  <si>
    <t>INV-131</t>
  </si>
  <si>
    <t>ING-156</t>
  </si>
  <si>
    <t>INV-132</t>
  </si>
  <si>
    <t>ING-157</t>
  </si>
  <si>
    <t>INV-133</t>
  </si>
  <si>
    <t>ING-158</t>
  </si>
  <si>
    <t>INV-134</t>
  </si>
  <si>
    <t>ING-159</t>
  </si>
  <si>
    <t>INV-135</t>
  </si>
  <si>
    <t>ING-160</t>
  </si>
  <si>
    <t>INV-136</t>
  </si>
  <si>
    <t>ING-161</t>
  </si>
  <si>
    <t>INV-137</t>
  </si>
  <si>
    <t>ING-162</t>
  </si>
  <si>
    <t>INV-138</t>
  </si>
  <si>
    <t>ING-163</t>
  </si>
  <si>
    <t>INV-139</t>
  </si>
  <si>
    <t>ING-164</t>
  </si>
  <si>
    <t>INV-140</t>
  </si>
  <si>
    <t>ING-165</t>
  </si>
  <si>
    <t>INV-141</t>
  </si>
  <si>
    <t>ING-166</t>
  </si>
  <si>
    <t>INV-142</t>
  </si>
  <si>
    <t>ING-167</t>
  </si>
  <si>
    <t>INV-143</t>
  </si>
  <si>
    <t>ING-168</t>
  </si>
  <si>
    <t>ING-169</t>
  </si>
  <si>
    <t>INV-144</t>
  </si>
  <si>
    <t>ING-170</t>
  </si>
  <si>
    <t>INV-145</t>
  </si>
  <si>
    <t>INV-146</t>
  </si>
  <si>
    <t>ING-171</t>
  </si>
  <si>
    <t>ING-172</t>
  </si>
  <si>
    <t>INV-147</t>
  </si>
  <si>
    <t>ING-173</t>
  </si>
  <si>
    <t>INV-148</t>
  </si>
  <si>
    <t>ING-174</t>
  </si>
  <si>
    <t>INV-149</t>
  </si>
  <si>
    <t>ING-175</t>
  </si>
  <si>
    <t>INV-150</t>
  </si>
  <si>
    <t>ING-176</t>
  </si>
  <si>
    <t>INV-151</t>
  </si>
  <si>
    <t>ING-177</t>
  </si>
  <si>
    <t>INV-152</t>
  </si>
  <si>
    <t>ING-178</t>
  </si>
  <si>
    <t>INV-153</t>
  </si>
  <si>
    <t>ING-179</t>
  </si>
  <si>
    <t>INV-154</t>
  </si>
  <si>
    <t>ING-180</t>
  </si>
  <si>
    <t>INV-155</t>
  </si>
  <si>
    <t>ING-181</t>
  </si>
  <si>
    <t>INV-156</t>
  </si>
  <si>
    <t>ING-182</t>
  </si>
  <si>
    <t>INV-157</t>
  </si>
  <si>
    <t>ING-183</t>
  </si>
  <si>
    <t>INV-158</t>
  </si>
  <si>
    <t>ING-184</t>
  </si>
  <si>
    <t>INV-159</t>
  </si>
  <si>
    <t>ING-185</t>
  </si>
  <si>
    <t>INV-160</t>
  </si>
  <si>
    <t>ING-186</t>
  </si>
  <si>
    <t>INV-161</t>
  </si>
  <si>
    <t>ING-187</t>
  </si>
  <si>
    <t>INV-162</t>
  </si>
  <si>
    <t>ING-188</t>
  </si>
  <si>
    <t>INV-163</t>
  </si>
  <si>
    <t>ING-189</t>
  </si>
  <si>
    <t>INV-164</t>
  </si>
  <si>
    <t>ING-190</t>
  </si>
  <si>
    <t>INV-165</t>
  </si>
  <si>
    <t>ING-191</t>
  </si>
  <si>
    <t>INV-166</t>
  </si>
  <si>
    <t>ING-192</t>
  </si>
  <si>
    <t>INV-167</t>
  </si>
  <si>
    <t>ING-193</t>
  </si>
  <si>
    <t>INV-168</t>
  </si>
  <si>
    <t>ING-194</t>
  </si>
  <si>
    <t>INV-169</t>
  </si>
  <si>
    <t>ING-195</t>
  </si>
  <si>
    <t>INV-170</t>
  </si>
  <si>
    <t>ING-196</t>
  </si>
  <si>
    <t>INV-171</t>
  </si>
  <si>
    <t>ING-197</t>
  </si>
  <si>
    <t>ING-198</t>
  </si>
  <si>
    <t>INV-172</t>
  </si>
  <si>
    <t>ING-199</t>
  </si>
  <si>
    <t>INV-173</t>
  </si>
  <si>
    <t>ING-200</t>
  </si>
  <si>
    <t>INV-174</t>
  </si>
  <si>
    <t>ING-201</t>
  </si>
  <si>
    <t>INV-175</t>
  </si>
  <si>
    <t>ING-202</t>
  </si>
  <si>
    <t>INV-176</t>
  </si>
  <si>
    <t>ING-203</t>
  </si>
  <si>
    <t>INV-177</t>
  </si>
  <si>
    <t>ING-204</t>
  </si>
  <si>
    <t>INV-178</t>
  </si>
  <si>
    <t>ING-205</t>
  </si>
  <si>
    <t>INV-179</t>
  </si>
  <si>
    <t>ING-206</t>
  </si>
  <si>
    <t>INV-180</t>
  </si>
  <si>
    <t>ING-207</t>
  </si>
  <si>
    <t>INV-181</t>
  </si>
  <si>
    <t>ING-208</t>
  </si>
  <si>
    <t>INV-182</t>
  </si>
  <si>
    <t>ING-209</t>
  </si>
  <si>
    <t>INV-183</t>
  </si>
  <si>
    <t>ING-210</t>
  </si>
  <si>
    <t>INV-184</t>
  </si>
  <si>
    <t>ING-211</t>
  </si>
  <si>
    <t>INV-185</t>
  </si>
  <si>
    <t>ING-212</t>
  </si>
  <si>
    <t>INV-186</t>
  </si>
  <si>
    <t>ING-213</t>
  </si>
  <si>
    <t>INV-187</t>
  </si>
  <si>
    <t>ING-214</t>
  </si>
  <si>
    <t>INV-188</t>
  </si>
  <si>
    <t>ING-215</t>
  </si>
  <si>
    <t>ING-216</t>
  </si>
  <si>
    <t>INV-189</t>
  </si>
  <si>
    <t>ING-217</t>
  </si>
  <si>
    <t>INV-190</t>
  </si>
  <si>
    <t>ING-218</t>
  </si>
  <si>
    <t>ING-219</t>
  </si>
  <si>
    <t>INV-191</t>
  </si>
  <si>
    <t>ING-220</t>
  </si>
  <si>
    <t>INV-192</t>
  </si>
  <si>
    <t>ING-221</t>
  </si>
  <si>
    <t>ING-222</t>
  </si>
  <si>
    <t>INV-193</t>
  </si>
  <si>
    <t>ING-223</t>
  </si>
  <si>
    <t>INV-194</t>
  </si>
  <si>
    <t>ING-224</t>
  </si>
  <si>
    <t>INV-195</t>
  </si>
  <si>
    <t>ING-225</t>
  </si>
  <si>
    <t>ING-226</t>
  </si>
  <si>
    <t>INV-196</t>
  </si>
  <si>
    <t>ING-227</t>
  </si>
  <si>
    <t>INV-197</t>
  </si>
  <si>
    <t>ING-228</t>
  </si>
  <si>
    <t>INV-198</t>
  </si>
  <si>
    <t>ING-229</t>
  </si>
  <si>
    <t>ING-230</t>
  </si>
  <si>
    <t>INV-199</t>
  </si>
  <si>
    <t>ING-231</t>
  </si>
  <si>
    <t>INV-200</t>
  </si>
  <si>
    <t>ING-232</t>
  </si>
  <si>
    <t>ING-233</t>
  </si>
  <si>
    <t>INV-201</t>
  </si>
  <si>
    <t>ING-234</t>
  </si>
  <si>
    <t>INV-202</t>
  </si>
  <si>
    <t>ING-235</t>
  </si>
  <si>
    <t>INV-203</t>
  </si>
  <si>
    <t>ING-236</t>
  </si>
  <si>
    <t>ING-237</t>
  </si>
  <si>
    <t>INV-204</t>
  </si>
  <si>
    <t>ING-238</t>
  </si>
  <si>
    <t>ING-239</t>
  </si>
  <si>
    <t>INV-205</t>
  </si>
  <si>
    <t>ING-240</t>
  </si>
  <si>
    <t>INV-206</t>
  </si>
  <si>
    <t>ING-241</t>
  </si>
  <si>
    <t>INV-207</t>
  </si>
  <si>
    <t>ING-242</t>
  </si>
  <si>
    <t>INV-208</t>
  </si>
  <si>
    <t>ING-243</t>
  </si>
  <si>
    <t>INV-209</t>
  </si>
  <si>
    <t>ING-244</t>
  </si>
  <si>
    <t>ING-245</t>
  </si>
  <si>
    <t>INV-210</t>
  </si>
  <si>
    <t>ING-246</t>
  </si>
  <si>
    <t>INV-211</t>
  </si>
  <si>
    <t>ING-247</t>
  </si>
  <si>
    <t>INV-212</t>
  </si>
  <si>
    <t>ING-248</t>
  </si>
  <si>
    <t>INV-213</t>
  </si>
  <si>
    <t>ING-249</t>
  </si>
  <si>
    <t>INV-214</t>
  </si>
  <si>
    <t>ING-250</t>
  </si>
  <si>
    <t>INV-215</t>
  </si>
  <si>
    <t>ING-251</t>
  </si>
  <si>
    <t>INV-216</t>
  </si>
  <si>
    <t>ING-252</t>
  </si>
  <si>
    <t>INV-217</t>
  </si>
  <si>
    <t>ING-253</t>
  </si>
  <si>
    <t>INV-218</t>
  </si>
  <si>
    <t>ING-254</t>
  </si>
  <si>
    <t>INV-219</t>
  </si>
  <si>
    <t>ING-255</t>
  </si>
  <si>
    <t>INV-220</t>
  </si>
  <si>
    <t>ING-256</t>
  </si>
  <si>
    <t>INV-221</t>
  </si>
  <si>
    <t>ING-257</t>
  </si>
  <si>
    <t>INV-222</t>
  </si>
  <si>
    <t>ING-258</t>
  </si>
  <si>
    <t>INV-223</t>
  </si>
  <si>
    <t>ING-259</t>
  </si>
  <si>
    <t>ING-260</t>
  </si>
  <si>
    <t>INV-224</t>
  </si>
  <si>
    <t>INV-225</t>
  </si>
  <si>
    <t>ING-261</t>
  </si>
  <si>
    <t>INV-226</t>
  </si>
  <si>
    <t>ING-262</t>
  </si>
  <si>
    <t>INV-227</t>
  </si>
  <si>
    <t>ING-263</t>
  </si>
  <si>
    <t>INV-228</t>
  </si>
  <si>
    <t>ING-264</t>
  </si>
  <si>
    <t>ING-265</t>
  </si>
  <si>
    <t>INV-229</t>
  </si>
  <si>
    <t>ING-266</t>
  </si>
  <si>
    <t>INV-230</t>
  </si>
  <si>
    <t>ING-267</t>
  </si>
  <si>
    <t>INV-231</t>
  </si>
  <si>
    <t>ING-268</t>
  </si>
  <si>
    <t>INV-232</t>
  </si>
  <si>
    <t>ING-269</t>
  </si>
  <si>
    <t>INV-233</t>
  </si>
  <si>
    <t>ING-270</t>
  </si>
  <si>
    <t>INV-234</t>
  </si>
  <si>
    <t>ING-271</t>
  </si>
  <si>
    <t>INV-235</t>
  </si>
  <si>
    <t>ING-272</t>
  </si>
  <si>
    <t>INV-236</t>
  </si>
  <si>
    <t>ING-273</t>
  </si>
  <si>
    <t>INV-237</t>
  </si>
  <si>
    <t>ING-274</t>
  </si>
  <si>
    <t>INV-238</t>
  </si>
  <si>
    <t>ING-275</t>
  </si>
  <si>
    <t>INV-239</t>
  </si>
  <si>
    <t>ING-276</t>
  </si>
  <si>
    <t>INV-240</t>
  </si>
  <si>
    <t>ING-277</t>
  </si>
  <si>
    <t>INV-241</t>
  </si>
  <si>
    <t>ING-278</t>
  </si>
  <si>
    <t>INV-242</t>
  </si>
  <si>
    <t>ING-279</t>
  </si>
  <si>
    <t>INV-243</t>
  </si>
  <si>
    <t>ING-280</t>
  </si>
  <si>
    <t>INV-244</t>
  </si>
  <si>
    <t>ING-281</t>
  </si>
  <si>
    <t>INV-245</t>
  </si>
  <si>
    <t>ING-282</t>
  </si>
  <si>
    <t>INV-246</t>
  </si>
  <si>
    <t>ING-283</t>
  </si>
  <si>
    <t>INV-247</t>
  </si>
  <si>
    <t>ING-284</t>
  </si>
  <si>
    <t>INV-248</t>
  </si>
  <si>
    <t>ING-285</t>
  </si>
  <si>
    <t>INV-249</t>
  </si>
  <si>
    <t>ING-286</t>
  </si>
  <si>
    <t>INV-250</t>
  </si>
  <si>
    <t>ING-287</t>
  </si>
  <si>
    <t>INV-251</t>
  </si>
  <si>
    <t>ING-288</t>
  </si>
  <si>
    <t>INV-252</t>
  </si>
  <si>
    <t>ING-289</t>
  </si>
  <si>
    <t>INV-253</t>
  </si>
  <si>
    <t>ING-290</t>
  </si>
  <si>
    <t>INV-254</t>
  </si>
  <si>
    <t>ING-291</t>
  </si>
  <si>
    <t>INV-255</t>
  </si>
  <si>
    <t>ING-292</t>
  </si>
  <si>
    <t>INV-256</t>
  </si>
  <si>
    <t>ING-293</t>
  </si>
  <si>
    <t>INV-257</t>
  </si>
  <si>
    <t>ING-294</t>
  </si>
  <si>
    <t>INV-258</t>
  </si>
  <si>
    <t>ING-295</t>
  </si>
  <si>
    <t>INV-259</t>
  </si>
  <si>
    <t>ING-296</t>
  </si>
  <si>
    <t>INV-260</t>
  </si>
  <si>
    <t>ING-297</t>
  </si>
  <si>
    <t>ING-298</t>
  </si>
  <si>
    <t>INV-261</t>
  </si>
  <si>
    <t>ING-299</t>
  </si>
  <si>
    <t>INV-262</t>
  </si>
  <si>
    <t>ING-300</t>
  </si>
  <si>
    <t>INV-263</t>
  </si>
  <si>
    <t>ING-301</t>
  </si>
  <si>
    <t>INV-264</t>
  </si>
  <si>
    <t>ING-302</t>
  </si>
  <si>
    <t>INV-265</t>
  </si>
  <si>
    <t>ING-303</t>
  </si>
  <si>
    <t>INV-266</t>
  </si>
  <si>
    <t>INV-267</t>
  </si>
  <si>
    <t>ING-304</t>
  </si>
  <si>
    <t>INV-268</t>
  </si>
  <si>
    <t>ING-305</t>
  </si>
  <si>
    <t>INV-269</t>
  </si>
  <si>
    <t>ING-306</t>
  </si>
  <si>
    <t>INV-270</t>
  </si>
  <si>
    <t>ING-307</t>
  </si>
  <si>
    <t>ING-308</t>
  </si>
  <si>
    <t>INV-271</t>
  </si>
  <si>
    <t>ING-309</t>
  </si>
  <si>
    <t>INV-272</t>
  </si>
  <si>
    <t>ING-310</t>
  </si>
  <si>
    <t>INV-273</t>
  </si>
  <si>
    <t>ING-311</t>
  </si>
  <si>
    <t>INV-274</t>
  </si>
  <si>
    <t>ING-312</t>
  </si>
  <si>
    <t>INV-275</t>
  </si>
  <si>
    <t>ING-313</t>
  </si>
  <si>
    <t>INV-276</t>
  </si>
  <si>
    <t>ING-314</t>
  </si>
  <si>
    <t>INV-277</t>
  </si>
  <si>
    <t>ING-315</t>
  </si>
  <si>
    <t>INV-278</t>
  </si>
  <si>
    <t>ING-316</t>
  </si>
  <si>
    <t>INV-279</t>
  </si>
  <si>
    <t>ING-317</t>
  </si>
  <si>
    <t>INV-280</t>
  </si>
  <si>
    <t>ING-318</t>
  </si>
  <si>
    <t>INV-281</t>
  </si>
  <si>
    <t>ING-319</t>
  </si>
  <si>
    <t>INV-282</t>
  </si>
  <si>
    <t>ING-320</t>
  </si>
  <si>
    <t>INV-283</t>
  </si>
  <si>
    <t>ING-321</t>
  </si>
  <si>
    <t>INV-284</t>
  </si>
  <si>
    <t>ING-322</t>
  </si>
  <si>
    <t>INV-285</t>
  </si>
  <si>
    <t>ING-323</t>
  </si>
  <si>
    <t>INV-286</t>
  </si>
  <si>
    <t>ING-324</t>
  </si>
  <si>
    <t>INV-287</t>
  </si>
  <si>
    <t>ING-325</t>
  </si>
  <si>
    <t>INV-288</t>
  </si>
  <si>
    <t>ING-326</t>
  </si>
  <si>
    <t>INV-289</t>
  </si>
  <si>
    <t>ING-327</t>
  </si>
  <si>
    <t>INV-290</t>
  </si>
  <si>
    <t>ING-328</t>
  </si>
  <si>
    <t>INV-291</t>
  </si>
  <si>
    <t>ING-329</t>
  </si>
  <si>
    <t>INV-292</t>
  </si>
  <si>
    <t>ING-330</t>
  </si>
  <si>
    <t>INV-293</t>
  </si>
  <si>
    <t>ING-331</t>
  </si>
  <si>
    <t>INV-294</t>
  </si>
  <si>
    <t>ING-332</t>
  </si>
  <si>
    <t>INV-295</t>
  </si>
  <si>
    <t>ING-333</t>
  </si>
  <si>
    <t>INV-296</t>
  </si>
  <si>
    <t>ING-334</t>
  </si>
  <si>
    <t>INV-297</t>
  </si>
  <si>
    <t>ING-335</t>
  </si>
  <si>
    <t>INV-298</t>
  </si>
  <si>
    <t>ING-336</t>
  </si>
  <si>
    <t>INV-299</t>
  </si>
  <si>
    <t>ING-337</t>
  </si>
  <si>
    <t>INV-300</t>
  </si>
  <si>
    <t>ING-338</t>
  </si>
  <si>
    <t>INV-301</t>
  </si>
  <si>
    <t>ING-339</t>
  </si>
  <si>
    <t>INV-302</t>
  </si>
  <si>
    <t>ING-340</t>
  </si>
  <si>
    <t>INV-303</t>
  </si>
  <si>
    <t>ING-341</t>
  </si>
  <si>
    <t>INV-304</t>
  </si>
  <si>
    <t>ING-342</t>
  </si>
  <si>
    <t>INV-305</t>
  </si>
  <si>
    <t>ING-343</t>
  </si>
  <si>
    <t>INV-306</t>
  </si>
  <si>
    <t>ING-344</t>
  </si>
  <si>
    <t>INV-307</t>
  </si>
  <si>
    <t>ING-345</t>
  </si>
  <si>
    <t>INV-308</t>
  </si>
  <si>
    <t>ING-346</t>
  </si>
  <si>
    <t>INV-309</t>
  </si>
  <si>
    <t>ING-347</t>
  </si>
  <si>
    <t>INV-310</t>
  </si>
  <si>
    <t>ING-348</t>
  </si>
  <si>
    <t>INV-311</t>
  </si>
  <si>
    <t>ING-349</t>
  </si>
  <si>
    <t>ING-350</t>
  </si>
  <si>
    <t>INV-312</t>
  </si>
  <si>
    <t>ING-351</t>
  </si>
  <si>
    <t>INV-313</t>
  </si>
  <si>
    <t>ING-352</t>
  </si>
  <si>
    <t>INV-314</t>
  </si>
  <si>
    <t>ING-353</t>
  </si>
  <si>
    <t>INV-315</t>
  </si>
  <si>
    <t>ING-354</t>
  </si>
  <si>
    <t>INV-316</t>
  </si>
  <si>
    <t>ING-355</t>
  </si>
  <si>
    <t>INV-317</t>
  </si>
  <si>
    <t>ING-356</t>
  </si>
  <si>
    <t>INV-318</t>
  </si>
  <si>
    <t>ING-357</t>
  </si>
  <si>
    <t>INV-319</t>
  </si>
  <si>
    <t>ING-358</t>
  </si>
  <si>
    <t>INV-320</t>
  </si>
  <si>
    <t>ING-359</t>
  </si>
  <si>
    <t>INV-321</t>
  </si>
  <si>
    <t>ING-360</t>
  </si>
  <si>
    <t>INV-322</t>
  </si>
  <si>
    <t>ING-361</t>
  </si>
  <si>
    <t>INV-323</t>
  </si>
  <si>
    <t>ING-362</t>
  </si>
  <si>
    <t>INV-324</t>
  </si>
  <si>
    <t>ING-363</t>
  </si>
  <si>
    <t>INV-325</t>
  </si>
  <si>
    <t>ING-364</t>
  </si>
  <si>
    <t>INV-326</t>
  </si>
  <si>
    <t>ING-365</t>
  </si>
  <si>
    <t>INV-327</t>
  </si>
  <si>
    <t>ING-366</t>
  </si>
  <si>
    <t>INV-328</t>
  </si>
  <si>
    <t>ING-367</t>
  </si>
  <si>
    <t>ING-368</t>
  </si>
  <si>
    <t>INV-329</t>
  </si>
  <si>
    <t>ING-369</t>
  </si>
  <si>
    <t>INV-330</t>
  </si>
  <si>
    <t>ING-370</t>
  </si>
  <si>
    <t>INV-331</t>
  </si>
  <si>
    <t>ING-371</t>
  </si>
  <si>
    <t>INV-332</t>
  </si>
  <si>
    <t>ING-372</t>
  </si>
  <si>
    <t>INV-333</t>
  </si>
  <si>
    <t>ING-373</t>
  </si>
  <si>
    <t>INV-334</t>
  </si>
  <si>
    <t>ING-374</t>
  </si>
  <si>
    <t>INV-335</t>
  </si>
  <si>
    <t>ING-375</t>
  </si>
  <si>
    <t>INV-336</t>
  </si>
  <si>
    <t>ING-376</t>
  </si>
  <si>
    <t>INV-337</t>
  </si>
  <si>
    <t>ING-377</t>
  </si>
  <si>
    <t>ING-378</t>
  </si>
  <si>
    <t>INV-338</t>
  </si>
  <si>
    <t>ING-379</t>
  </si>
  <si>
    <t>INV-339</t>
  </si>
  <si>
    <t>ING-380</t>
  </si>
  <si>
    <t>INV-340</t>
  </si>
  <si>
    <t>ING-381</t>
  </si>
  <si>
    <t>INV-341</t>
  </si>
  <si>
    <t>ING-382</t>
  </si>
  <si>
    <t>INV-342</t>
  </si>
  <si>
    <t>ING-383</t>
  </si>
  <si>
    <t>INV-343</t>
  </si>
  <si>
    <t>ING-384</t>
  </si>
  <si>
    <t>INV-344</t>
  </si>
  <si>
    <t>ING-385</t>
  </si>
  <si>
    <t>INV-345</t>
  </si>
  <si>
    <t>ING-386</t>
  </si>
  <si>
    <t>INV-346</t>
  </si>
  <si>
    <t>ING-387</t>
  </si>
  <si>
    <t>INV-347</t>
  </si>
  <si>
    <t>ING-388</t>
  </si>
  <si>
    <t>INV-348</t>
  </si>
  <si>
    <t>ING-389</t>
  </si>
  <si>
    <t>INV-349</t>
  </si>
  <si>
    <t>ING-390</t>
  </si>
  <si>
    <t>INV-350</t>
  </si>
  <si>
    <t>ING-391</t>
  </si>
  <si>
    <t>INV-351</t>
  </si>
  <si>
    <t>ING-392</t>
  </si>
  <si>
    <t>INV-352</t>
  </si>
  <si>
    <t>ING-393</t>
  </si>
  <si>
    <t>INV-353</t>
  </si>
  <si>
    <t>ING-394</t>
  </si>
  <si>
    <t>INV-354</t>
  </si>
  <si>
    <t>ING-395</t>
  </si>
  <si>
    <t>INV-355</t>
  </si>
  <si>
    <t>ING-396</t>
  </si>
  <si>
    <t>INV-356</t>
  </si>
  <si>
    <t>ING-397</t>
  </si>
  <si>
    <t>INV-357</t>
  </si>
  <si>
    <t>ING-398</t>
  </si>
  <si>
    <t>INV-358</t>
  </si>
  <si>
    <t>ING-399</t>
  </si>
  <si>
    <t>INV-359</t>
  </si>
  <si>
    <t>ING-400</t>
  </si>
  <si>
    <t>INV-360</t>
  </si>
  <si>
    <t>ING-401</t>
  </si>
  <si>
    <t>INV-361</t>
  </si>
  <si>
    <t>ING-402</t>
  </si>
  <si>
    <t>INV-362</t>
  </si>
  <si>
    <t>ING-403</t>
  </si>
  <si>
    <t>INV-363</t>
  </si>
  <si>
    <t>ING-404</t>
  </si>
  <si>
    <t>INV-364</t>
  </si>
  <si>
    <t>ING-405</t>
  </si>
  <si>
    <t>INV-365</t>
  </si>
  <si>
    <t>ING-406</t>
  </si>
  <si>
    <t>INV-366</t>
  </si>
  <si>
    <t>ING-407</t>
  </si>
  <si>
    <t>INV-367</t>
  </si>
  <si>
    <t>ING-408</t>
  </si>
  <si>
    <t>ING-409</t>
  </si>
  <si>
    <t>INV-368</t>
  </si>
  <si>
    <t>ING-410</t>
  </si>
  <si>
    <t>INV-369</t>
  </si>
  <si>
    <t>ING-411</t>
  </si>
  <si>
    <t>INV-370</t>
  </si>
  <si>
    <t>ING-412</t>
  </si>
  <si>
    <t>INV-371</t>
  </si>
  <si>
    <t>ING-413</t>
  </si>
  <si>
    <t>INV-372</t>
  </si>
  <si>
    <t>ING-414</t>
  </si>
  <si>
    <t>INV-373</t>
  </si>
  <si>
    <t>ING-415</t>
  </si>
  <si>
    <t>INV-374</t>
  </si>
  <si>
    <t>ING-416</t>
  </si>
  <si>
    <t>ING-417</t>
  </si>
  <si>
    <t>INV-375</t>
  </si>
  <si>
    <t>ING-418</t>
  </si>
  <si>
    <t>INV-376</t>
  </si>
  <si>
    <t>ING-419</t>
  </si>
  <si>
    <t>INV-377</t>
  </si>
  <si>
    <t>ING-420</t>
  </si>
  <si>
    <t>INV-378</t>
  </si>
  <si>
    <t>INV-379</t>
  </si>
  <si>
    <t>ING-421</t>
  </si>
  <si>
    <t>ING-422</t>
  </si>
  <si>
    <t>INV-380</t>
  </si>
  <si>
    <t>ING-423</t>
  </si>
  <si>
    <t>INV-381</t>
  </si>
  <si>
    <t>ING-424</t>
  </si>
  <si>
    <t>INV-382</t>
  </si>
  <si>
    <t>ING-425</t>
  </si>
  <si>
    <t>INV-383</t>
  </si>
  <si>
    <t>ING-426</t>
  </si>
  <si>
    <t>INV-384</t>
  </si>
  <si>
    <t>ING-427</t>
  </si>
  <si>
    <t>INV-385</t>
  </si>
  <si>
    <t>ING-428</t>
  </si>
  <si>
    <t>INV-386</t>
  </si>
  <si>
    <t>ING-429</t>
  </si>
  <si>
    <t>INV-387</t>
  </si>
  <si>
    <t>ING-430</t>
  </si>
  <si>
    <t>INV-388</t>
  </si>
  <si>
    <t>ING-431</t>
  </si>
  <si>
    <t>INV-389</t>
  </si>
  <si>
    <t>ING-432</t>
  </si>
  <si>
    <t>INV-390</t>
  </si>
  <si>
    <t>ING-433</t>
  </si>
  <si>
    <t>INV-391</t>
  </si>
  <si>
    <t>ING-434</t>
  </si>
  <si>
    <t>ING-435</t>
  </si>
  <si>
    <t>INV-392</t>
  </si>
  <si>
    <t>ING-436</t>
  </si>
  <si>
    <t>INV-393</t>
  </si>
  <si>
    <t>ING-437</t>
  </si>
  <si>
    <t>INV-394</t>
  </si>
  <si>
    <t>ING-438</t>
  </si>
  <si>
    <t>ING-439</t>
  </si>
  <si>
    <t>INV-395</t>
  </si>
  <si>
    <t>ING-440</t>
  </si>
  <si>
    <t>INV-396</t>
  </si>
  <si>
    <t>ING-441</t>
  </si>
  <si>
    <t>INV-397</t>
  </si>
  <si>
    <t>ING-442</t>
  </si>
  <si>
    <t>INV-398</t>
  </si>
  <si>
    <t>ING-443</t>
  </si>
  <si>
    <t>ING-444</t>
  </si>
  <si>
    <t>INV-399</t>
  </si>
  <si>
    <t>ING-445</t>
  </si>
  <si>
    <t>INV-400</t>
  </si>
  <si>
    <t>ING-446</t>
  </si>
  <si>
    <t>INV-401</t>
  </si>
  <si>
    <t>ING-447</t>
  </si>
  <si>
    <t>INV-402</t>
  </si>
  <si>
    <t>ING-448</t>
  </si>
  <si>
    <t>ING-449</t>
  </si>
  <si>
    <t>INV-403</t>
  </si>
  <si>
    <t>ING-450</t>
  </si>
  <si>
    <t>INV-404</t>
  </si>
  <si>
    <t>ING-451</t>
  </si>
  <si>
    <t>INV-405</t>
  </si>
  <si>
    <t>ING-452</t>
  </si>
  <si>
    <t>INV-406</t>
  </si>
  <si>
    <t>ING-453</t>
  </si>
  <si>
    <t>INV-407</t>
  </si>
  <si>
    <t>ING-454</t>
  </si>
  <si>
    <t>INV-408</t>
  </si>
  <si>
    <t>ING-455</t>
  </si>
  <si>
    <t>INV-409</t>
  </si>
  <si>
    <t>ING-456</t>
  </si>
  <si>
    <t>INV-410</t>
  </si>
  <si>
    <t>ING-457</t>
  </si>
  <si>
    <t>INV-411</t>
  </si>
  <si>
    <t>ING-458</t>
  </si>
  <si>
    <t>INV-412</t>
  </si>
  <si>
    <t>ING-459</t>
  </si>
  <si>
    <t>INV-413</t>
  </si>
  <si>
    <t>ING-460</t>
  </si>
  <si>
    <t>INV-414</t>
  </si>
  <si>
    <t>ING-461</t>
  </si>
  <si>
    <t>INV-415</t>
  </si>
  <si>
    <t>ING-462</t>
  </si>
  <si>
    <t>INV-416</t>
  </si>
  <si>
    <t>ING-463</t>
  </si>
  <si>
    <t>INV-417</t>
  </si>
  <si>
    <t>ING-464</t>
  </si>
  <si>
    <t>INV-418</t>
  </si>
  <si>
    <t>ING-465</t>
  </si>
  <si>
    <t>INV-419</t>
  </si>
  <si>
    <t>ING-466</t>
  </si>
  <si>
    <t>ING-467</t>
  </si>
  <si>
    <t>INV-420</t>
  </si>
  <si>
    <t>ING-468</t>
  </si>
  <si>
    <t>INV-421</t>
  </si>
  <si>
    <t>ING-469</t>
  </si>
  <si>
    <t>INV-422</t>
  </si>
  <si>
    <t>ING-470</t>
  </si>
  <si>
    <t>INV-423</t>
  </si>
  <si>
    <t>ING-471</t>
  </si>
  <si>
    <t>INV-424</t>
  </si>
  <si>
    <t>ING-472</t>
  </si>
  <si>
    <t>INV-425</t>
  </si>
  <si>
    <t>ING-473</t>
  </si>
  <si>
    <t>INV-426</t>
  </si>
  <si>
    <t>ING-474</t>
  </si>
  <si>
    <t>INV-427</t>
  </si>
  <si>
    <t>ING-475</t>
  </si>
  <si>
    <t>INV-428</t>
  </si>
  <si>
    <t>ING-476</t>
  </si>
  <si>
    <t>INV-429</t>
  </si>
  <si>
    <t>ING-477</t>
  </si>
  <si>
    <t>INV-430</t>
  </si>
  <si>
    <t>ING-478</t>
  </si>
  <si>
    <t>INV-431</t>
  </si>
  <si>
    <t>ING-479</t>
  </si>
  <si>
    <t>INV-432</t>
  </si>
  <si>
    <t>ING-480</t>
  </si>
  <si>
    <t>ING-481</t>
  </si>
  <si>
    <t>INV-433</t>
  </si>
  <si>
    <t>ING-482</t>
  </si>
  <si>
    <t>INV-434</t>
  </si>
  <si>
    <t>ING-483</t>
  </si>
  <si>
    <t>INV-435</t>
  </si>
  <si>
    <t>ING-484</t>
  </si>
  <si>
    <t>INV-436</t>
  </si>
  <si>
    <t>ING-485</t>
  </si>
  <si>
    <t>INV-437</t>
  </si>
  <si>
    <t>ING-486</t>
  </si>
  <si>
    <t>INV-438</t>
  </si>
  <si>
    <t>ING-487</t>
  </si>
  <si>
    <t>INV-439</t>
  </si>
  <si>
    <t>ING-488</t>
  </si>
  <si>
    <t>ING-489</t>
  </si>
  <si>
    <t>INV-440</t>
  </si>
  <si>
    <t>ING-490</t>
  </si>
  <si>
    <t>INV-441</t>
  </si>
  <si>
    <t>ING-491</t>
  </si>
  <si>
    <t>INV-442</t>
  </si>
  <si>
    <t>ING-492</t>
  </si>
  <si>
    <t>INV-443</t>
  </si>
  <si>
    <t>ING-493</t>
  </si>
  <si>
    <t>INV-444</t>
  </si>
  <si>
    <t>ING-494</t>
  </si>
  <si>
    <t>ING-495</t>
  </si>
  <si>
    <t>INV-445</t>
  </si>
  <si>
    <t>ING-496</t>
  </si>
  <si>
    <t>INV-446</t>
  </si>
  <si>
    <t>ING-497</t>
  </si>
  <si>
    <t>INV-447</t>
  </si>
  <si>
    <t>ING-498</t>
  </si>
  <si>
    <t>INV-448</t>
  </si>
  <si>
    <t>ING-499</t>
  </si>
  <si>
    <t>INV-449</t>
  </si>
  <si>
    <t>ING-500</t>
  </si>
  <si>
    <t>INV-450</t>
  </si>
  <si>
    <t>ING-501</t>
  </si>
  <si>
    <t>INV-451</t>
  </si>
  <si>
    <t>ING-502</t>
  </si>
  <si>
    <t>ING-503</t>
  </si>
  <si>
    <t>INV-452</t>
  </si>
  <si>
    <t>ING-504</t>
  </si>
  <si>
    <t>INV-453</t>
  </si>
  <si>
    <t>ING-505</t>
  </si>
  <si>
    <t>INV-454</t>
  </si>
  <si>
    <t>ING-506</t>
  </si>
  <si>
    <t>INV-455</t>
  </si>
  <si>
    <t>ING-507</t>
  </si>
  <si>
    <t>INV-456</t>
  </si>
  <si>
    <t>ING-508</t>
  </si>
  <si>
    <t>INV-457</t>
  </si>
  <si>
    <t>ING-509</t>
  </si>
  <si>
    <t>ING-510</t>
  </si>
  <si>
    <t>INV-458</t>
  </si>
  <si>
    <t>ING-511</t>
  </si>
  <si>
    <t>INV-459</t>
  </si>
  <si>
    <t>INV-460</t>
  </si>
  <si>
    <t>ING-512</t>
  </si>
  <si>
    <t>ING-513</t>
  </si>
  <si>
    <t>INV-461</t>
  </si>
  <si>
    <t>ING-514</t>
  </si>
  <si>
    <t>INV-462</t>
  </si>
  <si>
    <t>ING-515</t>
  </si>
  <si>
    <t>INV-463</t>
  </si>
  <si>
    <t>ING-516</t>
  </si>
  <si>
    <t>INV-464</t>
  </si>
  <si>
    <t>ING-517</t>
  </si>
  <si>
    <t>INV-465</t>
  </si>
  <si>
    <t>ING-518</t>
  </si>
  <si>
    <t>INV-466</t>
  </si>
  <si>
    <t>ING-519</t>
  </si>
  <si>
    <t>INV-467</t>
  </si>
  <si>
    <t>ING-520</t>
  </si>
  <si>
    <t>INV-468</t>
  </si>
  <si>
    <t>ING-521</t>
  </si>
  <si>
    <t>INV-469</t>
  </si>
  <si>
    <t>ING-522</t>
  </si>
  <si>
    <t>INV-470</t>
  </si>
  <si>
    <t>ING-523</t>
  </si>
  <si>
    <t>INV-471</t>
  </si>
  <si>
    <t>ING-524</t>
  </si>
  <si>
    <t>ING-525</t>
  </si>
  <si>
    <t>INV-472</t>
  </si>
  <si>
    <t>ING-526</t>
  </si>
  <si>
    <t>INV-473</t>
  </si>
  <si>
    <t>ING-527</t>
  </si>
  <si>
    <t>INV-474</t>
  </si>
  <si>
    <t>ING-528</t>
  </si>
  <si>
    <t>INV-475</t>
  </si>
  <si>
    <t>ING-529</t>
  </si>
  <si>
    <t>INV-476</t>
  </si>
  <si>
    <t>ING-530</t>
  </si>
  <si>
    <t>INV-477</t>
  </si>
  <si>
    <t>ING-531</t>
  </si>
  <si>
    <t>INV-478</t>
  </si>
  <si>
    <t>ING-532</t>
  </si>
  <si>
    <t>INV-479</t>
  </si>
  <si>
    <t>ING-533</t>
  </si>
  <si>
    <t>INV-480</t>
  </si>
  <si>
    <t>ING-534</t>
  </si>
  <si>
    <t>INV-481</t>
  </si>
  <si>
    <t>ING-535</t>
  </si>
  <si>
    <t>INV-482</t>
  </si>
  <si>
    <t>ING-536</t>
  </si>
  <si>
    <t>INV-483</t>
  </si>
  <si>
    <t>ING-537</t>
  </si>
  <si>
    <t>INV-484</t>
  </si>
  <si>
    <t>ING-538</t>
  </si>
  <si>
    <t>INV-485</t>
  </si>
  <si>
    <t>ING-539</t>
  </si>
  <si>
    <t>INV-486</t>
  </si>
  <si>
    <t>ING-540</t>
  </si>
  <si>
    <t>INV-487</t>
  </si>
  <si>
    <t>ING-541</t>
  </si>
  <si>
    <t>ING-542</t>
  </si>
  <si>
    <t>ING-543</t>
  </si>
  <si>
    <t>ING-544</t>
  </si>
  <si>
    <t>ING-545</t>
  </si>
  <si>
    <t>ING-546</t>
  </si>
  <si>
    <t>ING-547</t>
  </si>
  <si>
    <t>ING-548</t>
  </si>
  <si>
    <t>ING-549</t>
  </si>
  <si>
    <t>ING-550</t>
  </si>
  <si>
    <t>ING-551</t>
  </si>
  <si>
    <t>ING-552</t>
  </si>
  <si>
    <t>ING-553</t>
  </si>
  <si>
    <t>ING-554</t>
  </si>
  <si>
    <t>ING-555</t>
  </si>
  <si>
    <t>ING-556</t>
  </si>
  <si>
    <t>ING-557</t>
  </si>
  <si>
    <t>ING-558</t>
  </si>
  <si>
    <t>ING-559</t>
  </si>
  <si>
    <t>ING-560</t>
  </si>
  <si>
    <t>ING-561</t>
  </si>
  <si>
    <t>ING-562</t>
  </si>
  <si>
    <t>ING-563</t>
  </si>
  <si>
    <t>ING-564</t>
  </si>
  <si>
    <t>ING-565</t>
  </si>
  <si>
    <t>ING-566</t>
  </si>
  <si>
    <t>ING-567</t>
  </si>
  <si>
    <t>ING-568</t>
  </si>
  <si>
    <t>ING-569</t>
  </si>
  <si>
    <t>ING-570</t>
  </si>
  <si>
    <t>ING-571</t>
  </si>
  <si>
    <t>ING-572</t>
  </si>
  <si>
    <t>ING-573</t>
  </si>
  <si>
    <t>ING-574</t>
  </si>
  <si>
    <t>ING-575</t>
  </si>
  <si>
    <t>ING-576</t>
  </si>
  <si>
    <t>ING-577</t>
  </si>
  <si>
    <t>ING-578</t>
  </si>
  <si>
    <t>ING-579</t>
  </si>
  <si>
    <t>ING-580</t>
  </si>
  <si>
    <t>ING-581</t>
  </si>
  <si>
    <t>ING-582</t>
  </si>
  <si>
    <t>ING-583</t>
  </si>
  <si>
    <t>ING-584</t>
  </si>
  <si>
    <t>ING-585</t>
  </si>
  <si>
    <t>ING-586</t>
  </si>
  <si>
    <t>ING-587</t>
  </si>
  <si>
    <t>ING-588</t>
  </si>
  <si>
    <t>ING-589</t>
  </si>
  <si>
    <t>ING-590</t>
  </si>
  <si>
    <t>ING-591</t>
  </si>
  <si>
    <t>ING-592</t>
  </si>
  <si>
    <t>ING-593</t>
  </si>
  <si>
    <t>ING-594</t>
  </si>
  <si>
    <t>ING-595</t>
  </si>
  <si>
    <t>ING-596</t>
  </si>
  <si>
    <t>ING-597</t>
  </si>
  <si>
    <t>ING-598</t>
  </si>
  <si>
    <t>ING-599</t>
  </si>
  <si>
    <t>ING-600</t>
  </si>
  <si>
    <t>ING-601</t>
  </si>
  <si>
    <t>ING-602</t>
  </si>
  <si>
    <t>ING-603</t>
  </si>
  <si>
    <t>ING-604</t>
  </si>
  <si>
    <t>ING-605</t>
  </si>
  <si>
    <t>ING-606</t>
  </si>
  <si>
    <t>ING-607</t>
  </si>
  <si>
    <t>ING-608</t>
  </si>
  <si>
    <t>ING-609</t>
  </si>
  <si>
    <t>ING-610</t>
  </si>
  <si>
    <t>ING-611</t>
  </si>
  <si>
    <t>ING-612</t>
  </si>
  <si>
    <t>ING-613</t>
  </si>
  <si>
    <t>ING-614</t>
  </si>
  <si>
    <t>ING-615</t>
  </si>
  <si>
    <t>ING-616</t>
  </si>
  <si>
    <t>ING-617</t>
  </si>
  <si>
    <t>ING-618</t>
  </si>
  <si>
    <t>ING-619</t>
  </si>
  <si>
    <t>ING-620</t>
  </si>
  <si>
    <t>ING-621</t>
  </si>
  <si>
    <t>ING-622</t>
  </si>
  <si>
    <t>ING-623</t>
  </si>
  <si>
    <t>ING-624</t>
  </si>
  <si>
    <t>ING-625</t>
  </si>
  <si>
    <t>ING-626</t>
  </si>
  <si>
    <t>ING-627</t>
  </si>
  <si>
    <t>ING-628</t>
  </si>
  <si>
    <t>ING-629</t>
  </si>
  <si>
    <t>ING-630</t>
  </si>
  <si>
    <t>ING-631</t>
  </si>
  <si>
    <t>ING-632</t>
  </si>
  <si>
    <t>ING-633</t>
  </si>
  <si>
    <t>ING-634</t>
  </si>
  <si>
    <t>ING-635</t>
  </si>
  <si>
    <t>ING-636</t>
  </si>
  <si>
    <t>ING-637</t>
  </si>
  <si>
    <t>ING-638</t>
  </si>
  <si>
    <t>ING-639</t>
  </si>
  <si>
    <t>ING-640</t>
  </si>
  <si>
    <t>ING-641</t>
  </si>
  <si>
    <t>ING-642</t>
  </si>
  <si>
    <t>ING-643</t>
  </si>
  <si>
    <t>ING-644</t>
  </si>
  <si>
    <t>ING-645</t>
  </si>
  <si>
    <t>ING-646</t>
  </si>
  <si>
    <t>ING-647</t>
  </si>
  <si>
    <t>ING-648</t>
  </si>
  <si>
    <t>ING-649</t>
  </si>
  <si>
    <t>ING-650</t>
  </si>
  <si>
    <t>ING-651</t>
  </si>
  <si>
    <t>ING-652</t>
  </si>
  <si>
    <t>ING-653</t>
  </si>
  <si>
    <t>ING-654</t>
  </si>
  <si>
    <t>ING-655</t>
  </si>
  <si>
    <t>ING-656</t>
  </si>
  <si>
    <t>ING-657</t>
  </si>
  <si>
    <t>ING-658</t>
  </si>
  <si>
    <t>ING-659</t>
  </si>
  <si>
    <t>ING-660</t>
  </si>
  <si>
    <t>ING-661</t>
  </si>
  <si>
    <t>ING-662</t>
  </si>
  <si>
    <t>ING-663</t>
  </si>
  <si>
    <t>ING-664</t>
  </si>
  <si>
    <t>ING-665</t>
  </si>
  <si>
    <t>ING-666</t>
  </si>
  <si>
    <t>ING-667</t>
  </si>
  <si>
    <t>ING-668</t>
  </si>
  <si>
    <t>ING-669</t>
  </si>
  <si>
    <t>ING-670</t>
  </si>
  <si>
    <t>ING-671</t>
  </si>
  <si>
    <t>ING-672</t>
  </si>
  <si>
    <t>ING-673</t>
  </si>
  <si>
    <t>ING-674</t>
  </si>
  <si>
    <t>ING-675</t>
  </si>
  <si>
    <t>ING-676</t>
  </si>
  <si>
    <t>ING-677</t>
  </si>
  <si>
    <t>ING-678</t>
  </si>
  <si>
    <t>ING-679</t>
  </si>
  <si>
    <t>ING-680</t>
  </si>
  <si>
    <t>ING-681</t>
  </si>
  <si>
    <t>ING-682</t>
  </si>
  <si>
    <t>ING-683</t>
  </si>
  <si>
    <t>ING-684</t>
  </si>
  <si>
    <t>ING-685</t>
  </si>
  <si>
    <t>ING-686</t>
  </si>
  <si>
    <t>ING-687</t>
  </si>
  <si>
    <t>ING-688</t>
  </si>
  <si>
    <t>ING-689</t>
  </si>
  <si>
    <t>ING-690</t>
  </si>
  <si>
    <t>ING-691</t>
  </si>
  <si>
    <t>ING-692</t>
  </si>
  <si>
    <t>ING-693</t>
  </si>
  <si>
    <t>ING-694</t>
  </si>
  <si>
    <t>ING-695</t>
  </si>
  <si>
    <t>ING-696</t>
  </si>
  <si>
    <t>ING-697</t>
  </si>
  <si>
    <t>ING-698</t>
  </si>
  <si>
    <t>ING-699</t>
  </si>
  <si>
    <t>ING-700</t>
  </si>
  <si>
    <t>ING-701</t>
  </si>
  <si>
    <t>ING-702</t>
  </si>
  <si>
    <t>ING-703</t>
  </si>
  <si>
    <t>ING-704</t>
  </si>
  <si>
    <t>ING-705</t>
  </si>
  <si>
    <t>ING-706</t>
  </si>
  <si>
    <t>ING-707</t>
  </si>
  <si>
    <t>ING-708</t>
  </si>
  <si>
    <t>ING-709</t>
  </si>
  <si>
    <t>ING-710</t>
  </si>
  <si>
    <t>ING-711</t>
  </si>
  <si>
    <t>ING-712</t>
  </si>
  <si>
    <t>ING-713</t>
  </si>
  <si>
    <t>ING-714</t>
  </si>
  <si>
    <t>ING-715</t>
  </si>
  <si>
    <t>ING-716</t>
  </si>
  <si>
    <t>ING-717</t>
  </si>
  <si>
    <t>ING-718</t>
  </si>
  <si>
    <t>ING-719</t>
  </si>
  <si>
    <t>ING-720</t>
  </si>
  <si>
    <t>ING-721</t>
  </si>
  <si>
    <t>ING-722</t>
  </si>
  <si>
    <t>ING-723</t>
  </si>
  <si>
    <t>ING-724</t>
  </si>
  <si>
    <t>ING-725</t>
  </si>
  <si>
    <t>ING-726</t>
  </si>
  <si>
    <t>ING-727</t>
  </si>
  <si>
    <t>ING-728</t>
  </si>
  <si>
    <t>ING-729</t>
  </si>
  <si>
    <t>ING-730</t>
  </si>
  <si>
    <t>ING-731</t>
  </si>
  <si>
    <t>ING-732</t>
  </si>
  <si>
    <t>ING-733</t>
  </si>
  <si>
    <t>ING-734</t>
  </si>
  <si>
    <t>ING-735</t>
  </si>
  <si>
    <t>ING-736</t>
  </si>
  <si>
    <t>ING-737</t>
  </si>
  <si>
    <t>ING-738</t>
  </si>
  <si>
    <t>ING-739</t>
  </si>
  <si>
    <t>ING-740</t>
  </si>
  <si>
    <t>ING-741</t>
  </si>
  <si>
    <t>ING-742</t>
  </si>
  <si>
    <t>ING-743</t>
  </si>
  <si>
    <t>ING-744</t>
  </si>
  <si>
    <t>ING-745</t>
  </si>
  <si>
    <t>ING-746</t>
  </si>
  <si>
    <t>ING-747</t>
  </si>
  <si>
    <t>ING-748</t>
  </si>
  <si>
    <t>ING-749</t>
  </si>
  <si>
    <t>ING-750</t>
  </si>
  <si>
    <t>ING-751</t>
  </si>
  <si>
    <t>ING-752</t>
  </si>
  <si>
    <t>ING-753</t>
  </si>
  <si>
    <t>ING-754</t>
  </si>
  <si>
    <t>ING-755</t>
  </si>
  <si>
    <t>ING-756</t>
  </si>
  <si>
    <t>ING-757</t>
  </si>
  <si>
    <t>ING-758</t>
  </si>
  <si>
    <t>ING-759</t>
  </si>
  <si>
    <t>ING-760</t>
  </si>
  <si>
    <t>ING-761</t>
  </si>
  <si>
    <t>ING-762</t>
  </si>
  <si>
    <t>ING-763</t>
  </si>
  <si>
    <t>ING-764</t>
  </si>
  <si>
    <t>ING-765</t>
  </si>
  <si>
    <t>ING-766</t>
  </si>
  <si>
    <t>ING-767</t>
  </si>
  <si>
    <t>ING-768</t>
  </si>
  <si>
    <t>ING-769</t>
  </si>
  <si>
    <t>ING-770</t>
  </si>
  <si>
    <t>ING-771</t>
  </si>
  <si>
    <t>ING-772</t>
  </si>
  <si>
    <t>ING-773</t>
  </si>
  <si>
    <t>ING-774</t>
  </si>
  <si>
    <t>ING-775</t>
  </si>
  <si>
    <t>ING-776</t>
  </si>
  <si>
    <t>ING-777</t>
  </si>
  <si>
    <t>ING-778</t>
  </si>
  <si>
    <t>ING-779</t>
  </si>
  <si>
    <t>ING-780</t>
  </si>
  <si>
    <t>ING-781</t>
  </si>
  <si>
    <t>ING-782</t>
  </si>
  <si>
    <t>ING-783</t>
  </si>
  <si>
    <t>ING-784</t>
  </si>
  <si>
    <t>ING-785</t>
  </si>
  <si>
    <t>ING-786</t>
  </si>
  <si>
    <t>ING-787</t>
  </si>
  <si>
    <t>ING-788</t>
  </si>
  <si>
    <t>ING-789</t>
  </si>
  <si>
    <t>ING-790</t>
  </si>
  <si>
    <t>ING-791</t>
  </si>
  <si>
    <t>ING-792</t>
  </si>
  <si>
    <t>ING-793</t>
  </si>
  <si>
    <t>ING-794</t>
  </si>
  <si>
    <t>ING-795</t>
  </si>
  <si>
    <t>ING-796</t>
  </si>
  <si>
    <t>ING-797</t>
  </si>
  <si>
    <t>ING-798</t>
  </si>
  <si>
    <t>ING-799</t>
  </si>
  <si>
    <t>ING-800</t>
  </si>
  <si>
    <t>ING-801</t>
  </si>
  <si>
    <t>ING-802</t>
  </si>
  <si>
    <t>ING-803</t>
  </si>
  <si>
    <t>ING-804</t>
  </si>
  <si>
    <t>ING-805</t>
  </si>
  <si>
    <t>ING-806</t>
  </si>
  <si>
    <t>ING-807</t>
  </si>
  <si>
    <t>ING-808</t>
  </si>
  <si>
    <t>ING-809</t>
  </si>
  <si>
    <t>ING-810</t>
  </si>
  <si>
    <t>ING-811</t>
  </si>
  <si>
    <t>ING-812</t>
  </si>
  <si>
    <t>ING-813</t>
  </si>
  <si>
    <t>ING-814</t>
  </si>
  <si>
    <t>ING-815</t>
  </si>
  <si>
    <t>ING-816</t>
  </si>
  <si>
    <t>ING-817</t>
  </si>
  <si>
    <t>ING-818</t>
  </si>
  <si>
    <t>ING-819</t>
  </si>
  <si>
    <t>ING-820</t>
  </si>
  <si>
    <t>ING-821</t>
  </si>
  <si>
    <t>ING-822</t>
  </si>
  <si>
    <t>ING-823</t>
  </si>
  <si>
    <t>ING-824</t>
  </si>
  <si>
    <t>ING-825</t>
  </si>
  <si>
    <t>ING-826</t>
  </si>
  <si>
    <t>ING-827</t>
  </si>
  <si>
    <t>ING-828</t>
  </si>
  <si>
    <t>ING-829</t>
  </si>
  <si>
    <t>ING-830</t>
  </si>
  <si>
    <t>ING-831</t>
  </si>
  <si>
    <t>ING-832</t>
  </si>
  <si>
    <t>ING-833</t>
  </si>
  <si>
    <t>ING-834</t>
  </si>
  <si>
    <t>ING-835</t>
  </si>
  <si>
    <t>ING-836</t>
  </si>
  <si>
    <t>ING-837</t>
  </si>
  <si>
    <t>ING-838</t>
  </si>
  <si>
    <t>ING-839</t>
  </si>
  <si>
    <t>ING-840</t>
  </si>
  <si>
    <t>ING-841</t>
  </si>
  <si>
    <t>ING-842</t>
  </si>
  <si>
    <t>ING-843</t>
  </si>
  <si>
    <t>ING-844</t>
  </si>
  <si>
    <t>ING-845</t>
  </si>
  <si>
    <t>ING-846</t>
  </si>
  <si>
    <t>ING-847</t>
  </si>
  <si>
    <t>ING-848</t>
  </si>
  <si>
    <t>ING-849</t>
  </si>
  <si>
    <t>ING-850</t>
  </si>
  <si>
    <t>ING-851</t>
  </si>
  <si>
    <t>ING-852</t>
  </si>
  <si>
    <t>ING-853</t>
  </si>
  <si>
    <t>ING-854</t>
  </si>
  <si>
    <t>ING-855</t>
  </si>
  <si>
    <t>ING-856</t>
  </si>
  <si>
    <t>ING-857</t>
  </si>
  <si>
    <t>ING-858</t>
  </si>
  <si>
    <t>ING-859</t>
  </si>
  <si>
    <t>ING-860</t>
  </si>
  <si>
    <t>ING-861</t>
  </si>
  <si>
    <t>ING-862</t>
  </si>
  <si>
    <t>ING-863</t>
  </si>
  <si>
    <t>ING-864</t>
  </si>
  <si>
    <t>ING-865</t>
  </si>
  <si>
    <t>ING-866</t>
  </si>
  <si>
    <t>ING-867</t>
  </si>
  <si>
    <t>ING-868</t>
  </si>
  <si>
    <t>ING-869</t>
  </si>
  <si>
    <t>ING-870</t>
  </si>
  <si>
    <t>ING-871</t>
  </si>
  <si>
    <t>ING-872</t>
  </si>
  <si>
    <t>ING-873</t>
  </si>
  <si>
    <t>ING-874</t>
  </si>
  <si>
    <t>ING-875</t>
  </si>
  <si>
    <t>ING-876</t>
  </si>
  <si>
    <t>ING-877</t>
  </si>
  <si>
    <t>ING-878</t>
  </si>
  <si>
    <t>ING-879</t>
  </si>
  <si>
    <t>ING-880</t>
  </si>
  <si>
    <t>ING-881</t>
  </si>
  <si>
    <t>ING-882</t>
  </si>
  <si>
    <t>ING-883</t>
  </si>
  <si>
    <t>ING-884</t>
  </si>
  <si>
    <t>ING-885</t>
  </si>
  <si>
    <t>ING-886</t>
  </si>
  <si>
    <t>ING-887</t>
  </si>
  <si>
    <t>ING-888</t>
  </si>
  <si>
    <t>ING-889</t>
  </si>
  <si>
    <t>ING-890</t>
  </si>
  <si>
    <t>ING-891</t>
  </si>
  <si>
    <t>ING-892</t>
  </si>
  <si>
    <t>ING-893</t>
  </si>
  <si>
    <t>ING-894</t>
  </si>
  <si>
    <t>ING-895</t>
  </si>
  <si>
    <t>ING-896</t>
  </si>
  <si>
    <t>ING-897</t>
  </si>
  <si>
    <t>ING-898</t>
  </si>
  <si>
    <t>ING-899</t>
  </si>
  <si>
    <t>ING-900</t>
  </si>
  <si>
    <t>ING-901</t>
  </si>
  <si>
    <t>ING-902</t>
  </si>
  <si>
    <t>ING-903</t>
  </si>
  <si>
    <t>ING-904</t>
  </si>
  <si>
    <t>ING-905</t>
  </si>
  <si>
    <t>ING-906</t>
  </si>
  <si>
    <t>ING-907</t>
  </si>
  <si>
    <t>ING-908</t>
  </si>
  <si>
    <t>ING-909</t>
  </si>
  <si>
    <t>ING-910</t>
  </si>
  <si>
    <t>ING-911</t>
  </si>
  <si>
    <t>ING-912</t>
  </si>
  <si>
    <t>ING-913</t>
  </si>
  <si>
    <t>ING-914</t>
  </si>
  <si>
    <t>ING-915</t>
  </si>
  <si>
    <t>ING-916</t>
  </si>
  <si>
    <t>ING-917</t>
  </si>
  <si>
    <t>ING-918</t>
  </si>
  <si>
    <t>ING-919</t>
  </si>
  <si>
    <t>ING-920</t>
  </si>
  <si>
    <t>ING-921</t>
  </si>
  <si>
    <t>ING-922</t>
  </si>
  <si>
    <t>ING-923</t>
  </si>
  <si>
    <t>ING-924</t>
  </si>
  <si>
    <t>ING-925</t>
  </si>
  <si>
    <t>ING-926</t>
  </si>
  <si>
    <t>ING-927</t>
  </si>
  <si>
    <t>ING-928</t>
  </si>
  <si>
    <t>ING-929</t>
  </si>
  <si>
    <t>ING-930</t>
  </si>
  <si>
    <t>ING-931</t>
  </si>
  <si>
    <t>ING-932</t>
  </si>
  <si>
    <t>ING-933</t>
  </si>
  <si>
    <t>ING-934</t>
  </si>
  <si>
    <t>ING-935</t>
  </si>
  <si>
    <t>ING-936</t>
  </si>
  <si>
    <t>ING-937</t>
  </si>
  <si>
    <t>ING-938</t>
  </si>
  <si>
    <t>ING-939</t>
  </si>
  <si>
    <t>ING-940</t>
  </si>
  <si>
    <t>ING-941</t>
  </si>
  <si>
    <t>ING-942</t>
  </si>
  <si>
    <t>ING-943</t>
  </si>
  <si>
    <t>ING-944</t>
  </si>
  <si>
    <t>ING-945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</si>
</sst>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yy"/>
    <numFmt numFmtId="165" formatCode="0.000000"/>
    <numFmt numFmtId="166" formatCode="dd/mm/yyyy"/>
    <numFmt numFmtId="167" formatCode="&quot;$&quot;#,##0.00"/>
    <numFmt numFmtId="168" formatCode="d/m/yyyy"/>
    <numFmt numFmtId="169" formatCode="mmmm yyyy"/>
    <numFmt numFmtId="170" formatCode="_-&quot;$&quot;* #,##0.00_-;_-&quot;$&quot;* \-#,##0.00_-;_-&quot;$&quot;* &quot;-&quot;??_-;_-@"/>
  </numFmts>
  <fonts count="13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sz val="10.0"/>
      <color theme="1"/>
      <name val="Arial"/>
    </font>
    <font>
      <color rgb="FF000000"/>
      <name val="Arial"/>
    </font>
    <font>
      <sz val="11.0"/>
      <color rgb="FF000000"/>
      <name val="Arial"/>
    </font>
    <font>
      <u/>
      <sz val="10.0"/>
      <color rgb="FF000000"/>
      <name val="Arial"/>
    </font>
    <font>
      <sz val="10.0"/>
      <color rgb="FF1F1F1F"/>
      <name val="Arial"/>
    </font>
    <font>
      <sz val="10.0"/>
      <color rgb="FF434343"/>
      <name val="Arial"/>
    </font>
    <font>
      <sz val="10.0"/>
      <color rgb="FF404041"/>
      <name val="Arial"/>
    </font>
    <font>
      <color theme="1"/>
      <name val="Arial"/>
      <scheme val="minor"/>
    </font>
    <font>
      <u/>
      <color rgb="FF000000"/>
      <name val="Arial"/>
    </font>
    <font>
      <sz val="14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</fills>
  <borders count="12">
    <border/>
    <border>
      <left style="thin">
        <color rgb="FF356854"/>
      </left>
    </border>
    <border>
      <right style="thin">
        <color rgb="FF356854"/>
      </right>
    </border>
    <border>
      <top style="thin">
        <color rgb="FFDDDDDD"/>
      </top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Font="1"/>
    <xf borderId="0" fillId="0" fontId="1" numFmtId="0" xfId="0" applyFont="1"/>
    <xf borderId="0" fillId="0" fontId="3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0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0" fontId="3" numFmtId="0" xfId="0" applyFont="1"/>
    <xf borderId="0" fillId="0" fontId="2" numFmtId="0" xfId="0" applyAlignment="1" applyFont="1">
      <alignment horizontal="center" readingOrder="0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3" fontId="2" numFmtId="0" xfId="0" applyAlignment="1" applyFill="1" applyFont="1">
      <alignment horizontal="center" readingOrder="0" shrinkToFit="0" vertical="center" wrapText="0"/>
    </xf>
    <xf borderId="0" fillId="3" fontId="2" numFmtId="166" xfId="0" applyAlignment="1" applyFill="1" applyFont="1" applyNumberFormat="1">
      <alignment horizontal="center" readingOrder="0" shrinkToFit="0" vertical="center" wrapText="0"/>
    </xf>
    <xf borderId="0" fillId="3" fontId="2" numFmtId="0" xfId="0" applyAlignment="1" applyFill="1" applyFont="1">
      <alignment horizontal="left" readingOrder="0" shrinkToFit="0" vertical="center" wrapText="0"/>
    </xf>
    <xf borderId="0" fillId="0" fontId="2" numFmtId="10" xfId="0" applyAlignment="1" applyFont="1" applyNumberFormat="1">
      <alignment horizontal="center" readingOrder="0" shrinkToFit="0" vertical="center" wrapText="0"/>
    </xf>
    <xf borderId="0" fillId="2" fontId="2" numFmtId="167" xfId="0" applyAlignment="1" applyFill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5" numFmtId="0" xfId="0" applyAlignment="1" applyFont="1">
      <alignment readingOrder="0" shrinkToFit="0" vertical="bottom" wrapText="0"/>
    </xf>
    <xf borderId="1" fillId="4" fontId="2" numFmtId="0" xfId="0" applyAlignment="1" applyBorder="1" applyFill="1" applyFont="1">
      <alignment horizontal="left" readingOrder="0" shrinkToFit="0" vertical="center" wrapText="0"/>
    </xf>
    <xf borderId="0" fillId="4" fontId="2" numFmtId="0" xfId="0" applyAlignment="1" applyFill="1" applyFont="1">
      <alignment horizontal="center" readingOrder="0" shrinkToFit="0" vertical="center" wrapText="0"/>
    </xf>
    <xf borderId="0" fillId="4" fontId="2" numFmtId="0" xfId="0" applyAlignment="1" applyFill="1" applyFont="1">
      <alignment horizontal="center" readingOrder="0" shrinkToFit="0" vertical="center" wrapText="0"/>
    </xf>
    <xf borderId="0" fillId="2" fontId="2" numFmtId="166" xfId="0" applyAlignment="1" applyFill="1" applyFont="1" applyNumberFormat="1">
      <alignment horizontal="center" readingOrder="0" shrinkToFit="0" vertical="center" wrapText="0"/>
    </xf>
    <xf borderId="0" fillId="4" fontId="2" numFmtId="0" xfId="0" applyAlignment="1" applyFill="1" applyFont="1">
      <alignment horizontal="left" readingOrder="0" shrinkToFit="0" vertical="center" wrapText="0"/>
    </xf>
    <xf borderId="0" fillId="4" fontId="2" numFmtId="164" xfId="0" applyAlignment="1" applyFill="1" applyFont="1" applyNumberFormat="1">
      <alignment horizontal="center" readingOrder="0" shrinkToFit="0" vertical="center" wrapText="0"/>
    </xf>
    <xf borderId="0" fillId="4" fontId="2" numFmtId="10" xfId="0" applyAlignment="1" applyFill="1" applyFont="1" applyNumberFormat="1">
      <alignment horizontal="center" readingOrder="0" shrinkToFit="0" vertical="center" wrapText="0"/>
    </xf>
    <xf borderId="0" fillId="4" fontId="2" numFmtId="167" xfId="0" applyAlignment="1" applyFill="1" applyFont="1" applyNumberFormat="1">
      <alignment horizontal="center" readingOrder="0" shrinkToFit="0" vertical="bottom" wrapText="0"/>
    </xf>
    <xf borderId="2" fillId="4" fontId="2" numFmtId="0" xfId="0" applyAlignment="1" applyBorder="1" applyFill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" xfId="0" applyAlignment="1" applyFont="1" applyNumberFormat="1">
      <alignment horizontal="center" readingOrder="0" shrinkToFit="0" vertical="center" wrapText="0"/>
    </xf>
    <xf borderId="0" fillId="0" fontId="2" numFmtId="166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3" xfId="0" applyAlignment="1" applyFont="1" applyNumberFormat="1">
      <alignment horizontal="center" readingOrder="0" shrinkToFit="0" vertical="center" wrapText="0"/>
    </xf>
    <xf borderId="0" fillId="4" fontId="2" numFmtId="166" xfId="0" applyAlignment="1" applyFill="1" applyFont="1" applyNumberFormat="1">
      <alignment horizontal="center" readingOrder="0" shrinkToFit="0" vertical="center" wrapText="0"/>
    </xf>
    <xf borderId="0" fillId="4" fontId="2" numFmtId="167" xfId="0" applyAlignment="1" applyFill="1" applyFont="1" applyNumberForma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0" fillId="0" fontId="2" numFmtId="9" xfId="0" applyAlignment="1" applyFont="1" applyNumberFormat="1">
      <alignment horizontal="center" shrinkToFit="0" vertical="center" wrapText="0"/>
    </xf>
    <xf borderId="3" fillId="4" fontId="2" numFmtId="0" xfId="0" applyAlignment="1" applyBorder="1" applyFill="1" applyFont="1">
      <alignment horizontal="center" readingOrder="0" shrinkToFit="0" vertical="center" wrapText="0"/>
    </xf>
    <xf borderId="0" fillId="4" fontId="2" numFmtId="0" xfId="0" applyAlignment="1" applyFill="1" applyFont="1">
      <alignment horizontal="center" readingOrder="0" shrinkToFit="0" vertical="bottom" wrapText="0"/>
    </xf>
    <xf borderId="2" fillId="4" fontId="2" numFmtId="0" xfId="0" applyAlignment="1" applyBorder="1" applyFill="1" applyFont="1">
      <alignment horizontal="center" shrinkToFit="0" vertical="bottom" wrapText="0"/>
    </xf>
    <xf borderId="0" fillId="0" fontId="2" numFmtId="166" xfId="0" applyAlignment="1" applyFont="1" applyNumberFormat="1">
      <alignment horizontal="center" readingOrder="0" shrinkToFit="0" vertical="center" wrapText="0"/>
    </xf>
    <xf borderId="0" fillId="0" fontId="1" numFmtId="0" xfId="0" applyFont="1"/>
    <xf borderId="0" fillId="4" fontId="2" numFmtId="0" xfId="0" applyAlignment="1" applyFill="1" applyFont="1">
      <alignment horizontal="center" readingOrder="0" shrinkToFit="0" vertical="bottom" wrapText="0"/>
    </xf>
    <xf borderId="0" fillId="4" fontId="2" numFmtId="0" xfId="0" applyAlignment="1" applyFill="1" applyFont="1">
      <alignment horizontal="left" readingOrder="0" shrinkToFit="0" vertical="bottom" wrapText="0"/>
    </xf>
    <xf borderId="0" fillId="4" fontId="2" numFmtId="10" xfId="0" applyAlignment="1" applyFill="1" applyFont="1" applyNumberFormat="1">
      <alignment horizontal="center" readingOrder="0" shrinkToFit="0" vertical="bottom" wrapText="0"/>
    </xf>
    <xf borderId="0" fillId="5" fontId="2" numFmtId="0" xfId="0" applyFill="1" applyFont="1"/>
    <xf borderId="0" fillId="4" fontId="2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4" fillId="4" fontId="2" numFmtId="0" xfId="0" applyAlignment="1" applyBorder="1" applyFill="1" applyFont="1">
      <alignment horizontal="left" shrinkToFit="0" vertical="center" wrapText="0"/>
    </xf>
    <xf borderId="5" fillId="4" fontId="2" numFmtId="0" xfId="0" applyAlignment="1" applyBorder="1" applyFill="1" applyFont="1">
      <alignment horizontal="center" shrinkToFit="0" vertical="center" wrapText="0"/>
    </xf>
    <xf borderId="5" fillId="4" fontId="2" numFmtId="0" xfId="0" applyAlignment="1" applyBorder="1" applyFill="1" applyFont="1">
      <alignment horizontal="center" shrinkToFit="0" vertical="center" wrapText="0"/>
    </xf>
    <xf borderId="5" fillId="4" fontId="2" numFmtId="0" xfId="0" applyAlignment="1" applyBorder="1" applyFill="1" applyFont="1">
      <alignment horizontal="center" readingOrder="0" shrinkToFit="0" vertical="center" wrapText="0"/>
    </xf>
    <xf borderId="5" fillId="4" fontId="2" numFmtId="166" xfId="0" applyAlignment="1" applyBorder="1" applyFill="1" applyFont="1" applyNumberFormat="1">
      <alignment horizontal="center" shrinkToFit="0" vertical="center" wrapText="0"/>
    </xf>
    <xf borderId="5" fillId="4" fontId="2" numFmtId="0" xfId="0" applyAlignment="1" applyBorder="1" applyFill="1" applyFont="1">
      <alignment horizontal="left" shrinkToFit="0" vertical="center" wrapText="0"/>
    </xf>
    <xf borderId="5" fillId="4" fontId="2" numFmtId="0" xfId="0" applyAlignment="1" applyBorder="1" applyFill="1" applyFont="1">
      <alignment horizontal="left" shrinkToFit="0" vertical="center" wrapText="0"/>
    </xf>
    <xf borderId="5" fillId="4" fontId="2" numFmtId="164" xfId="0" applyAlignment="1" applyBorder="1" applyFill="1" applyFont="1" applyNumberFormat="1">
      <alignment horizontal="center" shrinkToFit="0" vertical="center" wrapText="0"/>
    </xf>
    <xf borderId="5" fillId="4" fontId="2" numFmtId="10" xfId="0" applyAlignment="1" applyBorder="1" applyFill="1" applyFont="1" applyNumberFormat="1">
      <alignment horizontal="center" shrinkToFit="0" vertical="center" wrapText="0"/>
    </xf>
    <xf borderId="5" fillId="4" fontId="2" numFmtId="167" xfId="0" applyAlignment="1" applyBorder="1" applyFill="1" applyFont="1" applyNumberFormat="1">
      <alignment horizontal="center" shrinkToFit="0" vertical="center" wrapText="0"/>
    </xf>
    <xf borderId="5" fillId="4" fontId="2" numFmtId="0" xfId="0" applyAlignment="1" applyBorder="1" applyFill="1" applyFont="1">
      <alignment horizontal="center" shrinkToFit="0" vertical="center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0" fillId="4" fontId="6" numFmtId="0" xfId="0" applyAlignment="1" applyFill="1" applyFont="1">
      <alignment horizontal="left" readingOrder="0" shrinkToFit="0" vertical="center" wrapText="0"/>
    </xf>
    <xf borderId="0" fillId="4" fontId="2" numFmtId="0" xfId="0" applyAlignment="1" applyFill="1" applyFont="1">
      <alignment horizontal="center" readingOrder="0" shrinkToFit="0" vertical="center" wrapText="0"/>
    </xf>
    <xf borderId="0" fillId="4" fontId="2" numFmtId="166" xfId="0" applyAlignment="1" applyFill="1" applyFont="1" applyNumberFormat="1">
      <alignment horizontal="center" readingOrder="0" shrinkToFit="0" vertical="center" wrapText="0"/>
    </xf>
    <xf borderId="0" fillId="4" fontId="2" numFmtId="0" xfId="0" applyAlignment="1" applyFill="1" applyFont="1">
      <alignment horizontal="left" readingOrder="0" shrinkToFit="0" vertical="center" wrapText="0"/>
    </xf>
    <xf borderId="0" fillId="4" fontId="2" numFmtId="164" xfId="0" applyAlignment="1" applyFill="1" applyFont="1" applyNumberFormat="1">
      <alignment horizontal="center" readingOrder="0" shrinkToFit="0" vertical="center" wrapText="0"/>
    </xf>
    <xf borderId="0" fillId="4" fontId="2" numFmtId="10" xfId="0" applyAlignment="1" applyFill="1" applyFont="1" applyNumberFormat="1">
      <alignment horizontal="center" readingOrder="0" shrinkToFit="0" vertical="center" wrapText="0"/>
    </xf>
    <xf borderId="0" fillId="4" fontId="2" numFmtId="167" xfId="0" applyAlignment="1" applyFill="1" applyFont="1" applyNumberFormat="1">
      <alignment horizontal="center" readingOrder="0" shrinkToFit="0" vertical="center" wrapText="0"/>
    </xf>
    <xf borderId="0" fillId="4" fontId="2" numFmtId="0" xfId="0" applyAlignment="1" applyFill="1" applyFont="1">
      <alignment horizontal="center" shrinkToFit="0" vertical="center" wrapText="0"/>
    </xf>
    <xf borderId="0" fillId="4" fontId="2" numFmtId="0" xfId="0" applyAlignment="1" applyFill="1" applyFont="1">
      <alignment horizontal="left" readingOrder="0"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shrinkToFit="0" vertical="center" wrapText="0"/>
    </xf>
    <xf borderId="1" fillId="5" fontId="2" numFmtId="0" xfId="0" applyAlignment="1" applyBorder="1" applyFill="1" applyFont="1">
      <alignment horizontal="left" readingOrder="0" shrinkToFit="0" vertical="center" wrapText="0"/>
    </xf>
    <xf borderId="0" fillId="5" fontId="2" numFmtId="0" xfId="0" applyAlignment="1" applyFill="1" applyFont="1">
      <alignment horizontal="center" readingOrder="0" shrinkToFit="0" vertical="center" wrapText="0"/>
    </xf>
    <xf borderId="0" fillId="5" fontId="2" numFmtId="0" xfId="0" applyAlignment="1" applyFill="1" applyFont="1">
      <alignment horizontal="center" readingOrder="0" shrinkToFit="0" vertical="center" wrapText="0"/>
    </xf>
    <xf borderId="0" fillId="5" fontId="2" numFmtId="166" xfId="0" applyAlignment="1" applyFill="1" applyFont="1" applyNumberFormat="1">
      <alignment horizontal="center" readingOrder="0" shrinkToFit="0" vertical="center" wrapText="0"/>
    </xf>
    <xf borderId="0" fillId="5" fontId="2" numFmtId="0" xfId="0" applyAlignment="1" applyFill="1" applyFont="1">
      <alignment horizontal="left" readingOrder="0" shrinkToFit="0" vertical="center" wrapText="0"/>
    </xf>
    <xf borderId="0" fillId="5" fontId="2" numFmtId="0" xfId="0" applyAlignment="1" applyFill="1" applyFont="1">
      <alignment horizontal="center" readingOrder="0" shrinkToFit="0" vertical="bottom" wrapText="0"/>
    </xf>
    <xf borderId="0" fillId="5" fontId="2" numFmtId="164" xfId="0" applyAlignment="1" applyFill="1" applyFont="1" applyNumberFormat="1">
      <alignment horizontal="center" readingOrder="0" shrinkToFit="0" vertical="center" wrapText="0"/>
    </xf>
    <xf borderId="0" fillId="5" fontId="2" numFmtId="10" xfId="0" applyAlignment="1" applyFill="1" applyFont="1" applyNumberFormat="1">
      <alignment horizontal="center" readingOrder="0" shrinkToFit="0" vertical="center" wrapText="0"/>
    </xf>
    <xf borderId="0" fillId="5" fontId="2" numFmtId="10" xfId="0" applyAlignment="1" applyFill="1" applyFont="1" applyNumberFormat="1">
      <alignment horizontal="center" readingOrder="0" shrinkToFit="0" vertical="center" wrapText="0"/>
    </xf>
    <xf borderId="0" fillId="5" fontId="2" numFmtId="167" xfId="0" applyAlignment="1" applyFill="1" applyFont="1" applyNumberFormat="1">
      <alignment horizontal="center" readingOrder="0" shrinkToFit="0" vertical="bottom" wrapText="0"/>
    </xf>
    <xf borderId="2" fillId="5" fontId="2" numFmtId="0" xfId="0" applyAlignment="1" applyBorder="1" applyFill="1" applyFont="1">
      <alignment horizontal="center" shrinkToFit="0" vertical="bottom" wrapText="0"/>
    </xf>
    <xf borderId="0" fillId="5" fontId="3" numFmtId="0" xfId="0" applyFill="1" applyFont="1"/>
    <xf borderId="6" fillId="2" fontId="7" numFmtId="0" xfId="0" applyAlignment="1" applyBorder="1" applyFill="1" applyFont="1">
      <alignment horizontal="left" shrinkToFit="0" vertical="center" wrapText="0"/>
    </xf>
    <xf borderId="7" fillId="2" fontId="8" numFmtId="0" xfId="0" applyAlignment="1" applyBorder="1" applyFill="1" applyFont="1">
      <alignment horizontal="center" shrinkToFit="0" vertical="center" wrapText="0"/>
    </xf>
    <xf borderId="7" fillId="2" fontId="8" numFmtId="0" xfId="0" applyAlignment="1" applyBorder="1" applyFill="1" applyFont="1">
      <alignment horizontal="center" shrinkToFit="0" vertical="center" wrapText="0"/>
    </xf>
    <xf borderId="7" fillId="2" fontId="7" numFmtId="0" xfId="0" applyAlignment="1" applyBorder="1" applyFill="1" applyFont="1">
      <alignment horizontal="center" readingOrder="0" shrinkToFit="0" vertical="center" wrapText="0"/>
    </xf>
    <xf borderId="7" fillId="2" fontId="7" numFmtId="0" xfId="0" applyAlignment="1" applyBorder="1" applyFill="1" applyFont="1">
      <alignment horizontal="center" shrinkToFit="0" vertical="center" wrapText="0"/>
    </xf>
    <xf borderId="7" fillId="2" fontId="7" numFmtId="166" xfId="0" applyAlignment="1" applyBorder="1" applyFill="1" applyFont="1" applyNumberFormat="1">
      <alignment horizontal="center" shrinkToFit="0" vertical="center" wrapText="0"/>
    </xf>
    <xf borderId="7" fillId="2" fontId="8" numFmtId="0" xfId="0" applyAlignment="1" applyBorder="1" applyFill="1" applyFont="1">
      <alignment horizontal="left" shrinkToFit="0" vertical="center" wrapText="0"/>
    </xf>
    <xf borderId="7" fillId="2" fontId="8" numFmtId="164" xfId="0" applyAlignment="1" applyBorder="1" applyFill="1" applyFont="1" applyNumberFormat="1">
      <alignment horizontal="center" shrinkToFit="0" vertical="center" wrapText="0"/>
    </xf>
    <xf borderId="7" fillId="2" fontId="8" numFmtId="10" xfId="0" applyAlignment="1" applyBorder="1" applyFill="1" applyFont="1" applyNumberFormat="1">
      <alignment horizontal="center" readingOrder="0" shrinkToFit="0" vertical="center" wrapText="0"/>
    </xf>
    <xf borderId="7" fillId="2" fontId="8" numFmtId="10" xfId="0" applyAlignment="1" applyBorder="1" applyFill="1" applyFont="1" applyNumberFormat="1">
      <alignment horizontal="center" shrinkToFit="0" vertical="center" wrapText="0"/>
    </xf>
    <xf borderId="0" fillId="4" fontId="8" numFmtId="0" xfId="0" applyAlignment="1" applyFill="1" applyFont="1">
      <alignment horizontal="center" readingOrder="0" shrinkToFit="0" vertical="center" wrapText="0"/>
    </xf>
    <xf borderId="7" fillId="2" fontId="8" numFmtId="167" xfId="0" applyAlignment="1" applyBorder="1" applyFill="1" applyFont="1" applyNumberFormat="1">
      <alignment horizontal="center" shrinkToFit="0" vertical="center" wrapText="0"/>
    </xf>
    <xf borderId="0" fillId="4" fontId="2" numFmtId="0" xfId="0" applyAlignment="1" applyFill="1" applyFont="1">
      <alignment horizontal="center" shrinkToFit="0" vertical="bottom" wrapText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2" fontId="1" numFmtId="0" xfId="0" applyFill="1" applyFont="1"/>
    <xf borderId="0" fillId="0" fontId="3" numFmtId="0" xfId="0" applyAlignment="1" applyFont="1">
      <alignment horizontal="left"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3" numFmtId="49" xfId="0" applyAlignment="1" applyFont="1" applyNumberFormat="1">
      <alignment horizontal="center" readingOrder="0" shrinkToFit="0" wrapText="0"/>
    </xf>
    <xf borderId="0" fillId="2" fontId="9" numFmtId="167" xfId="0" applyAlignment="1" applyFill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166" xfId="0" applyAlignment="1" applyFont="1" applyNumberFormat="1">
      <alignment horizontal="center" readingOrder="0" shrinkToFit="0" vertical="bottom" wrapText="0"/>
    </xf>
    <xf borderId="0" fillId="0" fontId="2" numFmtId="168" xfId="0" applyAlignment="1" applyFont="1" applyNumberFormat="1">
      <alignment horizontal="center" readingOrder="0" shrinkToFit="0" vertical="bottom" wrapText="0"/>
    </xf>
    <xf borderId="0" fillId="0" fontId="2" numFmtId="166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5" fillId="0" fontId="2" numFmtId="164" xfId="0" applyAlignment="1" applyBorder="1" applyFont="1" applyNumberFormat="1">
      <alignment horizontal="center" shrinkToFit="0" vertical="center" wrapText="0"/>
    </xf>
    <xf borderId="5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horizontal="center" shrinkToFit="0" vertical="center" wrapText="0"/>
    </xf>
    <xf borderId="7" fillId="0" fontId="2" numFmtId="164" xfId="0" applyAlignment="1" applyBorder="1" applyFont="1" applyNumberFormat="1">
      <alignment horizontal="center" shrinkToFit="0" vertical="center" wrapText="0"/>
    </xf>
    <xf borderId="7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2" fillId="0" fontId="2" numFmtId="0" xfId="0" applyAlignment="1" applyBorder="1" applyFont="1">
      <alignment horizontal="left" readingOrder="0" shrinkToFit="0" vertical="center" wrapText="0"/>
    </xf>
    <xf borderId="0" fillId="4" fontId="2" numFmtId="0" xfId="0" applyFill="1" applyFont="1"/>
    <xf borderId="10" fillId="0" fontId="2" numFmtId="164" xfId="0" applyAlignment="1" applyBorder="1" applyFont="1" applyNumberFormat="1">
      <alignment horizontal="center" shrinkToFit="0" vertical="center" wrapText="0"/>
    </xf>
    <xf borderId="10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horizontal="center"/>
    </xf>
    <xf borderId="0" fillId="0" fontId="4" numFmtId="4" xfId="0" applyAlignment="1" applyFont="1" applyNumberForma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164" xfId="0" applyAlignment="1" applyFont="1" applyNumberFormat="1">
      <alignment shrinkToFit="0" vertical="center" wrapText="0"/>
    </xf>
    <xf borderId="0" fillId="0" fontId="10" numFmtId="0" xfId="0" applyAlignment="1" applyFont="1">
      <alignment shrinkToFit="0" vertical="center" wrapText="0"/>
    </xf>
    <xf borderId="0" fillId="0" fontId="2" numFmtId="4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0" numFmtId="0" xfId="0" applyAlignment="1" applyFont="1">
      <alignment shrinkToFit="0" vertical="center" wrapText="0"/>
    </xf>
    <xf borderId="0" fillId="0" fontId="4" numFmtId="168" xfId="0" applyAlignment="1" applyFont="1" applyNumberFormat="1">
      <alignment horizontal="center"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4" numFmtId="166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2" numFmtId="49" xfId="0" applyAlignment="1" applyFont="1" applyNumberFormat="1">
      <alignment horizontal="center" shrinkToFit="0" vertical="center" wrapText="0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Font="1"/>
    <xf borderId="0" fillId="2" fontId="12" numFmtId="0" xfId="0" applyAlignment="1" applyFill="1" applyFont="1">
      <alignment readingOrder="0"/>
    </xf>
    <xf borderId="0" fillId="0" fontId="4" numFmtId="0" xfId="0" applyFont="1"/>
    <xf borderId="0" fillId="0" fontId="4" numFmtId="49" xfId="0" applyAlignment="1" applyFont="1" applyNumberForma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5" fontId="4" numFmtId="0" xfId="0" applyFill="1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0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/>
    </xf>
    <xf borderId="0" fillId="0" fontId="4" numFmtId="49" xfId="0" applyAlignment="1" applyFont="1" applyNumberFormat="1">
      <alignment horizontal="left" shrinkToFit="0" vertical="center" wrapText="0"/>
    </xf>
    <xf borderId="0" fillId="0" fontId="4" numFmtId="49" xfId="0" applyAlignment="1" applyFont="1" applyNumberFormat="1">
      <alignment horizontal="center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169" xfId="0" applyAlignment="1" applyFont="1" applyNumberFormat="1">
      <alignment readingOrder="0"/>
    </xf>
    <xf borderId="0" fillId="0" fontId="2" numFmtId="3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" numFmtId="4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7" xfId="0" applyAlignment="1" applyFont="1" applyNumberFormat="1">
      <alignment horizontal="center" shrinkToFit="0" vertical="center" wrapText="0"/>
    </xf>
    <xf borderId="0" fillId="0" fontId="1" numFmtId="170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4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0" xfId="0" applyAlignment="1" applyFont="1" applyNumberFormat="1">
      <alignment horizontal="center"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0" xfId="0" applyAlignment="1" applyFont="1" applyNumberFormat="1">
      <alignment horizontal="center" readingOrder="0"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4" xfId="0" applyAlignment="1" applyFont="1" applyNumberFormat="1">
      <alignment horizont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7">
    <tableStyle count="4" pivot="0" name="LINEA DEL TIEMP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LA CONTRA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ATIS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BICAC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TUACION ACTU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TM RESUM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TM POZ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TM INF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TM ESTUD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TM METO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TM PENALIZAC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GLAS CONTENIDO NACION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ES ACTIVIDAD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ERSIONES EJERCID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GRESOS ESTA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OS GEOLOGIC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15" displayName="Contrato" name="Contrato" id="4">
  <autoFilter ref="$A$1:$X$15"/>
  <tableColumns count="24">
    <tableColumn name="ID_Contrato" id="1"/>
    <tableColumn name="Modalidad" id="2"/>
    <tableColumn name="Ronda" id="3"/>
    <tableColumn name="Licitacion" id="4"/>
    <tableColumn name="Area" id="5"/>
    <tableColumn name="Pozos_Comprometidos" id="6"/>
    <tableColumn name="Pozos_Terminados" id="7"/>
    <tableColumn name="Operador_Principal" id="8"/>
    <tableColumn name="Tipo_Licitante" id="9"/>
    <tableColumn name="Tipo_Yacimiento" id="10"/>
    <tableColumn name="Estado" id="11"/>
    <tableColumn name="Superficie_km2" id="12"/>
    <tableColumn name="Fecha_Firma" id="13"/>
    <tableColumn name="Duracion_Años" id="14"/>
    <tableColumn name="Vence" id="15"/>
    <tableColumn name="Estatus" id="16"/>
    <tableColumn name="Regla_Exploracion" id="17"/>
    <tableColumn name="No_Registro_Fiducario" id="18"/>
    <tableColumn name="Fecha_Registro_Fiducario" id="19"/>
    <tableColumn name="Participacion_Estado" id="20"/>
    <tableColumn name="Valor_Regalia_Adicional" id="21"/>
    <tableColumn name="Incremento_Programa_Min" id="22"/>
    <tableColumn name="Valor_Ponderado_Prop_Economica" id="23"/>
    <tableColumn name="Resultados_" id="24"/>
  </tableColumns>
  <tableStyleInfo name="TABLA CONTRATO-style" showColumnStripes="0" showFirstColumn="1" showLastColumn="1" showRowStripes="1"/>
</table>
</file>

<file path=xl/tables/table2.xml><?xml version="1.0" encoding="utf-8"?>
<table xmlns="http://schemas.openxmlformats.org/spreadsheetml/2006/main" ref="A1:E216" displayName="Timeline" name="Timeline" id="2">
  <tableColumns count="5">
    <tableColumn name="ID_Timeline" id="1"/>
    <tableColumn name="ID_Contrato" id="2"/>
    <tableColumn name="Fecha" id="3"/>
    <tableColumn name="Evento" id="4"/>
    <tableColumn name="Detalles_Evento" id="5"/>
  </tableColumns>
  <tableStyleInfo name="LINEA DEL TIEMPO-style" showColumnStripes="0" showFirstColumn="1" showLastColumn="1" showRowStripes="1"/>
</table>
</file>

<file path=xl/tables/table3.xml><?xml version="1.0" encoding="utf-8"?>
<table xmlns="http://schemas.openxmlformats.org/spreadsheetml/2006/main" ref="A1:E223" displayName="Tabla_6" name="Tabla_6" id="3">
  <tableColumns count="5">
    <tableColumn name="ID_Punto" id="1"/>
    <tableColumn name="ID_Contrato" id="2"/>
    <tableColumn name="Numero_Vertice" id="3"/>
    <tableColumn name="Longitud_Decimales" id="4"/>
    <tableColumn name="Latitud_Decimales" id="5"/>
  </tableColumns>
  <tableStyleInfo name="UBICACION-style" showColumnStripes="0" showFirstColumn="1" showLastColumn="1" showRowStripes="1"/>
</table>
</file>

<file path=xl/tables/table4.xml><?xml version="1.0" encoding="utf-8"?>
<table xmlns="http://schemas.openxmlformats.org/spreadsheetml/2006/main" ref="A1:I33" displayName="Contratista" name="Contratista" id="1">
  <tableColumns count="9">
    <tableColumn name="ID_Socio" id="1"/>
    <tableColumn name="ID_Contrato" id="2"/>
    <tableColumn name="Empresa_Nombre" id="3"/>
    <tableColumn name="Tipo_Participacion" id="4"/>
    <tableColumn name="Porcentaje_Participacion" id="5"/>
    <tableColumn name="Pais_Origen" id="6"/>
    <tableColumn name="Actividad_Empresarial" id="7"/>
    <tableColumn name="Socios_Accionistas_Principales" id="8"/>
    <tableColumn name="Cotizacion_Bolsa" id="9"/>
  </tableColumns>
  <tableStyleInfo name="CONTRATISTA-style" showColumnStripes="0" showFirstColumn="1" showLastColumn="1" showRowStripes="1"/>
</table>
</file>

<file path=xl/tables/table5.xml><?xml version="1.0" encoding="utf-8"?>
<table xmlns="http://schemas.openxmlformats.org/spreadsheetml/2006/main" ref="A1:G169" displayName="Resolucion_Actividad_Seguimiento" name="Resolucion_Actividad_Seguimiento" id="5">
  <autoFilter ref="$A$1:$G$169">
    <filterColumn colId="5">
      <filters>
        <filter val="Aprobado"/>
      </filters>
    </filterColumn>
  </autoFilter>
  <tableColumns count="7">
    <tableColumn name="ID_Resolucion" id="1"/>
    <tableColumn name="ID_Contrato" id="2"/>
    <tableColumn name="Actividad_Regulada" id="3"/>
    <tableColumn name="Fecha_Presentacion" id="4"/>
    <tableColumn name="Fecha_Resolucion" id="5"/>
    <tableColumn name="Sentido_Resolucion" id="6"/>
    <tableColumn name="Numero_Resolucion" id="7"/>
  </tableColumns>
  <tableStyleInfo name="SITUACION ACTUAL-style" showColumnStripes="0" showFirstColumn="1" showLastColumn="1" showRowStripes="1"/>
</table>
</file>

<file path=xl/tables/table6.xml><?xml version="1.0" encoding="utf-8"?>
<table xmlns="http://schemas.openxmlformats.org/spreadsheetml/2006/main" ref="A1:H15" displayName="PMT_Resumen" name="PMT_Resumen" id="6">
  <tableColumns count="8">
    <tableColumn name="ID_PMT" id="1"/>
    <tableColumn name="ID_Contrato" id="2"/>
    <tableColumn name="Programa_Minimo_Trabajo_UT" id="3"/>
    <tableColumn name="Incremento_PMT_UT" id="4"/>
    <tableColumn name="Periodo_Adicional_UT" id="5"/>
    <tableColumn name="PMT_Total_Requerido" id="6"/>
    <tableColumn name="Acreditadas_Reales" id="7"/>
    <tableColumn name="Fecha_Limite" id="8"/>
  </tableColumns>
  <tableStyleInfo name="PTM RESUMEN-style" showColumnStripes="0" showFirstColumn="1" showLastColumn="1" showRowStripes="1"/>
</table>
</file>

<file path=xl/tables/table7.xml><?xml version="1.0" encoding="utf-8"?>
<table xmlns="http://schemas.openxmlformats.org/spreadsheetml/2006/main" ref="A1:H253" displayName="PMT_Pozos" name="PMT_Pozos" id="7">
  <tableColumns count="8">
    <tableColumn name="ID_PMT_Pozo" id="1"/>
    <tableColumn name="ID_Contrato" id="2"/>
    <tableColumn name="Profundidad_Metros" id="3"/>
    <tableColumn name="Unidades_Trabajo" id="4"/>
    <tableColumn name="Profundidad de perforación (mbnm)" id="5"/>
    <tableColumn name="Tirante de agua (metros) 500-1000" id="6"/>
    <tableColumn name="Tirante de agua (metros) &gt;1000-2000" id="7"/>
    <tableColumn name="Tirante de agua (metros) &gt;2000" id="8"/>
  </tableColumns>
  <tableStyleInfo name="PTM POZOS-style" showColumnStripes="0" showFirstColumn="1" showLastColumn="1" showRowStripes="1"/>
</table>
</file>

<file path=xl/tables/table8.xml><?xml version="1.0" encoding="utf-8"?>
<table xmlns="http://schemas.openxmlformats.org/spreadsheetml/2006/main" ref="A1:F118" displayName="PTM_Informacion" name="PTM_Informacion" id="8">
  <tableColumns count="6">
    <tableColumn name="ID_PMT_Info" id="1"/>
    <tableColumn name="ID_Contrato" id="2"/>
    <tableColumn name="Actividad_Exploratoria" id="3"/>
    <tableColumn name="Descripcion_Actividad" id="4"/>
    <tableColumn name="Unidad_Medida" id="5"/>
    <tableColumn name="Unidades_Trabajo" id="6"/>
  </tableColumns>
  <tableStyleInfo name="PTM INFO-style" showColumnStripes="0" showFirstColumn="1" showLastColumn="1" showRowStripes="1"/>
</table>
</file>

<file path=xl/tables/table9.xml><?xml version="1.0" encoding="utf-8"?>
<table xmlns="http://schemas.openxmlformats.org/spreadsheetml/2006/main" ref="A1:F216" displayName="PTM_Estudios" name="PTM_Estudios" id="9">
  <tableColumns count="6">
    <tableColumn name="ID_PMT_Estudio" id="1"/>
    <tableColumn name="ID_Contrato" id="2"/>
    <tableColumn name="Actividad_Exploratoria" id="3"/>
    <tableColumn name="Descripcion_Actividad" id="4"/>
    <tableColumn name="Unidad_Medida" id="5"/>
    <tableColumn name="Unidades_Trabajo" id="6"/>
  </tableColumns>
  <tableStyleInfo name="PTM ESTUDIOS-style" showColumnStripes="0" showFirstColumn="1" showLastColumn="1" showRowStripes="1"/>
</table>
</file>

<file path=xl/tables/table10.xml><?xml version="1.0" encoding="utf-8"?>
<table xmlns="http://schemas.openxmlformats.org/spreadsheetml/2006/main" ref="A1:F44" displayName="PMT_Metodos" name="PMT_Metodos" id="10">
  <tableColumns count="6">
    <tableColumn name="ID_PMT_Metodo" id="1"/>
    <tableColumn name="ID_Contrato" id="2"/>
    <tableColumn name="Actividad_Exploratoria" id="3"/>
    <tableColumn name="Descripcion_Actividad" id="4"/>
    <tableColumn name="Unidad_Medida" id="5"/>
    <tableColumn name="Unidades_Trabajo" id="6"/>
  </tableColumns>
  <tableStyleInfo name="PTM METODOS-style" showColumnStripes="0" showFirstColumn="1" showLastColumn="1" showRowStripes="1"/>
</table>
</file>

<file path=xl/tables/table11.xml><?xml version="1.0" encoding="utf-8"?>
<table xmlns="http://schemas.openxmlformats.org/spreadsheetml/2006/main" ref="A1:E220" displayName="Tabla" name="Tabla" id="11">
  <tableColumns count="5">
    <tableColumn name="PMT_PENALIZACIONES" id="1"/>
    <tableColumn name="ID_Contrato" id="2"/>
    <tableColumn name="Rango_Brent_Minimo_USD" id="3"/>
    <tableColumn name="Rango_Brent_Maximo_USD" id="4"/>
    <tableColumn name="Valor_Por_Unidad_USD" id="5"/>
  </tableColumns>
  <tableStyleInfo name="PTM PENALIZACION-style" showColumnStripes="0" showFirstColumn="1" showLastColumn="1" showRowStripes="1"/>
</table>
</file>

<file path=xl/tables/table12.xml><?xml version="1.0" encoding="utf-8"?>
<table xmlns="http://schemas.openxmlformats.org/spreadsheetml/2006/main" ref="A1:E46" displayName="REGLAS_CONTENIDO_NACIONAL" name="REGLAS_CONTENIDO_NACIONAL" id="12">
  <tableColumns count="5">
    <tableColumn name="ID_Regla_CN" id="1"/>
    <tableColumn name="ID_Contrato" id="2"/>
    <tableColumn name="Etapa" id="3"/>
    <tableColumn name="Porcentaje_Base" id="4"/>
    <tableColumn name="Descripcion_Regla" id="5"/>
  </tableColumns>
  <tableStyleInfo name="REGLAS CONTENIDO NACIONAL-style" showColumnStripes="0" showFirstColumn="1" showLastColumn="1" showRowStripes="1"/>
</table>
</file>

<file path=xl/tables/table13.xml><?xml version="1.0" encoding="utf-8"?>
<table xmlns="http://schemas.openxmlformats.org/spreadsheetml/2006/main" ref="A1:D59" displayName="Documentos_Aprobatorios" name="Documentos_Aprobatorios" id="13">
  <tableColumns count="4">
    <tableColumn name="ID_Documento" id="1"/>
    <tableColumn name="ID_Contrato" id="2"/>
    <tableColumn name="Tipo_Documento" id="3"/>
    <tableColumn name="Fecha_Documento" id="4"/>
  </tableColumns>
  <tableStyleInfo name="PLANES-style" showColumnStripes="0" showFirstColumn="1" showLastColumn="1" showRowStripes="1"/>
</table>
</file>

<file path=xl/tables/table14.xml><?xml version="1.0" encoding="utf-8"?>
<table xmlns="http://schemas.openxmlformats.org/spreadsheetml/2006/main" ref="A1:J123" displayName="Planes_Actividades" name="Planes_Actividades" id="14">
  <tableColumns count="10">
    <tableColumn name="ID_Actividad" id="1"/>
    <tableColumn name="ID_Documento" id="2"/>
    <tableColumn name="Sub_Actividad" id="3"/>
    <tableColumn name="Tarea / Descripción" id="4"/>
    <tableColumn name="Año_Inicio" id="5"/>
    <tableColumn name="Año_Fin" id="6"/>
    <tableColumn name="Mes_Inicio" id="7"/>
    <tableColumn name="Mes_Fin" id="8"/>
    <tableColumn name="Cantidad" id="9"/>
    <tableColumn name="UT_Aporta" id="10"/>
  </tableColumns>
  <tableStyleInfo name="PLANES ACTIVIDADES-style" showColumnStripes="0" showFirstColumn="1" showLastColumn="1" showRowStripes="1"/>
</table>
</file>

<file path=xl/tables/table15.xml><?xml version="1.0" encoding="utf-8"?>
<table xmlns="http://schemas.openxmlformats.org/spreadsheetml/2006/main" ref="A1:G488" displayName="Inversiones_Ejercidas" name="Inversiones_Ejercidas" id="15">
  <tableColumns count="7">
    <tableColumn name="ID_Inversion" id="1"/>
    <tableColumn name="ID_Contrato" id="2"/>
    <tableColumn name="Año" id="3"/>
    <tableColumn name="Mes" id="4"/>
    <tableColumn name="Fase_Actividad" id="5"/>
    <tableColumn name="Monto_Aprobado_USD" id="6"/>
    <tableColumn name="Monto_Ejercido_USD" id="7"/>
  </tableColumns>
  <tableStyleInfo name="INVERSIONES EJERCIDAS-style" showColumnStripes="0" showFirstColumn="1" showLastColumn="1" showRowStripes="1"/>
</table>
</file>

<file path=xl/tables/table16.xml><?xml version="1.0" encoding="utf-8"?>
<table xmlns="http://schemas.openxmlformats.org/spreadsheetml/2006/main" ref="A1:G946" displayName="Ingresos_Estado" name="Ingresos_Estado" id="16">
  <autoFilter ref="$A$1:$G$946"/>
  <tableColumns count="7">
    <tableColumn name="ID_Ingreso" id="1"/>
    <tableColumn name="ID_Contrato" id="2"/>
    <tableColumn name="Año" id="3"/>
    <tableColumn name="Mes" id="4"/>
    <tableColumn name="Concepto_Pago" id="5"/>
    <tableColumn name="Monto_Pagado_MXN" id="6"/>
    <tableColumn name="Monto_Pagado_USD" id="7"/>
  </tableColumns>
  <tableStyleInfo name="INGRESOS ESTADO-style" showColumnStripes="0" showFirstColumn="1" showLastColumn="1" showRowStripes="1"/>
</table>
</file>

<file path=xl/tables/table17.xml><?xml version="1.0" encoding="utf-8"?>
<table xmlns="http://schemas.openxmlformats.org/spreadsheetml/2006/main" ref="A1:I15" displayName="Datos_Geol" name="Datos_Geol" id="17">
  <tableColumns count="9">
    <tableColumn name="ID_DatGeo" id="1"/>
    <tableColumn name="ID_Contrato" id="2"/>
    <tableColumn name="Provincia_Petrolera" id="3"/>
    <tableColumn name="Provincia_Geologica" id="4"/>
    <tableColumn name="Superficie_AContractual_km2" id="5"/>
    <tableColumn name="Cobertura_sismica_3D" id="6"/>
    <tableColumn name="Edad_Play" id="7"/>
    <tableColumn name="Litologias" id="8"/>
    <tableColumn name="Hidrocarburo_Esperado" id="9"/>
  </tableColumns>
  <tableStyleInfo name="DATOS GEOLOGIC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nh-r02-l01-a2.tm/2017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cnh-r02-l01-a2.tm/2017" TargetMode="External"/><Relationship Id="rId22" Type="http://schemas.openxmlformats.org/officeDocument/2006/relationships/hyperlink" Target="http://cnh-r02-l01-a2.tm/2017" TargetMode="External"/><Relationship Id="rId21" Type="http://schemas.openxmlformats.org/officeDocument/2006/relationships/hyperlink" Target="http://cnh-r02-l01-a2.tm/2017" TargetMode="External"/><Relationship Id="rId24" Type="http://schemas.openxmlformats.org/officeDocument/2006/relationships/drawing" Target="../drawings/drawing2.xml"/><Relationship Id="rId23" Type="http://schemas.openxmlformats.org/officeDocument/2006/relationships/hyperlink" Target="http://cnh-r02-l01-a2.tm/2017" TargetMode="External"/><Relationship Id="rId1" Type="http://schemas.openxmlformats.org/officeDocument/2006/relationships/hyperlink" Target="http://cnh-r02-l01-a2.tm/2017" TargetMode="External"/><Relationship Id="rId2" Type="http://schemas.openxmlformats.org/officeDocument/2006/relationships/hyperlink" Target="http://cnh-r02-l01-a2.tm/2017" TargetMode="External"/><Relationship Id="rId3" Type="http://schemas.openxmlformats.org/officeDocument/2006/relationships/hyperlink" Target="http://cnh-r02-l01-a2.tm/2017" TargetMode="External"/><Relationship Id="rId4" Type="http://schemas.openxmlformats.org/officeDocument/2006/relationships/hyperlink" Target="http://cnh-r02-l01-a2.tm/2017" TargetMode="External"/><Relationship Id="rId9" Type="http://schemas.openxmlformats.org/officeDocument/2006/relationships/hyperlink" Target="http://cnh-r02-l01-a2.tm/2017" TargetMode="External"/><Relationship Id="rId26" Type="http://schemas.openxmlformats.org/officeDocument/2006/relationships/table" Target="../tables/table2.xml"/><Relationship Id="rId5" Type="http://schemas.openxmlformats.org/officeDocument/2006/relationships/hyperlink" Target="http://cnh-r02-l01-a2.tm/2017" TargetMode="External"/><Relationship Id="rId6" Type="http://schemas.openxmlformats.org/officeDocument/2006/relationships/hyperlink" Target="http://cnh-r02-l01-a2.tm/2017" TargetMode="External"/><Relationship Id="rId7" Type="http://schemas.openxmlformats.org/officeDocument/2006/relationships/hyperlink" Target="http://cnh-r02-l01-a2.tm/2017" TargetMode="External"/><Relationship Id="rId8" Type="http://schemas.openxmlformats.org/officeDocument/2006/relationships/hyperlink" Target="http://cnh-r02-l01-a2.tm/2017" TargetMode="External"/><Relationship Id="rId11" Type="http://schemas.openxmlformats.org/officeDocument/2006/relationships/hyperlink" Target="http://cnh-r02-l01-a2.tm/2017" TargetMode="External"/><Relationship Id="rId10" Type="http://schemas.openxmlformats.org/officeDocument/2006/relationships/hyperlink" Target="http://cnh-r02-l01-a2.tm/2017" TargetMode="External"/><Relationship Id="rId13" Type="http://schemas.openxmlformats.org/officeDocument/2006/relationships/hyperlink" Target="http://cnh-r02-l01-a2.tm/2017" TargetMode="External"/><Relationship Id="rId12" Type="http://schemas.openxmlformats.org/officeDocument/2006/relationships/hyperlink" Target="http://cnh-r02-l01-a2.tm/2017" TargetMode="External"/><Relationship Id="rId15" Type="http://schemas.openxmlformats.org/officeDocument/2006/relationships/hyperlink" Target="http://cnh-r02-l01-a2.tm/2017" TargetMode="External"/><Relationship Id="rId14" Type="http://schemas.openxmlformats.org/officeDocument/2006/relationships/hyperlink" Target="http://cnh-r02-l01-a2.tm/2017" TargetMode="External"/><Relationship Id="rId17" Type="http://schemas.openxmlformats.org/officeDocument/2006/relationships/hyperlink" Target="http://cnh-r02-l01-a2.tm/2017" TargetMode="External"/><Relationship Id="rId16" Type="http://schemas.openxmlformats.org/officeDocument/2006/relationships/hyperlink" Target="http://cnh-r02-l01-a2.tm/2017" TargetMode="External"/><Relationship Id="rId19" Type="http://schemas.openxmlformats.org/officeDocument/2006/relationships/hyperlink" Target="http://cnh-r02-l01-a2.tm/2017" TargetMode="External"/><Relationship Id="rId18" Type="http://schemas.openxmlformats.org/officeDocument/2006/relationships/hyperlink" Target="http://cnh-r02-l01-a2.tm/2017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b.mx/cms/uploads/attachment/file/874758/II.2_Resolucion_CNH.E.20.04-2023.pdf" TargetMode="External"/><Relationship Id="rId2" Type="http://schemas.openxmlformats.org/officeDocument/2006/relationships/hyperlink" Target="https://www.gob.mx/cms/uploads/attachment/file/874757/II.2_Resolucion_CNH.E.20.03-2023.pdf" TargetMode="External"/><Relationship Id="rId3" Type="http://schemas.openxmlformats.org/officeDocument/2006/relationships/hyperlink" Target="https://www.gob.mx/cms/uploads/attachment/file/793296/II.2_Resolucion_CNH.E.94.003-2022.pdf" TargetMode="External"/><Relationship Id="rId4" Type="http://schemas.openxmlformats.org/officeDocument/2006/relationships/hyperlink" Target="https://www.gob.mx/cms/uploads/attachment/file/793293/II.2_Resolucion_CNH.E.94.002-2022.pdf" TargetMode="External"/><Relationship Id="rId9" Type="http://schemas.openxmlformats.org/officeDocument/2006/relationships/hyperlink" Target="https://www.gob.mx/cms/uploads/attachment/file/638459/II.3_Resolucion_CNH.E.25.003-2021.pdf" TargetMode="External"/><Relationship Id="rId5" Type="http://schemas.openxmlformats.org/officeDocument/2006/relationships/hyperlink" Target="https://www.gob.mx/cms/uploads/attachment/file/780258/II.1_Resolucion_CNH.E.76.001-2022.pdf" TargetMode="External"/><Relationship Id="rId6" Type="http://schemas.openxmlformats.org/officeDocument/2006/relationships/hyperlink" Target="https://www.gob.mx/cms/uploads/attachment/file/771432/Of._220.0732-2022_Expide_Const._Afirmativa_PT-Presup_2022_A8.CS_firma17102022_172558.pdf" TargetMode="External"/><Relationship Id="rId7" Type="http://schemas.openxmlformats.org/officeDocument/2006/relationships/hyperlink" Target="https://www.gob.mx/cms/uploads/attachment/file/738155/II.1_Resolucion_CNH.05.001-2022.pdf" TargetMode="External"/><Relationship Id="rId8" Type="http://schemas.openxmlformats.org/officeDocument/2006/relationships/hyperlink" Target="https://www.gob.mx/cms/uploads/attachment/file/638460/II.3_Resolucion_CNH.E.25.004-2021.pdf" TargetMode="External"/><Relationship Id="rId11" Type="http://schemas.openxmlformats.org/officeDocument/2006/relationships/hyperlink" Target="https://www.gob.mx/cms/uploads/attachment/file/515338/II.6_Resolucion_CNH.E.68.011-19_Programa_de_Trabajo_2020_CNH-R02-L01-A8.CS-2017.pdf" TargetMode="External"/><Relationship Id="rId10" Type="http://schemas.openxmlformats.org/officeDocument/2006/relationships/hyperlink" Target="https://www.gob.mx/cms/uploads/attachment/file/515337/II.6_Resolucion_CNH.E.68.012-19_Presupuesto_CNH-R02-L01-A8.CS-2017.pdf" TargetMode="External"/><Relationship Id="rId13" Type="http://schemas.openxmlformats.org/officeDocument/2006/relationships/hyperlink" Target="https://www.gob.mx/cms/uploads/attachment/file/426465/Resoluci_n_CNH.E.57.001-18.pdf" TargetMode="External"/><Relationship Id="rId12" Type="http://schemas.openxmlformats.org/officeDocument/2006/relationships/hyperlink" Target="https://www.gob.mx/cms/uploads/attachment/file/426464/Resoluci_n_CNH.E.57.002-18.pdf" TargetMode="External"/><Relationship Id="rId15" Type="http://schemas.openxmlformats.org/officeDocument/2006/relationships/hyperlink" Target="https://www.gob.mx/cms/uploads/attachment/file/426504/Resoluci_n_CNH.E.56.004-18.pdf" TargetMode="External"/><Relationship Id="rId14" Type="http://schemas.openxmlformats.org/officeDocument/2006/relationships/hyperlink" Target="https://www.gob.mx/cms/uploads/attachment/file/426501/Resoluci_n_CNH.E.56.002-18.pdf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www.gob.mx/cms/uploads/attachment/file/426503/Resoluci_n_CNH.E.56.003-18.pdf" TargetMode="External"/><Relationship Id="rId19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0"/>
    <col customWidth="1" min="2" max="2" width="20.25"/>
    <col customWidth="1" min="3" max="3" width="10.38"/>
    <col customWidth="1" min="4" max="4" width="12.75"/>
    <col customWidth="1" min="5" max="5" width="12.25"/>
    <col customWidth="1" min="6" max="6" width="27.13"/>
    <col customWidth="1" min="7" max="7" width="23.88"/>
    <col customWidth="1" min="8" max="8" width="42.63"/>
    <col customWidth="1" min="9" max="9" width="17.63"/>
    <col customWidth="1" min="10" max="10" width="23.75"/>
    <col customWidth="1" min="11" max="11" width="32.13"/>
    <col customWidth="1" min="12" max="12" width="15.13"/>
    <col customWidth="1" min="13" max="13" width="17.25"/>
    <col customWidth="1" min="14" max="14" width="16.0"/>
    <col customWidth="1" min="15" max="15" width="17.88"/>
    <col customWidth="1" min="16" max="16" width="35.5"/>
    <col customWidth="1" min="17" max="17" width="55.25"/>
    <col customWidth="1" min="18" max="18" width="27.75"/>
    <col customWidth="1" min="19" max="19" width="24.38"/>
    <col customWidth="1" min="20" max="20" width="26.5"/>
    <col customWidth="1" min="21" max="21" width="25.5"/>
    <col customWidth="1" min="22" max="22" width="31.38"/>
    <col customWidth="1" min="23" max="23" width="32.63"/>
    <col customWidth="1" min="24" max="24" width="19.0"/>
  </cols>
  <sheetData>
    <row r="1" ht="22.5" customHeight="1">
      <c r="A1" s="3" t="s">
        <v>2</v>
      </c>
      <c r="B1" s="5" t="s">
        <v>6</v>
      </c>
      <c r="C1" s="5" t="s">
        <v>10</v>
      </c>
      <c r="D1" s="5" t="s">
        <v>14</v>
      </c>
      <c r="E1" s="5" t="s">
        <v>16</v>
      </c>
      <c r="F1" s="5" t="s">
        <v>20</v>
      </c>
      <c r="G1" s="5" t="s">
        <v>22</v>
      </c>
      <c r="H1" s="5" t="s">
        <v>23</v>
      </c>
      <c r="I1" s="9" t="s">
        <v>25</v>
      </c>
      <c r="J1" s="9" t="s">
        <v>27</v>
      </c>
      <c r="K1" s="9" t="s">
        <v>30</v>
      </c>
      <c r="L1" s="9" t="s">
        <v>31</v>
      </c>
      <c r="M1" s="9" t="s">
        <v>33</v>
      </c>
      <c r="N1" s="9" t="s">
        <v>35</v>
      </c>
      <c r="O1" s="9" t="s">
        <v>37</v>
      </c>
      <c r="P1" s="16" t="s">
        <v>42</v>
      </c>
      <c r="Q1" s="16" t="s">
        <v>44</v>
      </c>
      <c r="R1" s="5" t="s">
        <v>45</v>
      </c>
      <c r="S1" s="5" t="s">
        <v>47</v>
      </c>
      <c r="T1" s="5" t="s">
        <v>49</v>
      </c>
      <c r="U1" s="5" t="s">
        <v>50</v>
      </c>
      <c r="V1" s="5" t="s">
        <v>53</v>
      </c>
      <c r="W1" s="5" t="s">
        <v>55</v>
      </c>
      <c r="X1" s="5" t="s">
        <v>58</v>
      </c>
      <c r="Y1" s="18"/>
      <c r="Z1" s="18"/>
      <c r="AA1" s="18"/>
    </row>
    <row r="2" ht="22.5" customHeight="1">
      <c r="A2" s="6" t="s">
        <v>28</v>
      </c>
      <c r="B2" s="2" t="s">
        <v>62</v>
      </c>
      <c r="C2" s="2" t="s">
        <v>65</v>
      </c>
      <c r="D2" s="2" t="s">
        <v>69</v>
      </c>
      <c r="E2" s="19">
        <v>32.0</v>
      </c>
      <c r="F2" s="20">
        <v>0.0</v>
      </c>
      <c r="G2" s="20">
        <v>2.0</v>
      </c>
      <c r="H2" s="2" t="s">
        <v>32</v>
      </c>
      <c r="I2" s="2" t="s">
        <v>74</v>
      </c>
      <c r="J2" s="21" t="s">
        <v>77</v>
      </c>
      <c r="K2" s="21" t="s">
        <v>79</v>
      </c>
      <c r="L2" s="21">
        <v>1027.398</v>
      </c>
      <c r="M2" s="22">
        <v>43278.0</v>
      </c>
      <c r="N2" s="21">
        <v>30.0</v>
      </c>
      <c r="O2" s="21">
        <v>2048.0</v>
      </c>
      <c r="P2" s="23" t="s">
        <v>86</v>
      </c>
      <c r="Q2" s="6" t="s">
        <v>87</v>
      </c>
      <c r="R2" s="2" t="s">
        <v>90</v>
      </c>
      <c r="S2" s="13">
        <v>43299.0</v>
      </c>
      <c r="T2" s="24">
        <v>0.4049</v>
      </c>
      <c r="U2" s="24">
        <v>0.0</v>
      </c>
      <c r="V2" s="2">
        <v>0.0</v>
      </c>
      <c r="W2" s="25">
        <v>40.49</v>
      </c>
      <c r="X2" s="26"/>
      <c r="Y2" s="18"/>
      <c r="Z2" s="18"/>
      <c r="AA2" s="18"/>
    </row>
    <row r="3" ht="22.5" customHeight="1">
      <c r="A3" s="28" t="s">
        <v>67</v>
      </c>
      <c r="B3" s="29" t="s">
        <v>62</v>
      </c>
      <c r="C3" s="29" t="s">
        <v>65</v>
      </c>
      <c r="D3" s="29" t="s">
        <v>69</v>
      </c>
      <c r="E3" s="30">
        <v>16.0</v>
      </c>
      <c r="F3" s="30">
        <v>0.0</v>
      </c>
      <c r="G3" s="30">
        <v>1.0</v>
      </c>
      <c r="H3" s="29" t="s">
        <v>71</v>
      </c>
      <c r="I3" s="29" t="s">
        <v>74</v>
      </c>
      <c r="J3" s="29" t="s">
        <v>77</v>
      </c>
      <c r="K3" s="29" t="s">
        <v>121</v>
      </c>
      <c r="L3" s="29">
        <v>784.799</v>
      </c>
      <c r="M3" s="31">
        <v>43278.0</v>
      </c>
      <c r="N3" s="29">
        <v>30.0</v>
      </c>
      <c r="O3" s="29">
        <v>2048.0</v>
      </c>
      <c r="P3" s="32" t="s">
        <v>126</v>
      </c>
      <c r="Q3" s="32" t="s">
        <v>127</v>
      </c>
      <c r="R3" s="29" t="s">
        <v>129</v>
      </c>
      <c r="S3" s="33">
        <v>43299.0</v>
      </c>
      <c r="T3" s="34">
        <v>0.2423</v>
      </c>
      <c r="U3" s="34">
        <v>0.0</v>
      </c>
      <c r="V3" s="29">
        <v>0.0</v>
      </c>
      <c r="W3" s="35">
        <v>24.23</v>
      </c>
      <c r="X3" s="36" t="s">
        <v>136</v>
      </c>
      <c r="Y3" s="18"/>
      <c r="Z3" s="18"/>
      <c r="AA3" s="18"/>
    </row>
    <row r="4" ht="22.5" customHeight="1">
      <c r="A4" s="6" t="s">
        <v>103</v>
      </c>
      <c r="B4" s="37" t="s">
        <v>141</v>
      </c>
      <c r="C4" s="37" t="s">
        <v>143</v>
      </c>
      <c r="D4" s="37" t="s">
        <v>145</v>
      </c>
      <c r="E4" s="38">
        <v>22.0</v>
      </c>
      <c r="F4" s="38">
        <v>1.0</v>
      </c>
      <c r="G4" s="38">
        <v>0.0</v>
      </c>
      <c r="H4" s="37" t="s">
        <v>149</v>
      </c>
      <c r="I4" s="39" t="s">
        <v>74</v>
      </c>
      <c r="J4" s="39" t="s">
        <v>154</v>
      </c>
      <c r="K4" s="39" t="s">
        <v>157</v>
      </c>
      <c r="L4" s="40">
        <v>2878.99</v>
      </c>
      <c r="M4" s="41">
        <v>43227.0</v>
      </c>
      <c r="N4" s="39">
        <v>35.0</v>
      </c>
      <c r="O4" s="39">
        <v>2053.0</v>
      </c>
      <c r="P4" s="42" t="s">
        <v>163</v>
      </c>
      <c r="Q4" s="32" t="s">
        <v>87</v>
      </c>
      <c r="R4" s="2" t="s">
        <v>166</v>
      </c>
      <c r="S4" s="13">
        <v>43250.0</v>
      </c>
      <c r="T4" s="24">
        <v>0.275</v>
      </c>
      <c r="U4" s="24">
        <v>0.1844</v>
      </c>
      <c r="V4" s="43" t="s">
        <v>170</v>
      </c>
      <c r="W4" s="2">
        <v>96.042</v>
      </c>
      <c r="X4" s="2"/>
      <c r="Y4" s="18"/>
      <c r="Z4" s="18"/>
      <c r="AA4" s="18"/>
    </row>
    <row r="5" ht="22.5" customHeight="1">
      <c r="A5" s="28" t="s">
        <v>133</v>
      </c>
      <c r="B5" s="29" t="s">
        <v>141</v>
      </c>
      <c r="C5" s="29" t="s">
        <v>143</v>
      </c>
      <c r="D5" s="29" t="s">
        <v>145</v>
      </c>
      <c r="E5" s="30">
        <v>2.0</v>
      </c>
      <c r="F5" s="30">
        <v>1.0</v>
      </c>
      <c r="G5" s="30">
        <v>0.0</v>
      </c>
      <c r="H5" s="29" t="s">
        <v>84</v>
      </c>
      <c r="I5" s="29" t="s">
        <v>74</v>
      </c>
      <c r="J5" s="29" t="s">
        <v>154</v>
      </c>
      <c r="K5" s="29" t="s">
        <v>187</v>
      </c>
      <c r="L5" s="29">
        <v>2146.192</v>
      </c>
      <c r="M5" s="44">
        <v>43227.0</v>
      </c>
      <c r="N5" s="29">
        <v>35.0</v>
      </c>
      <c r="O5" s="29">
        <v>2053.0</v>
      </c>
      <c r="P5" s="32" t="s">
        <v>191</v>
      </c>
      <c r="Q5" s="32" t="s">
        <v>87</v>
      </c>
      <c r="R5" s="29" t="s">
        <v>195</v>
      </c>
      <c r="S5" s="33">
        <v>43250.0</v>
      </c>
      <c r="T5" s="34">
        <v>0.0</v>
      </c>
      <c r="U5" s="34">
        <v>0.1502</v>
      </c>
      <c r="V5" s="29">
        <v>0.0</v>
      </c>
      <c r="W5" s="45">
        <v>80.79</v>
      </c>
      <c r="X5" s="26"/>
      <c r="Y5" s="18"/>
      <c r="Z5" s="18"/>
      <c r="AA5" s="18"/>
    </row>
    <row r="6" ht="22.5" customHeight="1">
      <c r="A6" s="6" t="s">
        <v>142</v>
      </c>
      <c r="B6" s="37" t="s">
        <v>62</v>
      </c>
      <c r="C6" s="37" t="s">
        <v>65</v>
      </c>
      <c r="D6" s="37" t="s">
        <v>69</v>
      </c>
      <c r="E6" s="38">
        <v>18.0</v>
      </c>
      <c r="F6" s="38">
        <v>0.0</v>
      </c>
      <c r="G6" s="38">
        <v>0.0</v>
      </c>
      <c r="H6" s="37" t="s">
        <v>32</v>
      </c>
      <c r="I6" s="39" t="s">
        <v>74</v>
      </c>
      <c r="J6" s="39" t="s">
        <v>77</v>
      </c>
      <c r="K6" s="39" t="s">
        <v>209</v>
      </c>
      <c r="L6" s="39">
        <v>269.813</v>
      </c>
      <c r="M6" s="41">
        <v>43278.0</v>
      </c>
      <c r="N6" s="39">
        <v>30.0</v>
      </c>
      <c r="O6" s="39">
        <v>2048.0</v>
      </c>
      <c r="P6" s="42" t="s">
        <v>86</v>
      </c>
      <c r="Q6" s="42" t="s">
        <v>212</v>
      </c>
      <c r="R6" s="2" t="s">
        <v>90</v>
      </c>
      <c r="S6" s="13">
        <v>43299.0</v>
      </c>
      <c r="T6" s="24">
        <v>0.4051</v>
      </c>
      <c r="U6" s="24">
        <v>0.0</v>
      </c>
      <c r="V6" s="2">
        <v>0.0</v>
      </c>
      <c r="W6" s="2">
        <v>40.51</v>
      </c>
      <c r="X6" s="2" t="s">
        <v>219</v>
      </c>
      <c r="Y6" s="18"/>
      <c r="Z6" s="18"/>
      <c r="AA6" s="18"/>
    </row>
    <row r="7" ht="22.5" customHeight="1">
      <c r="A7" s="28" t="s">
        <v>169</v>
      </c>
      <c r="B7" s="29" t="s">
        <v>62</v>
      </c>
      <c r="C7" s="29" t="s">
        <v>143</v>
      </c>
      <c r="D7" s="29" t="s">
        <v>69</v>
      </c>
      <c r="E7" s="30">
        <v>8.0</v>
      </c>
      <c r="F7" s="19">
        <v>0.0</v>
      </c>
      <c r="G7" s="19"/>
      <c r="H7" s="29" t="s">
        <v>32</v>
      </c>
      <c r="I7" s="29" t="s">
        <v>74</v>
      </c>
      <c r="J7" s="29" t="s">
        <v>77</v>
      </c>
      <c r="K7" s="29" t="s">
        <v>79</v>
      </c>
      <c r="L7" s="29">
        <v>586.002</v>
      </c>
      <c r="M7" s="44">
        <v>43003.0</v>
      </c>
      <c r="N7" s="29">
        <v>30.0</v>
      </c>
      <c r="O7" s="29">
        <v>2047.0</v>
      </c>
      <c r="P7" s="32" t="s">
        <v>86</v>
      </c>
      <c r="Q7" s="32" t="s">
        <v>236</v>
      </c>
      <c r="R7" s="50" t="s">
        <v>238</v>
      </c>
      <c r="S7" s="33">
        <v>43017.0</v>
      </c>
      <c r="T7" s="34">
        <v>0.201</v>
      </c>
      <c r="U7" s="34">
        <v>0.0</v>
      </c>
      <c r="V7" s="51">
        <v>0.0</v>
      </c>
      <c r="W7" s="51">
        <v>20.1</v>
      </c>
      <c r="X7" s="52"/>
      <c r="Y7" s="18"/>
      <c r="Z7" s="18"/>
      <c r="AA7" s="18"/>
    </row>
    <row r="8" ht="22.5" customHeight="1">
      <c r="A8" s="6" t="s">
        <v>188</v>
      </c>
      <c r="B8" s="2" t="s">
        <v>62</v>
      </c>
      <c r="C8" s="2" t="s">
        <v>65</v>
      </c>
      <c r="D8" s="2" t="s">
        <v>69</v>
      </c>
      <c r="E8" s="19">
        <v>17.0</v>
      </c>
      <c r="F8" s="19">
        <v>0.0</v>
      </c>
      <c r="G8" s="19">
        <v>0.0</v>
      </c>
      <c r="H8" s="2" t="s">
        <v>189</v>
      </c>
      <c r="I8" s="2" t="s">
        <v>74</v>
      </c>
      <c r="J8" s="2" t="s">
        <v>77</v>
      </c>
      <c r="K8" s="2" t="s">
        <v>121</v>
      </c>
      <c r="L8" s="2">
        <v>842.363</v>
      </c>
      <c r="M8" s="53">
        <v>43278.0</v>
      </c>
      <c r="N8" s="2">
        <v>30.0</v>
      </c>
      <c r="O8" s="2">
        <v>2048.0</v>
      </c>
      <c r="P8" s="6" t="s">
        <v>259</v>
      </c>
      <c r="Q8" s="6" t="s">
        <v>261</v>
      </c>
      <c r="R8" s="2" t="s">
        <v>262</v>
      </c>
      <c r="S8" s="13">
        <v>43299.0</v>
      </c>
      <c r="T8" s="24">
        <v>0.351</v>
      </c>
      <c r="U8" s="24">
        <v>0.0</v>
      </c>
      <c r="V8" s="2">
        <v>0.0</v>
      </c>
      <c r="W8" s="2">
        <v>35.1</v>
      </c>
      <c r="X8" s="2"/>
      <c r="Y8" s="18"/>
      <c r="Z8" s="18"/>
      <c r="AA8" s="18"/>
    </row>
    <row r="9" ht="22.5" customHeight="1">
      <c r="A9" s="28" t="s">
        <v>207</v>
      </c>
      <c r="B9" s="29" t="s">
        <v>141</v>
      </c>
      <c r="C9" s="29" t="s">
        <v>143</v>
      </c>
      <c r="D9" s="29" t="s">
        <v>145</v>
      </c>
      <c r="E9" s="30">
        <v>5.0</v>
      </c>
      <c r="F9" s="30">
        <v>1.0</v>
      </c>
      <c r="G9" s="30">
        <v>0.0</v>
      </c>
      <c r="H9" s="29" t="s">
        <v>32</v>
      </c>
      <c r="I9" s="51" t="s">
        <v>280</v>
      </c>
      <c r="J9" s="55" t="s">
        <v>154</v>
      </c>
      <c r="K9" s="29" t="s">
        <v>187</v>
      </c>
      <c r="L9" s="55">
        <v>2732.718</v>
      </c>
      <c r="M9" s="44">
        <v>43227.0</v>
      </c>
      <c r="N9" s="55">
        <v>35.0</v>
      </c>
      <c r="O9" s="55">
        <v>2053.0</v>
      </c>
      <c r="P9" s="32" t="s">
        <v>86</v>
      </c>
      <c r="Q9" s="56" t="s">
        <v>288</v>
      </c>
      <c r="R9" s="51" t="s">
        <v>290</v>
      </c>
      <c r="S9" s="33">
        <v>43250.0</v>
      </c>
      <c r="T9" s="34">
        <v>0.0</v>
      </c>
      <c r="U9" s="57">
        <v>0.0623</v>
      </c>
      <c r="V9" s="51">
        <v>0.0</v>
      </c>
      <c r="W9" s="35">
        <v>41.59</v>
      </c>
      <c r="X9" s="52"/>
      <c r="Y9" s="18"/>
      <c r="Z9" s="18"/>
      <c r="AA9" s="18"/>
    </row>
    <row r="10" ht="22.5" customHeight="1">
      <c r="A10" s="6" t="s">
        <v>216</v>
      </c>
      <c r="B10" s="37" t="s">
        <v>141</v>
      </c>
      <c r="C10" s="37" t="s">
        <v>303</v>
      </c>
      <c r="D10" s="37" t="s">
        <v>145</v>
      </c>
      <c r="E10" s="38">
        <v>3.0</v>
      </c>
      <c r="F10" s="19">
        <v>0.0</v>
      </c>
      <c r="G10" s="19">
        <v>0.0</v>
      </c>
      <c r="H10" s="37" t="s">
        <v>149</v>
      </c>
      <c r="I10" s="39" t="s">
        <v>74</v>
      </c>
      <c r="J10" s="39" t="s">
        <v>154</v>
      </c>
      <c r="K10" s="39" t="s">
        <v>187</v>
      </c>
      <c r="L10" s="39">
        <v>1686.906</v>
      </c>
      <c r="M10" s="41">
        <v>42794.0</v>
      </c>
      <c r="N10" s="39">
        <v>35.0</v>
      </c>
      <c r="O10" s="39">
        <v>2052.0</v>
      </c>
      <c r="P10" s="42" t="s">
        <v>310</v>
      </c>
      <c r="Q10" s="42" t="s">
        <v>236</v>
      </c>
      <c r="R10" s="2" t="s">
        <v>312</v>
      </c>
      <c r="S10" s="13">
        <v>42818.0</v>
      </c>
      <c r="T10" s="24">
        <v>0.0</v>
      </c>
      <c r="U10" s="24">
        <v>0.0744</v>
      </c>
      <c r="V10" s="59" t="s">
        <v>170</v>
      </c>
      <c r="W10" s="2">
        <v>29.76</v>
      </c>
      <c r="X10" s="26"/>
      <c r="Y10" s="18"/>
      <c r="Z10" s="18"/>
      <c r="AA10" s="18"/>
    </row>
    <row r="11" ht="22.5" customHeight="1">
      <c r="A11" s="61" t="s">
        <v>239</v>
      </c>
      <c r="B11" s="62" t="s">
        <v>62</v>
      </c>
      <c r="C11" s="62" t="s">
        <v>65</v>
      </c>
      <c r="D11" s="62" t="s">
        <v>69</v>
      </c>
      <c r="E11" s="63">
        <v>29.0</v>
      </c>
      <c r="F11" s="64">
        <v>2.0</v>
      </c>
      <c r="G11" s="64">
        <v>2.0</v>
      </c>
      <c r="H11" s="62" t="s">
        <v>84</v>
      </c>
      <c r="I11" s="62" t="s">
        <v>280</v>
      </c>
      <c r="J11" s="62" t="s">
        <v>77</v>
      </c>
      <c r="K11" s="62" t="s">
        <v>328</v>
      </c>
      <c r="L11" s="62">
        <v>470.579</v>
      </c>
      <c r="M11" s="65">
        <v>43278.0</v>
      </c>
      <c r="N11" s="62">
        <v>30.0</v>
      </c>
      <c r="O11" s="62">
        <v>2048.0</v>
      </c>
      <c r="P11" s="66" t="s">
        <v>86</v>
      </c>
      <c r="Q11" s="67" t="s">
        <v>333</v>
      </c>
      <c r="R11" s="62" t="s">
        <v>335</v>
      </c>
      <c r="S11" s="68">
        <v>43299.0</v>
      </c>
      <c r="T11" s="69">
        <v>0.65</v>
      </c>
      <c r="U11" s="69">
        <v>0.0</v>
      </c>
      <c r="V11" s="69">
        <v>0.0</v>
      </c>
      <c r="W11" s="70">
        <v>73.967</v>
      </c>
      <c r="X11" s="71"/>
      <c r="AA11" s="18"/>
    </row>
    <row r="12" ht="22.5" customHeight="1">
      <c r="A12" s="75" t="s">
        <v>245</v>
      </c>
      <c r="B12" s="59" t="s">
        <v>347</v>
      </c>
      <c r="C12" s="59" t="s">
        <v>143</v>
      </c>
      <c r="D12" s="59" t="s">
        <v>69</v>
      </c>
      <c r="E12" s="76">
        <v>2.0</v>
      </c>
      <c r="F12" s="76">
        <v>1.0</v>
      </c>
      <c r="G12" s="76">
        <v>0.0</v>
      </c>
      <c r="H12" s="59" t="s">
        <v>349</v>
      </c>
      <c r="I12" s="59" t="s">
        <v>74</v>
      </c>
      <c r="J12" s="59" t="s">
        <v>77</v>
      </c>
      <c r="K12" s="59" t="s">
        <v>121</v>
      </c>
      <c r="L12" s="59">
        <v>548.657</v>
      </c>
      <c r="M12" s="77">
        <v>43003.0</v>
      </c>
      <c r="N12" s="59">
        <v>30.0</v>
      </c>
      <c r="O12" s="59">
        <v>2047.0</v>
      </c>
      <c r="P12" s="78" t="s">
        <v>86</v>
      </c>
      <c r="Q12" s="78" t="s">
        <v>236</v>
      </c>
      <c r="R12" s="59" t="s">
        <v>355</v>
      </c>
      <c r="S12" s="79">
        <v>43017.0</v>
      </c>
      <c r="T12" s="80">
        <v>0.5792</v>
      </c>
      <c r="U12" s="80">
        <v>0.0</v>
      </c>
      <c r="V12" s="59" t="s">
        <v>170</v>
      </c>
      <c r="W12" s="81">
        <v>63.493</v>
      </c>
      <c r="X12" s="82"/>
      <c r="Y12" s="18"/>
      <c r="Z12" s="18"/>
      <c r="AA12" s="18"/>
    </row>
    <row r="13" ht="22.5" customHeight="1">
      <c r="A13" s="83" t="s">
        <v>268</v>
      </c>
      <c r="B13" s="59" t="s">
        <v>62</v>
      </c>
      <c r="C13" s="59" t="s">
        <v>65</v>
      </c>
      <c r="D13" s="59" t="s">
        <v>69</v>
      </c>
      <c r="E13" s="76">
        <v>33.0</v>
      </c>
      <c r="F13" s="76">
        <v>1.0</v>
      </c>
      <c r="G13" s="76">
        <v>1.0</v>
      </c>
      <c r="H13" s="59" t="s">
        <v>51</v>
      </c>
      <c r="I13" s="59" t="s">
        <v>74</v>
      </c>
      <c r="J13" s="59" t="s">
        <v>77</v>
      </c>
      <c r="K13" s="59" t="s">
        <v>79</v>
      </c>
      <c r="L13" s="59">
        <v>580.873</v>
      </c>
      <c r="M13" s="77">
        <v>43278.0</v>
      </c>
      <c r="N13" s="59">
        <v>30.0</v>
      </c>
      <c r="O13" s="59">
        <v>2048.0</v>
      </c>
      <c r="P13" s="78" t="s">
        <v>86</v>
      </c>
      <c r="Q13" s="78" t="s">
        <v>367</v>
      </c>
      <c r="R13" s="59" t="s">
        <v>368</v>
      </c>
      <c r="S13" s="79">
        <v>43299.0</v>
      </c>
      <c r="T13" s="80">
        <v>0.5049</v>
      </c>
      <c r="U13" s="80">
        <v>0.0</v>
      </c>
      <c r="V13" s="59" t="s">
        <v>170</v>
      </c>
      <c r="W13" s="81">
        <v>55.638</v>
      </c>
      <c r="X13" s="82"/>
      <c r="Y13" s="18"/>
      <c r="Z13" s="18"/>
      <c r="AA13" s="18"/>
    </row>
    <row r="14" ht="22.5" customHeight="1">
      <c r="A14" s="87" t="s">
        <v>292</v>
      </c>
      <c r="B14" s="88" t="s">
        <v>62</v>
      </c>
      <c r="C14" s="88" t="s">
        <v>65</v>
      </c>
      <c r="D14" s="88" t="s">
        <v>69</v>
      </c>
      <c r="E14" s="89">
        <v>35.0</v>
      </c>
      <c r="F14" s="89">
        <v>0.0</v>
      </c>
      <c r="G14" s="89">
        <v>0.0</v>
      </c>
      <c r="H14" s="88" t="s">
        <v>294</v>
      </c>
      <c r="I14" s="88" t="s">
        <v>378</v>
      </c>
      <c r="J14" s="88" t="s">
        <v>77</v>
      </c>
      <c r="K14" s="88" t="s">
        <v>380</v>
      </c>
      <c r="L14" s="88">
        <v>797.995</v>
      </c>
      <c r="M14" s="90">
        <v>43278.0</v>
      </c>
      <c r="N14" s="88">
        <v>30.0</v>
      </c>
      <c r="O14" s="88">
        <v>2048.0</v>
      </c>
      <c r="P14" s="91" t="s">
        <v>383</v>
      </c>
      <c r="Q14" s="91" t="s">
        <v>384</v>
      </c>
      <c r="R14" s="92" t="s">
        <v>386</v>
      </c>
      <c r="S14" s="93">
        <v>43300.0</v>
      </c>
      <c r="T14" s="94">
        <v>0.3486</v>
      </c>
      <c r="U14" s="95">
        <v>0.0</v>
      </c>
      <c r="V14" s="59" t="s">
        <v>170</v>
      </c>
      <c r="W14" s="96">
        <v>34.86</v>
      </c>
      <c r="X14" s="97"/>
      <c r="Y14" s="98"/>
      <c r="Z14" s="98"/>
      <c r="AA14" s="98"/>
    </row>
    <row r="15" ht="22.5" customHeight="1">
      <c r="A15" s="99" t="s">
        <v>317</v>
      </c>
      <c r="B15" s="100" t="s">
        <v>141</v>
      </c>
      <c r="C15" s="100" t="s">
        <v>143</v>
      </c>
      <c r="D15" s="100" t="s">
        <v>145</v>
      </c>
      <c r="E15" s="101">
        <v>18.0</v>
      </c>
      <c r="F15" s="102">
        <v>1.0</v>
      </c>
      <c r="G15" s="102">
        <v>0.0</v>
      </c>
      <c r="H15" s="103" t="s">
        <v>84</v>
      </c>
      <c r="I15" s="100" t="s">
        <v>280</v>
      </c>
      <c r="J15" s="100" t="s">
        <v>154</v>
      </c>
      <c r="K15" s="100" t="s">
        <v>121</v>
      </c>
      <c r="L15" s="100">
        <v>2917.088</v>
      </c>
      <c r="M15" s="104">
        <v>43227.0</v>
      </c>
      <c r="N15" s="100">
        <v>35.0</v>
      </c>
      <c r="O15" s="100">
        <v>2053.0</v>
      </c>
      <c r="P15" s="105" t="s">
        <v>86</v>
      </c>
      <c r="Q15" s="105" t="s">
        <v>288</v>
      </c>
      <c r="R15" s="100" t="s">
        <v>404</v>
      </c>
      <c r="S15" s="106">
        <v>43250.0</v>
      </c>
      <c r="T15" s="107">
        <v>0.0</v>
      </c>
      <c r="U15" s="108">
        <v>0.0711</v>
      </c>
      <c r="V15" s="109" t="s">
        <v>170</v>
      </c>
      <c r="W15" s="110">
        <v>45.51</v>
      </c>
      <c r="X15" s="111"/>
      <c r="Y15" s="18"/>
      <c r="Z15" s="18"/>
      <c r="AA15" s="18"/>
    </row>
    <row r="16">
      <c r="A16" s="112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2"/>
      <c r="Q16" s="112"/>
      <c r="R16" s="113"/>
      <c r="S16" s="113"/>
      <c r="T16" s="113"/>
      <c r="U16" s="113"/>
      <c r="V16" s="113"/>
      <c r="W16" s="113"/>
      <c r="X16" s="113"/>
      <c r="Y16" s="18"/>
      <c r="Z16" s="18"/>
      <c r="AA16" s="18"/>
    </row>
    <row r="17">
      <c r="A17" s="114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2"/>
      <c r="Q17" s="112"/>
      <c r="R17" s="113"/>
      <c r="S17" s="113"/>
      <c r="T17" s="113"/>
      <c r="U17" s="113"/>
      <c r="V17" s="113"/>
      <c r="W17" s="113"/>
      <c r="X17" s="113"/>
      <c r="Y17" s="18"/>
      <c r="Z17" s="18"/>
      <c r="AA17" s="18"/>
    </row>
    <row r="18">
      <c r="A18" s="114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2"/>
      <c r="Q18" s="112"/>
      <c r="R18" s="113"/>
      <c r="S18" s="113"/>
      <c r="T18" s="113"/>
      <c r="U18" s="113"/>
      <c r="V18" s="113"/>
      <c r="W18" s="113"/>
      <c r="X18" s="113"/>
      <c r="Y18" s="18"/>
      <c r="Z18" s="18"/>
      <c r="AA18" s="18"/>
    </row>
    <row r="19">
      <c r="A19" s="112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2"/>
      <c r="Q19" s="112"/>
      <c r="R19" s="113"/>
      <c r="S19" s="113"/>
      <c r="T19" s="113"/>
      <c r="U19" s="113"/>
      <c r="V19" s="113"/>
      <c r="W19" s="113"/>
      <c r="X19" s="113"/>
      <c r="Y19" s="18"/>
      <c r="Z19" s="18"/>
      <c r="AA19" s="18"/>
    </row>
    <row r="20">
      <c r="A20" s="112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2"/>
      <c r="Q20" s="112"/>
      <c r="R20" s="113"/>
      <c r="S20" s="113"/>
      <c r="T20" s="113"/>
      <c r="U20" s="113"/>
      <c r="V20" s="113"/>
      <c r="W20" s="113"/>
      <c r="X20" s="113"/>
      <c r="Y20" s="18"/>
      <c r="Z20" s="18"/>
      <c r="AA20" s="18"/>
    </row>
    <row r="21">
      <c r="A21" s="112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2"/>
      <c r="Q21" s="112"/>
      <c r="R21" s="113"/>
      <c r="S21" s="113"/>
      <c r="T21" s="113"/>
      <c r="U21" s="113"/>
      <c r="V21" s="113"/>
      <c r="W21" s="113"/>
      <c r="X21" s="113"/>
      <c r="Y21" s="18"/>
      <c r="Z21" s="18"/>
      <c r="AA21" s="18"/>
    </row>
    <row r="22">
      <c r="A22" s="11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2"/>
      <c r="Q22" s="112"/>
      <c r="R22" s="113"/>
      <c r="S22" s="113"/>
      <c r="T22" s="113"/>
      <c r="U22" s="113"/>
      <c r="V22" s="113"/>
      <c r="W22" s="113"/>
      <c r="X22" s="113"/>
      <c r="Y22" s="18"/>
      <c r="Z22" s="18"/>
      <c r="AA22" s="18"/>
    </row>
    <row r="23" ht="6.75" customHeight="1">
      <c r="A23" s="115"/>
      <c r="B23" s="116"/>
      <c r="C23" s="116"/>
      <c r="D23" s="116"/>
      <c r="E23" s="116"/>
      <c r="F23" s="116"/>
      <c r="G23" s="116"/>
      <c r="H23" s="113"/>
      <c r="I23" s="113"/>
      <c r="J23" s="113"/>
      <c r="K23" s="113"/>
      <c r="L23" s="113"/>
      <c r="M23" s="113"/>
      <c r="N23" s="113"/>
      <c r="O23" s="113"/>
      <c r="P23" s="112"/>
      <c r="Q23" s="112"/>
      <c r="R23" s="113"/>
      <c r="S23" s="113"/>
      <c r="T23" s="113"/>
      <c r="U23" s="113"/>
      <c r="V23" s="113"/>
      <c r="W23" s="113"/>
      <c r="X23" s="113"/>
      <c r="Y23" s="18"/>
      <c r="Z23" s="18"/>
      <c r="AA23" s="18"/>
    </row>
    <row r="24">
      <c r="A24" s="118"/>
      <c r="B24" s="119"/>
      <c r="C24" s="120"/>
      <c r="D24" s="119"/>
      <c r="E24" s="121"/>
      <c r="F24" s="120"/>
      <c r="G24" s="120"/>
      <c r="H24" s="113"/>
      <c r="I24" s="113"/>
      <c r="J24" s="113"/>
      <c r="K24" s="113"/>
      <c r="L24" s="113"/>
      <c r="M24" s="113"/>
      <c r="N24" s="113"/>
      <c r="O24" s="113"/>
      <c r="P24" s="112"/>
      <c r="Q24" s="112"/>
      <c r="R24" s="113"/>
      <c r="S24" s="113"/>
      <c r="T24" s="113"/>
      <c r="U24" s="113"/>
      <c r="V24" s="113"/>
      <c r="W24" s="113"/>
      <c r="X24" s="113"/>
      <c r="Y24" s="18"/>
      <c r="Z24" s="18"/>
      <c r="AA24" s="18"/>
    </row>
    <row r="25">
      <c r="A25" s="112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2"/>
      <c r="Q25" s="112"/>
      <c r="R25" s="113"/>
      <c r="S25" s="113"/>
      <c r="T25" s="113"/>
      <c r="U25" s="113"/>
      <c r="V25" s="113"/>
      <c r="W25" s="113"/>
      <c r="X25" s="113"/>
      <c r="Y25" s="18"/>
      <c r="Z25" s="18"/>
      <c r="AA25" s="18"/>
    </row>
    <row r="26">
      <c r="A26" s="112"/>
      <c r="B26" s="113"/>
      <c r="C26" s="116"/>
      <c r="D26" s="116"/>
      <c r="E26" s="116"/>
      <c r="F26" s="116"/>
      <c r="G26" s="116"/>
      <c r="H26" s="113"/>
      <c r="I26" s="120"/>
      <c r="J26" s="119"/>
      <c r="K26" s="121"/>
      <c r="L26" s="120"/>
      <c r="M26" s="113"/>
      <c r="N26" s="113"/>
      <c r="O26" s="113"/>
      <c r="P26" s="112"/>
      <c r="Q26" s="112"/>
      <c r="R26" s="113"/>
      <c r="S26" s="113"/>
      <c r="T26" s="113"/>
      <c r="U26" s="113"/>
      <c r="V26" s="113"/>
      <c r="W26" s="113"/>
      <c r="X26" s="113"/>
      <c r="Y26" s="18"/>
      <c r="Z26" s="18"/>
      <c r="AA26" s="18"/>
    </row>
    <row r="27">
      <c r="A27" s="112"/>
      <c r="B27" s="113"/>
      <c r="C27" s="120"/>
      <c r="D27" s="119"/>
      <c r="E27" s="121"/>
      <c r="F27" s="120"/>
      <c r="G27" s="120"/>
      <c r="H27" s="113"/>
      <c r="I27" s="113"/>
      <c r="J27" s="113"/>
      <c r="K27" s="113"/>
      <c r="L27" s="113"/>
      <c r="M27" s="113"/>
      <c r="N27" s="113"/>
      <c r="O27" s="113"/>
      <c r="P27" s="112"/>
      <c r="Q27" s="112"/>
      <c r="R27" s="113"/>
      <c r="S27" s="113"/>
      <c r="T27" s="113"/>
      <c r="U27" s="113"/>
      <c r="V27" s="113"/>
      <c r="W27" s="113"/>
      <c r="X27" s="113"/>
      <c r="Y27" s="18"/>
      <c r="Z27" s="18"/>
      <c r="AA27" s="18"/>
    </row>
    <row r="28">
      <c r="A28" s="112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2"/>
      <c r="Q28" s="112"/>
      <c r="R28" s="113"/>
      <c r="S28" s="113"/>
      <c r="T28" s="113"/>
      <c r="U28" s="113"/>
      <c r="V28" s="113"/>
      <c r="W28" s="113"/>
      <c r="X28" s="113"/>
      <c r="Y28" s="18"/>
      <c r="Z28" s="18"/>
      <c r="AA28" s="18"/>
    </row>
    <row r="29">
      <c r="A29" s="112"/>
      <c r="B29" s="113"/>
      <c r="C29" s="116"/>
      <c r="D29" s="116"/>
      <c r="E29" s="116"/>
      <c r="F29" s="116"/>
      <c r="G29" s="116"/>
      <c r="H29" s="113"/>
      <c r="I29" s="113"/>
      <c r="J29" s="113"/>
      <c r="K29" s="113"/>
      <c r="L29" s="113"/>
      <c r="M29" s="113"/>
      <c r="N29" s="113"/>
      <c r="O29" s="113"/>
      <c r="P29" s="112"/>
      <c r="Q29" s="112"/>
      <c r="R29" s="113"/>
      <c r="S29" s="113"/>
      <c r="T29" s="113"/>
      <c r="U29" s="113"/>
      <c r="V29" s="113"/>
      <c r="W29" s="113"/>
      <c r="X29" s="113"/>
      <c r="Y29" s="18"/>
      <c r="Z29" s="18"/>
      <c r="AA29" s="18"/>
    </row>
    <row r="30">
      <c r="A30" s="112"/>
      <c r="B30" s="113"/>
      <c r="C30" s="120"/>
      <c r="D30" s="119"/>
      <c r="E30" s="121"/>
      <c r="F30" s="120"/>
      <c r="G30" s="120"/>
      <c r="H30" s="113"/>
      <c r="I30" s="113"/>
      <c r="J30" s="113"/>
      <c r="K30" s="113"/>
      <c r="L30" s="113"/>
      <c r="M30" s="113"/>
      <c r="N30" s="113"/>
      <c r="O30" s="113"/>
      <c r="P30" s="112"/>
      <c r="Q30" s="112"/>
      <c r="R30" s="113"/>
      <c r="S30" s="113"/>
      <c r="T30" s="113"/>
      <c r="U30" s="113"/>
      <c r="V30" s="113"/>
      <c r="W30" s="113"/>
      <c r="X30" s="113"/>
      <c r="Y30" s="18"/>
      <c r="Z30" s="18"/>
      <c r="AA30" s="18"/>
    </row>
    <row r="31">
      <c r="A31" s="112"/>
      <c r="B31" s="113"/>
      <c r="C31" s="113"/>
      <c r="D31" s="113"/>
      <c r="E31" s="113"/>
      <c r="F31" s="113"/>
      <c r="G31" s="113"/>
      <c r="H31" s="122"/>
      <c r="I31" s="113"/>
      <c r="J31" s="113"/>
      <c r="K31" s="113"/>
      <c r="L31" s="113"/>
      <c r="M31" s="113"/>
      <c r="N31" s="113"/>
      <c r="O31" s="113"/>
      <c r="P31" s="112"/>
      <c r="Q31" s="112"/>
      <c r="R31" s="113"/>
      <c r="S31" s="113"/>
      <c r="T31" s="113"/>
      <c r="U31" s="113"/>
      <c r="V31" s="113"/>
      <c r="W31" s="113"/>
      <c r="X31" s="113"/>
      <c r="Y31" s="18"/>
      <c r="Z31" s="18"/>
      <c r="AA31" s="18"/>
    </row>
    <row r="32">
      <c r="A32" s="115"/>
      <c r="B32" s="116"/>
      <c r="C32" s="116"/>
      <c r="D32" s="116"/>
      <c r="E32" s="116"/>
      <c r="F32" s="116"/>
      <c r="G32" s="116"/>
      <c r="H32" s="113"/>
      <c r="I32" s="113"/>
      <c r="J32" s="113"/>
      <c r="K32" s="113"/>
      <c r="L32" s="113"/>
      <c r="M32" s="113"/>
      <c r="N32" s="113"/>
      <c r="O32" s="113"/>
      <c r="P32" s="112"/>
      <c r="Q32" s="112"/>
      <c r="R32" s="113"/>
      <c r="S32" s="113"/>
      <c r="T32" s="113"/>
      <c r="U32" s="113"/>
      <c r="V32" s="113"/>
      <c r="W32" s="113"/>
      <c r="X32" s="113"/>
      <c r="Y32" s="18"/>
      <c r="Z32" s="18"/>
      <c r="AA32" s="18"/>
    </row>
    <row r="33">
      <c r="A33" s="112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2"/>
      <c r="Q33" s="112"/>
      <c r="R33" s="113"/>
      <c r="S33" s="113"/>
      <c r="T33" s="113"/>
      <c r="U33" s="113"/>
      <c r="V33" s="113"/>
      <c r="W33" s="113"/>
      <c r="X33" s="113"/>
      <c r="Y33" s="18"/>
      <c r="Z33" s="18"/>
      <c r="AA33" s="18"/>
    </row>
    <row r="34">
      <c r="A34" s="112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2"/>
      <c r="Q34" s="112"/>
      <c r="R34" s="113"/>
      <c r="S34" s="113"/>
      <c r="T34" s="113"/>
      <c r="U34" s="113"/>
      <c r="V34" s="113"/>
      <c r="W34" s="113"/>
      <c r="X34" s="113"/>
      <c r="Y34" s="18"/>
      <c r="Z34" s="18"/>
      <c r="AA34" s="18"/>
    </row>
    <row r="3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2"/>
      <c r="Q35" s="112"/>
      <c r="R35" s="113"/>
      <c r="S35" s="113"/>
      <c r="T35" s="113"/>
      <c r="U35" s="113"/>
      <c r="V35" s="113"/>
      <c r="W35" s="113"/>
      <c r="X35" s="113"/>
      <c r="Y35" s="18"/>
      <c r="Z35" s="18"/>
      <c r="AA35" s="18"/>
    </row>
    <row r="36">
      <c r="A36" s="112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2"/>
      <c r="Q36" s="112"/>
      <c r="R36" s="113"/>
      <c r="S36" s="113"/>
      <c r="T36" s="113"/>
      <c r="U36" s="113"/>
      <c r="V36" s="113"/>
      <c r="W36" s="113"/>
      <c r="X36" s="113"/>
      <c r="Y36" s="18"/>
      <c r="Z36" s="18"/>
      <c r="AA36" s="18"/>
    </row>
    <row r="37">
      <c r="A37" s="112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2"/>
      <c r="Q37" s="112"/>
      <c r="R37" s="113"/>
      <c r="S37" s="113"/>
      <c r="T37" s="113"/>
      <c r="U37" s="113"/>
      <c r="V37" s="113"/>
      <c r="W37" s="113"/>
      <c r="X37" s="113"/>
      <c r="Y37" s="18"/>
      <c r="Z37" s="18"/>
      <c r="AA37" s="18"/>
    </row>
    <row r="38">
      <c r="A38" s="112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2"/>
      <c r="Q38" s="112"/>
      <c r="R38" s="113"/>
      <c r="S38" s="113"/>
      <c r="T38" s="113"/>
      <c r="U38" s="113"/>
      <c r="V38" s="113"/>
      <c r="W38" s="113"/>
      <c r="X38" s="113"/>
      <c r="Y38" s="18"/>
      <c r="Z38" s="18"/>
      <c r="AA38" s="18"/>
    </row>
    <row r="39">
      <c r="A39" s="112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2"/>
      <c r="Q39" s="112"/>
      <c r="R39" s="113"/>
      <c r="S39" s="113"/>
      <c r="T39" s="113"/>
      <c r="U39" s="113"/>
      <c r="V39" s="113"/>
      <c r="W39" s="113"/>
      <c r="X39" s="113"/>
      <c r="Y39" s="18"/>
      <c r="Z39" s="18"/>
      <c r="AA39" s="18"/>
    </row>
    <row r="40">
      <c r="A40" s="112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2"/>
      <c r="Q40" s="112"/>
      <c r="R40" s="113"/>
      <c r="S40" s="113"/>
      <c r="T40" s="113"/>
      <c r="U40" s="113"/>
      <c r="V40" s="113"/>
      <c r="W40" s="113"/>
      <c r="X40" s="113"/>
      <c r="Y40" s="18"/>
      <c r="Z40" s="18"/>
      <c r="AA40" s="18"/>
    </row>
    <row r="41">
      <c r="A41" s="112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2"/>
      <c r="Q41" s="112"/>
      <c r="R41" s="113"/>
      <c r="S41" s="113"/>
      <c r="T41" s="113"/>
      <c r="U41" s="113"/>
      <c r="V41" s="113"/>
      <c r="W41" s="113"/>
      <c r="X41" s="113"/>
      <c r="Y41" s="18"/>
      <c r="Z41" s="18"/>
      <c r="AA41" s="18"/>
    </row>
    <row r="42">
      <c r="A42" s="112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2"/>
      <c r="Q42" s="112"/>
      <c r="R42" s="113"/>
      <c r="S42" s="113"/>
      <c r="T42" s="113"/>
      <c r="U42" s="113"/>
      <c r="V42" s="113"/>
      <c r="W42" s="113"/>
      <c r="X42" s="113"/>
      <c r="Y42" s="18"/>
      <c r="Z42" s="18"/>
      <c r="AA42" s="18"/>
    </row>
    <row r="43">
      <c r="A43" s="112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2"/>
      <c r="Q43" s="112"/>
      <c r="R43" s="113"/>
      <c r="S43" s="113"/>
      <c r="T43" s="113"/>
      <c r="U43" s="113"/>
      <c r="V43" s="113"/>
      <c r="W43" s="113"/>
      <c r="X43" s="113"/>
      <c r="Y43" s="18"/>
      <c r="Z43" s="18"/>
      <c r="AA43" s="18"/>
    </row>
    <row r="44">
      <c r="A44" s="112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2"/>
      <c r="Q44" s="112"/>
      <c r="R44" s="113"/>
      <c r="S44" s="113"/>
      <c r="T44" s="113"/>
      <c r="U44" s="113"/>
      <c r="V44" s="113"/>
      <c r="W44" s="113"/>
      <c r="X44" s="113"/>
      <c r="Y44" s="18"/>
      <c r="Z44" s="18"/>
      <c r="AA44" s="18"/>
    </row>
    <row r="45">
      <c r="A45" s="112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2"/>
      <c r="Q45" s="112"/>
      <c r="R45" s="113"/>
      <c r="S45" s="113"/>
      <c r="T45" s="113"/>
      <c r="U45" s="113"/>
      <c r="V45" s="113"/>
      <c r="W45" s="113"/>
      <c r="X45" s="113"/>
      <c r="Y45" s="18"/>
      <c r="Z45" s="18"/>
      <c r="AA45" s="18"/>
    </row>
    <row r="46">
      <c r="A46" s="112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2"/>
      <c r="Q46" s="112"/>
      <c r="R46" s="113"/>
      <c r="S46" s="113"/>
      <c r="T46" s="113"/>
      <c r="U46" s="113"/>
      <c r="V46" s="113"/>
      <c r="W46" s="113"/>
      <c r="X46" s="113"/>
      <c r="Y46" s="18"/>
      <c r="Z46" s="18"/>
      <c r="AA46" s="18"/>
    </row>
    <row r="47">
      <c r="A47" s="112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2"/>
      <c r="Q47" s="112"/>
      <c r="R47" s="113"/>
      <c r="S47" s="113"/>
      <c r="T47" s="113"/>
      <c r="U47" s="113"/>
      <c r="V47" s="113"/>
      <c r="W47" s="113"/>
      <c r="X47" s="113"/>
      <c r="Y47" s="18"/>
      <c r="Z47" s="18"/>
      <c r="AA47" s="18"/>
    </row>
    <row r="48">
      <c r="A48" s="112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2"/>
      <c r="Q48" s="112"/>
      <c r="R48" s="113"/>
      <c r="S48" s="113"/>
      <c r="T48" s="113"/>
      <c r="U48" s="113"/>
      <c r="V48" s="113"/>
      <c r="W48" s="113"/>
      <c r="X48" s="113"/>
      <c r="Y48" s="18"/>
      <c r="Z48" s="18"/>
      <c r="AA48" s="18"/>
    </row>
    <row r="49">
      <c r="A49" s="112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2"/>
      <c r="Q49" s="112"/>
      <c r="R49" s="113"/>
      <c r="S49" s="113"/>
      <c r="T49" s="113"/>
      <c r="U49" s="113"/>
      <c r="V49" s="113"/>
      <c r="W49" s="113"/>
      <c r="X49" s="113"/>
      <c r="Y49" s="18"/>
      <c r="Z49" s="18"/>
      <c r="AA49" s="18"/>
    </row>
    <row r="50">
      <c r="A50" s="112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2"/>
      <c r="Q50" s="112"/>
      <c r="R50" s="113"/>
      <c r="S50" s="113"/>
      <c r="T50" s="113"/>
      <c r="U50" s="113"/>
      <c r="V50" s="113"/>
      <c r="W50" s="113"/>
      <c r="X50" s="113"/>
      <c r="Y50" s="18"/>
      <c r="Z50" s="18"/>
      <c r="AA50" s="18"/>
    </row>
    <row r="51">
      <c r="A51" s="112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2"/>
      <c r="Q51" s="112"/>
      <c r="R51" s="113"/>
      <c r="S51" s="113"/>
      <c r="T51" s="113"/>
      <c r="U51" s="113"/>
      <c r="V51" s="113"/>
      <c r="W51" s="113"/>
      <c r="X51" s="113"/>
      <c r="Y51" s="18"/>
      <c r="Z51" s="18"/>
      <c r="AA51" s="18"/>
    </row>
    <row r="52">
      <c r="A52" s="112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2"/>
      <c r="Q52" s="112"/>
      <c r="R52" s="113"/>
      <c r="S52" s="113"/>
      <c r="T52" s="113"/>
      <c r="U52" s="113"/>
      <c r="V52" s="113"/>
      <c r="W52" s="113"/>
      <c r="X52" s="113"/>
      <c r="Y52" s="18"/>
      <c r="Z52" s="18"/>
      <c r="AA52" s="18"/>
    </row>
    <row r="53">
      <c r="A53" s="112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2"/>
      <c r="Q53" s="112"/>
      <c r="R53" s="113"/>
      <c r="S53" s="113"/>
      <c r="T53" s="113"/>
      <c r="U53" s="113"/>
      <c r="V53" s="113"/>
      <c r="W53" s="113"/>
      <c r="X53" s="113"/>
      <c r="Y53" s="18"/>
      <c r="Z53" s="18"/>
      <c r="AA53" s="18"/>
    </row>
    <row r="54">
      <c r="A54" s="112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2"/>
      <c r="Q54" s="112"/>
      <c r="R54" s="113"/>
      <c r="S54" s="113"/>
      <c r="T54" s="113"/>
      <c r="U54" s="113"/>
      <c r="V54" s="113"/>
      <c r="W54" s="113"/>
      <c r="X54" s="113"/>
      <c r="Y54" s="18"/>
      <c r="Z54" s="18"/>
      <c r="AA54" s="18"/>
    </row>
    <row r="55">
      <c r="A55" s="112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2"/>
      <c r="Q55" s="112"/>
      <c r="R55" s="113"/>
      <c r="S55" s="113"/>
      <c r="T55" s="113"/>
      <c r="U55" s="113"/>
      <c r="V55" s="113"/>
      <c r="W55" s="113"/>
      <c r="X55" s="113"/>
      <c r="Y55" s="18"/>
      <c r="Z55" s="18"/>
      <c r="AA55" s="18"/>
    </row>
    <row r="56">
      <c r="A56" s="112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2"/>
      <c r="Q56" s="112"/>
      <c r="R56" s="113"/>
      <c r="S56" s="113"/>
      <c r="T56" s="113"/>
      <c r="U56" s="113"/>
      <c r="V56" s="113"/>
      <c r="W56" s="113"/>
      <c r="X56" s="113"/>
      <c r="Y56" s="18"/>
      <c r="Z56" s="18"/>
      <c r="AA56" s="18"/>
    </row>
    <row r="57">
      <c r="A57" s="112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2"/>
      <c r="Q57" s="112"/>
      <c r="R57" s="113"/>
      <c r="S57" s="113"/>
      <c r="T57" s="113"/>
      <c r="U57" s="113"/>
      <c r="V57" s="113"/>
      <c r="W57" s="113"/>
      <c r="X57" s="113"/>
      <c r="Y57" s="18"/>
      <c r="Z57" s="18"/>
      <c r="AA57" s="18"/>
    </row>
    <row r="58">
      <c r="A58" s="112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2"/>
      <c r="Q58" s="112"/>
      <c r="R58" s="113"/>
      <c r="S58" s="113"/>
      <c r="T58" s="113"/>
      <c r="U58" s="113"/>
      <c r="V58" s="113"/>
      <c r="W58" s="113"/>
      <c r="X58" s="113"/>
      <c r="Y58" s="18"/>
      <c r="Z58" s="18"/>
      <c r="AA58" s="18"/>
    </row>
    <row r="59">
      <c r="A59" s="112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2"/>
      <c r="Q59" s="112"/>
      <c r="R59" s="113"/>
      <c r="S59" s="113"/>
      <c r="T59" s="113"/>
      <c r="U59" s="113"/>
      <c r="V59" s="113"/>
      <c r="W59" s="113"/>
      <c r="X59" s="113"/>
      <c r="Y59" s="18"/>
      <c r="Z59" s="18"/>
      <c r="AA59" s="18"/>
    </row>
    <row r="60">
      <c r="A60" s="112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2"/>
      <c r="Q60" s="112"/>
      <c r="R60" s="113"/>
      <c r="S60" s="113"/>
      <c r="T60" s="113"/>
      <c r="U60" s="113"/>
      <c r="V60" s="113"/>
      <c r="W60" s="113"/>
      <c r="X60" s="113"/>
      <c r="Y60" s="18"/>
      <c r="Z60" s="18"/>
      <c r="AA60" s="18"/>
    </row>
    <row r="61">
      <c r="A61" s="11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2"/>
      <c r="Q61" s="112"/>
      <c r="R61" s="113"/>
      <c r="S61" s="113"/>
      <c r="T61" s="113"/>
      <c r="U61" s="113"/>
      <c r="V61" s="113"/>
      <c r="W61" s="113"/>
      <c r="X61" s="113"/>
      <c r="Y61" s="18"/>
      <c r="Z61" s="18"/>
      <c r="AA61" s="18"/>
    </row>
    <row r="62">
      <c r="A62" s="112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2"/>
      <c r="Q62" s="112"/>
      <c r="R62" s="113"/>
      <c r="S62" s="113"/>
      <c r="T62" s="113"/>
      <c r="U62" s="113"/>
      <c r="V62" s="113"/>
      <c r="W62" s="113"/>
      <c r="X62" s="113"/>
      <c r="Y62" s="18"/>
      <c r="Z62" s="18"/>
      <c r="AA62" s="18"/>
    </row>
    <row r="63">
      <c r="A63" s="112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2"/>
      <c r="Q63" s="112"/>
      <c r="R63" s="113"/>
      <c r="S63" s="113"/>
      <c r="T63" s="113"/>
      <c r="U63" s="113"/>
      <c r="V63" s="113"/>
      <c r="W63" s="113"/>
      <c r="X63" s="113"/>
      <c r="Y63" s="18"/>
      <c r="Z63" s="18"/>
      <c r="AA63" s="18"/>
    </row>
    <row r="64">
      <c r="A64" s="112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2"/>
      <c r="Q64" s="112"/>
      <c r="R64" s="113"/>
      <c r="S64" s="113"/>
      <c r="T64" s="113"/>
      <c r="U64" s="113"/>
      <c r="V64" s="113"/>
      <c r="W64" s="113"/>
      <c r="X64" s="113"/>
      <c r="Y64" s="18"/>
      <c r="Z64" s="18"/>
      <c r="AA64" s="18"/>
    </row>
    <row r="65">
      <c r="A65" s="112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2"/>
      <c r="Q65" s="112"/>
      <c r="R65" s="113"/>
      <c r="S65" s="113"/>
      <c r="T65" s="113"/>
      <c r="U65" s="113"/>
      <c r="V65" s="113"/>
      <c r="W65" s="113"/>
      <c r="X65" s="113"/>
      <c r="Y65" s="18"/>
      <c r="Z65" s="18"/>
      <c r="AA65" s="18"/>
    </row>
    <row r="66">
      <c r="A66" s="112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2"/>
      <c r="Q66" s="112"/>
      <c r="R66" s="113"/>
      <c r="S66" s="113"/>
      <c r="T66" s="113"/>
      <c r="U66" s="113"/>
      <c r="V66" s="113"/>
      <c r="W66" s="113"/>
      <c r="X66" s="113"/>
      <c r="Y66" s="18"/>
      <c r="Z66" s="18"/>
      <c r="AA66" s="18"/>
    </row>
    <row r="67">
      <c r="A67" s="112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2"/>
      <c r="Q67" s="112"/>
      <c r="R67" s="113"/>
      <c r="S67" s="113"/>
      <c r="T67" s="113"/>
      <c r="U67" s="113"/>
      <c r="V67" s="113"/>
      <c r="W67" s="113"/>
      <c r="X67" s="113"/>
      <c r="Y67" s="18"/>
      <c r="Z67" s="18"/>
      <c r="AA67" s="18"/>
    </row>
    <row r="68">
      <c r="A68" s="112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2"/>
      <c r="Q68" s="112"/>
      <c r="R68" s="113"/>
      <c r="S68" s="113"/>
      <c r="T68" s="113"/>
      <c r="U68" s="113"/>
      <c r="V68" s="113"/>
      <c r="W68" s="113"/>
      <c r="X68" s="113"/>
      <c r="Y68" s="18"/>
      <c r="Z68" s="18"/>
      <c r="AA68" s="18"/>
    </row>
    <row r="69">
      <c r="A69" s="112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2"/>
      <c r="Q69" s="112"/>
      <c r="R69" s="113"/>
      <c r="S69" s="113"/>
      <c r="T69" s="113"/>
      <c r="U69" s="113"/>
      <c r="V69" s="113"/>
      <c r="W69" s="113"/>
      <c r="X69" s="113"/>
      <c r="Y69" s="18"/>
      <c r="Z69" s="18"/>
      <c r="AA69" s="18"/>
    </row>
    <row r="70">
      <c r="A70" s="112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2"/>
      <c r="Q70" s="112"/>
      <c r="R70" s="113"/>
      <c r="S70" s="113"/>
      <c r="T70" s="113"/>
      <c r="U70" s="113"/>
      <c r="V70" s="113"/>
      <c r="W70" s="113"/>
      <c r="X70" s="113"/>
      <c r="Y70" s="18"/>
      <c r="Z70" s="18"/>
      <c r="AA70" s="18"/>
    </row>
    <row r="71">
      <c r="A71" s="112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2"/>
      <c r="Q71" s="112"/>
      <c r="R71" s="113"/>
      <c r="S71" s="113"/>
      <c r="T71" s="113"/>
      <c r="U71" s="113"/>
      <c r="V71" s="113"/>
      <c r="W71" s="113"/>
      <c r="X71" s="113"/>
      <c r="Y71" s="18"/>
      <c r="Z71" s="18"/>
      <c r="AA71" s="18"/>
    </row>
    <row r="72">
      <c r="A72" s="112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2"/>
      <c r="Q72" s="112"/>
      <c r="R72" s="113"/>
      <c r="S72" s="113"/>
      <c r="T72" s="113"/>
      <c r="U72" s="113"/>
      <c r="V72" s="113"/>
      <c r="W72" s="113"/>
      <c r="X72" s="113"/>
      <c r="Y72" s="18"/>
      <c r="Z72" s="18"/>
      <c r="AA72" s="18"/>
    </row>
    <row r="73">
      <c r="A73" s="112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2"/>
      <c r="Q73" s="112"/>
      <c r="R73" s="113"/>
      <c r="S73" s="113"/>
      <c r="T73" s="113"/>
      <c r="U73" s="113"/>
      <c r="V73" s="113"/>
      <c r="W73" s="113"/>
      <c r="X73" s="113"/>
      <c r="Y73" s="18"/>
      <c r="Z73" s="18"/>
      <c r="AA73" s="18"/>
    </row>
    <row r="74">
      <c r="A74" s="112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2"/>
      <c r="Q74" s="112"/>
      <c r="R74" s="113"/>
      <c r="S74" s="113"/>
      <c r="T74" s="113"/>
      <c r="U74" s="113"/>
      <c r="V74" s="113"/>
      <c r="W74" s="113"/>
      <c r="X74" s="113"/>
      <c r="Y74" s="18"/>
      <c r="Z74" s="18"/>
      <c r="AA74" s="18"/>
    </row>
    <row r="75">
      <c r="A75" s="112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2"/>
      <c r="Q75" s="112"/>
      <c r="R75" s="113"/>
      <c r="S75" s="113"/>
      <c r="T75" s="113"/>
      <c r="U75" s="113"/>
      <c r="V75" s="113"/>
      <c r="W75" s="113"/>
      <c r="X75" s="113"/>
      <c r="Y75" s="18"/>
      <c r="Z75" s="18"/>
      <c r="AA75" s="18"/>
    </row>
    <row r="76">
      <c r="A76" s="112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2"/>
      <c r="Q76" s="112"/>
      <c r="R76" s="113"/>
      <c r="S76" s="113"/>
      <c r="T76" s="113"/>
      <c r="U76" s="113"/>
      <c r="V76" s="113"/>
      <c r="W76" s="113"/>
      <c r="X76" s="113"/>
      <c r="Y76" s="18"/>
      <c r="Z76" s="18"/>
      <c r="AA76" s="18"/>
    </row>
    <row r="77">
      <c r="A77" s="112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2"/>
      <c r="Q77" s="112"/>
      <c r="R77" s="113"/>
      <c r="S77" s="113"/>
      <c r="T77" s="113"/>
      <c r="U77" s="113"/>
      <c r="V77" s="113"/>
      <c r="W77" s="113"/>
      <c r="X77" s="113"/>
      <c r="Y77" s="18"/>
      <c r="Z77" s="18"/>
      <c r="AA77" s="18"/>
    </row>
    <row r="78">
      <c r="A78" s="112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2"/>
      <c r="Q78" s="112"/>
      <c r="R78" s="113"/>
      <c r="S78" s="113"/>
      <c r="T78" s="113"/>
      <c r="U78" s="113"/>
      <c r="V78" s="113"/>
      <c r="W78" s="113"/>
      <c r="X78" s="113"/>
      <c r="Y78" s="18"/>
      <c r="Z78" s="18"/>
      <c r="AA78" s="18"/>
    </row>
    <row r="79">
      <c r="A79" s="112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2"/>
      <c r="Q79" s="112"/>
      <c r="R79" s="113"/>
      <c r="S79" s="113"/>
      <c r="T79" s="113"/>
      <c r="U79" s="113"/>
      <c r="V79" s="113"/>
      <c r="W79" s="113"/>
      <c r="X79" s="113"/>
      <c r="Y79" s="18"/>
      <c r="Z79" s="18"/>
      <c r="AA79" s="18"/>
    </row>
    <row r="80">
      <c r="A80" s="112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2"/>
      <c r="Q80" s="112"/>
      <c r="R80" s="113"/>
      <c r="S80" s="113"/>
      <c r="T80" s="113"/>
      <c r="U80" s="113"/>
      <c r="V80" s="113"/>
      <c r="W80" s="113"/>
      <c r="X80" s="113"/>
      <c r="Y80" s="18"/>
      <c r="Z80" s="18"/>
      <c r="AA80" s="18"/>
    </row>
    <row r="81">
      <c r="A81" s="112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2"/>
      <c r="Q81" s="112"/>
      <c r="R81" s="113"/>
      <c r="S81" s="113"/>
      <c r="T81" s="113"/>
      <c r="U81" s="113"/>
      <c r="V81" s="113"/>
      <c r="W81" s="113"/>
      <c r="X81" s="113"/>
      <c r="Y81" s="18"/>
      <c r="Z81" s="18"/>
      <c r="AA81" s="18"/>
    </row>
    <row r="82">
      <c r="A82" s="112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2"/>
      <c r="Q82" s="112"/>
      <c r="R82" s="113"/>
      <c r="S82" s="113"/>
      <c r="T82" s="113"/>
      <c r="U82" s="113"/>
      <c r="V82" s="113"/>
      <c r="W82" s="113"/>
      <c r="X82" s="113"/>
      <c r="Y82" s="18"/>
      <c r="Z82" s="18"/>
      <c r="AA82" s="18"/>
    </row>
    <row r="83">
      <c r="A83" s="112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2"/>
      <c r="Q83" s="112"/>
      <c r="R83" s="113"/>
      <c r="S83" s="113"/>
      <c r="T83" s="113"/>
      <c r="U83" s="113"/>
      <c r="V83" s="113"/>
      <c r="W83" s="113"/>
      <c r="X83" s="113"/>
      <c r="Y83" s="18"/>
      <c r="Z83" s="18"/>
      <c r="AA83" s="18"/>
    </row>
    <row r="84">
      <c r="A84" s="112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2"/>
      <c r="Q84" s="112"/>
      <c r="R84" s="113"/>
      <c r="S84" s="113"/>
      <c r="T84" s="113"/>
      <c r="U84" s="113"/>
      <c r="V84" s="113"/>
      <c r="W84" s="113"/>
      <c r="X84" s="113"/>
      <c r="Y84" s="18"/>
      <c r="Z84" s="18"/>
      <c r="AA84" s="18"/>
    </row>
    <row r="85">
      <c r="A85" s="112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2"/>
      <c r="Q85" s="112"/>
      <c r="R85" s="113"/>
      <c r="S85" s="113"/>
      <c r="T85" s="113"/>
      <c r="U85" s="113"/>
      <c r="V85" s="113"/>
      <c r="W85" s="113"/>
      <c r="X85" s="113"/>
      <c r="Y85" s="18"/>
      <c r="Z85" s="18"/>
      <c r="AA85" s="18"/>
    </row>
    <row r="86">
      <c r="A86" s="112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2"/>
      <c r="Q86" s="112"/>
      <c r="R86" s="113"/>
      <c r="S86" s="113"/>
      <c r="T86" s="113"/>
      <c r="U86" s="113"/>
      <c r="V86" s="113"/>
      <c r="W86" s="113"/>
      <c r="X86" s="113"/>
      <c r="Y86" s="18"/>
      <c r="Z86" s="18"/>
      <c r="AA86" s="18"/>
    </row>
    <row r="87">
      <c r="A87" s="112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2"/>
      <c r="Q87" s="112"/>
      <c r="R87" s="113"/>
      <c r="S87" s="113"/>
      <c r="T87" s="113"/>
      <c r="U87" s="113"/>
      <c r="V87" s="113"/>
      <c r="W87" s="113"/>
      <c r="X87" s="113"/>
      <c r="Y87" s="18"/>
      <c r="Z87" s="18"/>
      <c r="AA87" s="18"/>
    </row>
    <row r="88">
      <c r="A88" s="112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2"/>
      <c r="Q88" s="112"/>
      <c r="R88" s="113"/>
      <c r="S88" s="113"/>
      <c r="T88" s="113"/>
      <c r="U88" s="113"/>
      <c r="V88" s="113"/>
      <c r="W88" s="113"/>
      <c r="X88" s="113"/>
      <c r="Y88" s="18"/>
      <c r="Z88" s="18"/>
      <c r="AA88" s="18"/>
    </row>
    <row r="89">
      <c r="A89" s="112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2"/>
      <c r="Q89" s="112"/>
      <c r="R89" s="113"/>
      <c r="S89" s="113"/>
      <c r="T89" s="113"/>
      <c r="U89" s="113"/>
      <c r="V89" s="113"/>
      <c r="W89" s="113"/>
      <c r="X89" s="113"/>
      <c r="Y89" s="18"/>
      <c r="Z89" s="18"/>
      <c r="AA89" s="18"/>
    </row>
    <row r="90">
      <c r="A90" s="112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2"/>
      <c r="Q90" s="112"/>
      <c r="R90" s="113"/>
      <c r="S90" s="113"/>
      <c r="T90" s="113"/>
      <c r="U90" s="113"/>
      <c r="V90" s="113"/>
      <c r="W90" s="113"/>
      <c r="X90" s="113"/>
      <c r="Y90" s="18"/>
      <c r="Z90" s="18"/>
      <c r="AA90" s="18"/>
    </row>
    <row r="91">
      <c r="A91" s="112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2"/>
      <c r="Q91" s="112"/>
      <c r="R91" s="113"/>
      <c r="S91" s="113"/>
      <c r="T91" s="113"/>
      <c r="U91" s="113"/>
      <c r="V91" s="113"/>
      <c r="W91" s="113"/>
      <c r="X91" s="113"/>
      <c r="Y91" s="18"/>
      <c r="Z91" s="18"/>
      <c r="AA91" s="18"/>
    </row>
    <row r="92">
      <c r="A92" s="112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2"/>
      <c r="Q92" s="112"/>
      <c r="R92" s="113"/>
      <c r="S92" s="113"/>
      <c r="T92" s="113"/>
      <c r="U92" s="113"/>
      <c r="V92" s="113"/>
      <c r="W92" s="113"/>
      <c r="X92" s="113"/>
      <c r="Y92" s="18"/>
      <c r="Z92" s="18"/>
      <c r="AA92" s="18"/>
    </row>
    <row r="93">
      <c r="A93" s="112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2"/>
      <c r="Q93" s="112"/>
      <c r="R93" s="113"/>
      <c r="S93" s="113"/>
      <c r="T93" s="113"/>
      <c r="U93" s="113"/>
      <c r="V93" s="113"/>
      <c r="W93" s="113"/>
      <c r="X93" s="113"/>
      <c r="Y93" s="18"/>
      <c r="Z93" s="18"/>
      <c r="AA93" s="18"/>
    </row>
    <row r="94">
      <c r="A94" s="112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2"/>
      <c r="Q94" s="112"/>
      <c r="R94" s="113"/>
      <c r="S94" s="113"/>
      <c r="T94" s="113"/>
      <c r="U94" s="113"/>
      <c r="V94" s="113"/>
      <c r="W94" s="113"/>
      <c r="X94" s="113"/>
      <c r="Y94" s="18"/>
      <c r="Z94" s="18"/>
      <c r="AA94" s="18"/>
    </row>
    <row r="95">
      <c r="A95" s="112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2"/>
      <c r="Q95" s="112"/>
      <c r="R95" s="113"/>
      <c r="S95" s="113"/>
      <c r="T95" s="113"/>
      <c r="U95" s="113"/>
      <c r="V95" s="113"/>
      <c r="W95" s="113"/>
      <c r="X95" s="113"/>
      <c r="Y95" s="18"/>
      <c r="Z95" s="18"/>
      <c r="AA95" s="18"/>
    </row>
    <row r="96">
      <c r="A96" s="112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2"/>
      <c r="Q96" s="112"/>
      <c r="R96" s="113"/>
      <c r="S96" s="113"/>
      <c r="T96" s="113"/>
      <c r="U96" s="113"/>
      <c r="V96" s="113"/>
      <c r="W96" s="113"/>
      <c r="X96" s="113"/>
      <c r="Y96" s="18"/>
      <c r="Z96" s="18"/>
      <c r="AA96" s="18"/>
    </row>
    <row r="97">
      <c r="A97" s="112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2"/>
      <c r="Q97" s="112"/>
      <c r="R97" s="113"/>
      <c r="S97" s="113"/>
      <c r="T97" s="113"/>
      <c r="U97" s="113"/>
      <c r="V97" s="113"/>
      <c r="W97" s="113"/>
      <c r="X97" s="113"/>
      <c r="Y97" s="18"/>
      <c r="Z97" s="18"/>
      <c r="AA97" s="18"/>
    </row>
    <row r="98">
      <c r="A98" s="112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2"/>
      <c r="Q98" s="112"/>
      <c r="R98" s="113"/>
      <c r="S98" s="113"/>
      <c r="T98" s="113"/>
      <c r="U98" s="113"/>
      <c r="V98" s="113"/>
      <c r="W98" s="113"/>
      <c r="X98" s="113"/>
      <c r="Y98" s="18"/>
      <c r="Z98" s="18"/>
      <c r="AA98" s="18"/>
    </row>
    <row r="99">
      <c r="A99" s="112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2"/>
      <c r="Q99" s="112"/>
      <c r="R99" s="113"/>
      <c r="S99" s="113"/>
      <c r="T99" s="113"/>
      <c r="U99" s="113"/>
      <c r="V99" s="113"/>
      <c r="W99" s="113"/>
      <c r="X99" s="113"/>
      <c r="Y99" s="18"/>
      <c r="Z99" s="18"/>
      <c r="AA99" s="18"/>
    </row>
    <row r="100">
      <c r="A100" s="112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2"/>
      <c r="Q100" s="112"/>
      <c r="R100" s="113"/>
      <c r="S100" s="113"/>
      <c r="T100" s="113"/>
      <c r="U100" s="113"/>
      <c r="V100" s="113"/>
      <c r="W100" s="113"/>
      <c r="X100" s="113"/>
      <c r="Y100" s="18"/>
      <c r="Z100" s="18"/>
      <c r="AA100" s="18"/>
    </row>
    <row r="101">
      <c r="A101" s="112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2"/>
      <c r="Q101" s="112"/>
      <c r="R101" s="113"/>
      <c r="S101" s="113"/>
      <c r="T101" s="113"/>
      <c r="U101" s="113"/>
      <c r="V101" s="113"/>
      <c r="W101" s="113"/>
      <c r="X101" s="113"/>
      <c r="Y101" s="18"/>
      <c r="Z101" s="18"/>
      <c r="AA101" s="18"/>
    </row>
    <row r="102">
      <c r="A102" s="112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2"/>
      <c r="Q102" s="112"/>
      <c r="R102" s="113"/>
      <c r="S102" s="113"/>
      <c r="T102" s="113"/>
      <c r="U102" s="113"/>
      <c r="V102" s="113"/>
      <c r="W102" s="113"/>
      <c r="X102" s="113"/>
      <c r="Y102" s="18"/>
      <c r="Z102" s="18"/>
      <c r="AA102" s="18"/>
    </row>
    <row r="103">
      <c r="A103" s="112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2"/>
      <c r="Q103" s="112"/>
      <c r="R103" s="113"/>
      <c r="S103" s="113"/>
      <c r="T103" s="113"/>
      <c r="U103" s="113"/>
      <c r="V103" s="113"/>
      <c r="W103" s="113"/>
      <c r="X103" s="113"/>
      <c r="Y103" s="18"/>
      <c r="Z103" s="18"/>
      <c r="AA103" s="18"/>
    </row>
    <row r="104">
      <c r="A104" s="112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2"/>
      <c r="Q104" s="112"/>
      <c r="R104" s="113"/>
      <c r="S104" s="113"/>
      <c r="T104" s="113"/>
      <c r="U104" s="113"/>
      <c r="V104" s="113"/>
      <c r="W104" s="113"/>
      <c r="X104" s="113"/>
      <c r="Y104" s="18"/>
      <c r="Z104" s="18"/>
      <c r="AA104" s="18"/>
    </row>
    <row r="105">
      <c r="A105" s="112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2"/>
      <c r="Q105" s="112"/>
      <c r="R105" s="113"/>
      <c r="S105" s="113"/>
      <c r="T105" s="113"/>
      <c r="U105" s="113"/>
      <c r="V105" s="113"/>
      <c r="W105" s="113"/>
      <c r="X105" s="113"/>
      <c r="Y105" s="18"/>
      <c r="Z105" s="18"/>
      <c r="AA105" s="18"/>
    </row>
    <row r="106">
      <c r="A106" s="112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2"/>
      <c r="Q106" s="112"/>
      <c r="R106" s="113"/>
      <c r="S106" s="113"/>
      <c r="T106" s="113"/>
      <c r="U106" s="113"/>
      <c r="V106" s="113"/>
      <c r="W106" s="113"/>
      <c r="X106" s="113"/>
      <c r="Y106" s="18"/>
      <c r="Z106" s="18"/>
      <c r="AA106" s="18"/>
    </row>
    <row r="107">
      <c r="A107" s="112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2"/>
      <c r="Q107" s="112"/>
      <c r="R107" s="113"/>
      <c r="S107" s="113"/>
      <c r="T107" s="113"/>
      <c r="U107" s="113"/>
      <c r="V107" s="113"/>
      <c r="W107" s="113"/>
      <c r="X107" s="113"/>
      <c r="Y107" s="18"/>
      <c r="Z107" s="18"/>
      <c r="AA107" s="18"/>
    </row>
    <row r="108">
      <c r="A108" s="112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2"/>
      <c r="Q108" s="112"/>
      <c r="R108" s="113"/>
      <c r="S108" s="113"/>
      <c r="T108" s="113"/>
      <c r="U108" s="113"/>
      <c r="V108" s="113"/>
      <c r="W108" s="113"/>
      <c r="X108" s="113"/>
      <c r="Y108" s="18"/>
      <c r="Z108" s="18"/>
      <c r="AA108" s="18"/>
    </row>
    <row r="109">
      <c r="A109" s="112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2"/>
      <c r="Q109" s="112"/>
      <c r="R109" s="113"/>
      <c r="S109" s="113"/>
      <c r="T109" s="113"/>
      <c r="U109" s="113"/>
      <c r="V109" s="113"/>
      <c r="W109" s="113"/>
      <c r="X109" s="113"/>
      <c r="Y109" s="18"/>
      <c r="Z109" s="18"/>
      <c r="AA109" s="18"/>
    </row>
    <row r="110">
      <c r="A110" s="112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2"/>
      <c r="Q110" s="112"/>
      <c r="R110" s="113"/>
      <c r="S110" s="113"/>
      <c r="T110" s="113"/>
      <c r="U110" s="113"/>
      <c r="V110" s="113"/>
      <c r="W110" s="113"/>
      <c r="X110" s="113"/>
      <c r="Y110" s="18"/>
      <c r="Z110" s="18"/>
      <c r="AA110" s="18"/>
    </row>
    <row r="111">
      <c r="A111" s="112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2"/>
      <c r="Q111" s="112"/>
      <c r="R111" s="113"/>
      <c r="S111" s="113"/>
      <c r="T111" s="113"/>
      <c r="U111" s="113"/>
      <c r="V111" s="113"/>
      <c r="W111" s="113"/>
      <c r="X111" s="113"/>
      <c r="Y111" s="18"/>
      <c r="Z111" s="18"/>
      <c r="AA111" s="18"/>
    </row>
    <row r="112">
      <c r="A112" s="112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2"/>
      <c r="Q112" s="112"/>
      <c r="R112" s="113"/>
      <c r="S112" s="113"/>
      <c r="T112" s="113"/>
      <c r="U112" s="113"/>
      <c r="V112" s="113"/>
      <c r="W112" s="113"/>
      <c r="X112" s="113"/>
      <c r="Y112" s="18"/>
      <c r="Z112" s="18"/>
      <c r="AA112" s="18"/>
    </row>
    <row r="113">
      <c r="A113" s="112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2"/>
      <c r="Q113" s="112"/>
      <c r="R113" s="113"/>
      <c r="S113" s="113"/>
      <c r="T113" s="113"/>
      <c r="U113" s="113"/>
      <c r="V113" s="113"/>
      <c r="W113" s="113"/>
      <c r="X113" s="113"/>
      <c r="Y113" s="18"/>
      <c r="Z113" s="18"/>
      <c r="AA113" s="18"/>
    </row>
    <row r="114">
      <c r="A114" s="112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2"/>
      <c r="Q114" s="112"/>
      <c r="R114" s="113"/>
      <c r="S114" s="113"/>
      <c r="T114" s="113"/>
      <c r="U114" s="113"/>
      <c r="V114" s="113"/>
      <c r="W114" s="113"/>
      <c r="X114" s="113"/>
      <c r="Y114" s="18"/>
      <c r="Z114" s="18"/>
      <c r="AA114" s="18"/>
    </row>
    <row r="115">
      <c r="A115" s="112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2"/>
      <c r="Q115" s="112"/>
      <c r="R115" s="113"/>
      <c r="S115" s="113"/>
      <c r="T115" s="113"/>
      <c r="U115" s="113"/>
      <c r="V115" s="113"/>
      <c r="W115" s="113"/>
      <c r="X115" s="113"/>
      <c r="Y115" s="18"/>
      <c r="Z115" s="18"/>
      <c r="AA115" s="18"/>
    </row>
    <row r="116">
      <c r="A116" s="112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2"/>
      <c r="Q116" s="112"/>
      <c r="R116" s="113"/>
      <c r="S116" s="113"/>
      <c r="T116" s="113"/>
      <c r="U116" s="113"/>
      <c r="V116" s="113"/>
      <c r="W116" s="113"/>
      <c r="X116" s="113"/>
      <c r="Y116" s="18"/>
      <c r="Z116" s="18"/>
      <c r="AA116" s="18"/>
    </row>
    <row r="117">
      <c r="A117" s="112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2"/>
      <c r="Q117" s="112"/>
      <c r="R117" s="113"/>
      <c r="S117" s="113"/>
      <c r="T117" s="113"/>
      <c r="U117" s="113"/>
      <c r="V117" s="113"/>
      <c r="W117" s="113"/>
      <c r="X117" s="113"/>
      <c r="Y117" s="18"/>
      <c r="Z117" s="18"/>
      <c r="AA117" s="18"/>
    </row>
    <row r="118">
      <c r="A118" s="112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2"/>
      <c r="Q118" s="112"/>
      <c r="R118" s="113"/>
      <c r="S118" s="113"/>
      <c r="T118" s="113"/>
      <c r="U118" s="113"/>
      <c r="V118" s="113"/>
      <c r="W118" s="113"/>
      <c r="X118" s="113"/>
      <c r="Y118" s="18"/>
      <c r="Z118" s="18"/>
      <c r="AA118" s="18"/>
    </row>
    <row r="119">
      <c r="A119" s="112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2"/>
      <c r="Q119" s="112"/>
      <c r="R119" s="113"/>
      <c r="S119" s="113"/>
      <c r="T119" s="113"/>
      <c r="U119" s="113"/>
      <c r="V119" s="113"/>
      <c r="W119" s="113"/>
      <c r="X119" s="113"/>
      <c r="Y119" s="18"/>
      <c r="Z119" s="18"/>
      <c r="AA119" s="18"/>
    </row>
    <row r="120">
      <c r="A120" s="112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2"/>
      <c r="Q120" s="112"/>
      <c r="R120" s="113"/>
      <c r="S120" s="113"/>
      <c r="T120" s="113"/>
      <c r="U120" s="113"/>
      <c r="V120" s="113"/>
      <c r="W120" s="113"/>
      <c r="X120" s="113"/>
      <c r="Y120" s="18"/>
      <c r="Z120" s="18"/>
      <c r="AA120" s="18"/>
    </row>
    <row r="121">
      <c r="A121" s="112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2"/>
      <c r="Q121" s="112"/>
      <c r="R121" s="113"/>
      <c r="S121" s="113"/>
      <c r="T121" s="113"/>
      <c r="U121" s="113"/>
      <c r="V121" s="113"/>
      <c r="W121" s="113"/>
      <c r="X121" s="113"/>
      <c r="Y121" s="18"/>
      <c r="Z121" s="18"/>
      <c r="AA121" s="18"/>
    </row>
    <row r="122">
      <c r="A122" s="112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2"/>
      <c r="Q122" s="112"/>
      <c r="R122" s="113"/>
      <c r="S122" s="113"/>
      <c r="T122" s="113"/>
      <c r="U122" s="113"/>
      <c r="V122" s="113"/>
      <c r="W122" s="113"/>
      <c r="X122" s="113"/>
      <c r="Y122" s="18"/>
      <c r="Z122" s="18"/>
      <c r="AA122" s="18"/>
    </row>
    <row r="123">
      <c r="A123" s="112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2"/>
      <c r="Q123" s="112"/>
      <c r="R123" s="113"/>
      <c r="S123" s="113"/>
      <c r="T123" s="113"/>
      <c r="U123" s="113"/>
      <c r="V123" s="113"/>
      <c r="W123" s="113"/>
      <c r="X123" s="113"/>
      <c r="Y123" s="18"/>
      <c r="Z123" s="18"/>
      <c r="AA123" s="18"/>
    </row>
    <row r="124">
      <c r="A124" s="112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2"/>
      <c r="Q124" s="112"/>
      <c r="R124" s="113"/>
      <c r="S124" s="113"/>
      <c r="T124" s="113"/>
      <c r="U124" s="113"/>
      <c r="V124" s="113"/>
      <c r="W124" s="113"/>
      <c r="X124" s="113"/>
      <c r="Y124" s="18"/>
      <c r="Z124" s="18"/>
      <c r="AA124" s="18"/>
    </row>
    <row r="125">
      <c r="A125" s="112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2"/>
      <c r="Q125" s="112"/>
      <c r="R125" s="113"/>
      <c r="S125" s="113"/>
      <c r="T125" s="113"/>
      <c r="U125" s="113"/>
      <c r="V125" s="113"/>
      <c r="W125" s="113"/>
      <c r="X125" s="113"/>
      <c r="Y125" s="18"/>
      <c r="Z125" s="18"/>
      <c r="AA125" s="18"/>
    </row>
    <row r="126">
      <c r="A126" s="112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2"/>
      <c r="Q126" s="112"/>
      <c r="R126" s="113"/>
      <c r="S126" s="113"/>
      <c r="T126" s="113"/>
      <c r="U126" s="113"/>
      <c r="V126" s="113"/>
      <c r="W126" s="113"/>
      <c r="X126" s="113"/>
      <c r="Y126" s="18"/>
      <c r="Z126" s="18"/>
      <c r="AA126" s="18"/>
    </row>
    <row r="127">
      <c r="A127" s="112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2"/>
      <c r="Q127" s="112"/>
      <c r="R127" s="113"/>
      <c r="S127" s="113"/>
      <c r="T127" s="113"/>
      <c r="U127" s="113"/>
      <c r="V127" s="113"/>
      <c r="W127" s="113"/>
      <c r="X127" s="113"/>
      <c r="Y127" s="18"/>
      <c r="Z127" s="18"/>
      <c r="AA127" s="18"/>
    </row>
    <row r="128">
      <c r="A128" s="112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2"/>
      <c r="Q128" s="112"/>
      <c r="R128" s="113"/>
      <c r="S128" s="113"/>
      <c r="T128" s="113"/>
      <c r="U128" s="113"/>
      <c r="V128" s="113"/>
      <c r="W128" s="113"/>
      <c r="X128" s="113"/>
      <c r="Y128" s="18"/>
      <c r="Z128" s="18"/>
      <c r="AA128" s="18"/>
    </row>
    <row r="129">
      <c r="A129" s="112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2"/>
      <c r="Q129" s="112"/>
      <c r="R129" s="113"/>
      <c r="S129" s="113"/>
      <c r="T129" s="113"/>
      <c r="U129" s="113"/>
      <c r="V129" s="113"/>
      <c r="W129" s="113"/>
      <c r="X129" s="113"/>
      <c r="Y129" s="18"/>
      <c r="Z129" s="18"/>
      <c r="AA129" s="18"/>
    </row>
    <row r="130">
      <c r="A130" s="112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2"/>
      <c r="Q130" s="112"/>
      <c r="R130" s="113"/>
      <c r="S130" s="113"/>
      <c r="T130" s="113"/>
      <c r="U130" s="113"/>
      <c r="V130" s="113"/>
      <c r="W130" s="113"/>
      <c r="X130" s="113"/>
      <c r="Y130" s="18"/>
      <c r="Z130" s="18"/>
      <c r="AA130" s="18"/>
    </row>
    <row r="131">
      <c r="A131" s="112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2"/>
      <c r="Q131" s="112"/>
      <c r="R131" s="113"/>
      <c r="S131" s="113"/>
      <c r="T131" s="113"/>
      <c r="U131" s="113"/>
      <c r="V131" s="113"/>
      <c r="W131" s="113"/>
      <c r="X131" s="113"/>
      <c r="Y131" s="18"/>
      <c r="Z131" s="18"/>
      <c r="AA131" s="18"/>
    </row>
    <row r="132">
      <c r="A132" s="112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2"/>
      <c r="Q132" s="112"/>
      <c r="R132" s="113"/>
      <c r="S132" s="113"/>
      <c r="T132" s="113"/>
      <c r="U132" s="113"/>
      <c r="V132" s="113"/>
      <c r="W132" s="113"/>
      <c r="X132" s="113"/>
      <c r="Y132" s="18"/>
      <c r="Z132" s="18"/>
      <c r="AA132" s="18"/>
    </row>
    <row r="133">
      <c r="A133" s="112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2"/>
      <c r="Q133" s="112"/>
      <c r="R133" s="113"/>
      <c r="S133" s="113"/>
      <c r="T133" s="113"/>
      <c r="U133" s="113"/>
      <c r="V133" s="113"/>
      <c r="W133" s="113"/>
      <c r="X133" s="113"/>
      <c r="Y133" s="18"/>
      <c r="Z133" s="18"/>
      <c r="AA133" s="18"/>
    </row>
    <row r="134">
      <c r="A134" s="112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2"/>
      <c r="Q134" s="112"/>
      <c r="R134" s="113"/>
      <c r="S134" s="113"/>
      <c r="T134" s="113"/>
      <c r="U134" s="113"/>
      <c r="V134" s="113"/>
      <c r="W134" s="113"/>
      <c r="X134" s="113"/>
      <c r="Y134" s="18"/>
      <c r="Z134" s="18"/>
      <c r="AA134" s="18"/>
    </row>
    <row r="135">
      <c r="A135" s="112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2"/>
      <c r="Q135" s="112"/>
      <c r="R135" s="113"/>
      <c r="S135" s="113"/>
      <c r="T135" s="113"/>
      <c r="U135" s="113"/>
      <c r="V135" s="113"/>
      <c r="W135" s="113"/>
      <c r="X135" s="113"/>
      <c r="Y135" s="18"/>
      <c r="Z135" s="18"/>
      <c r="AA135" s="18"/>
    </row>
    <row r="136">
      <c r="A136" s="112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2"/>
      <c r="Q136" s="112"/>
      <c r="R136" s="113"/>
      <c r="S136" s="113"/>
      <c r="T136" s="113"/>
      <c r="U136" s="113"/>
      <c r="V136" s="113"/>
      <c r="W136" s="113"/>
      <c r="X136" s="113"/>
      <c r="Y136" s="18"/>
      <c r="Z136" s="18"/>
      <c r="AA136" s="18"/>
    </row>
    <row r="137">
      <c r="A137" s="112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2"/>
      <c r="Q137" s="112"/>
      <c r="R137" s="113"/>
      <c r="S137" s="113"/>
      <c r="T137" s="113"/>
      <c r="U137" s="113"/>
      <c r="V137" s="113"/>
      <c r="W137" s="113"/>
      <c r="X137" s="113"/>
      <c r="Y137" s="18"/>
      <c r="Z137" s="18"/>
      <c r="AA137" s="18"/>
    </row>
    <row r="138">
      <c r="A138" s="112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2"/>
      <c r="Q138" s="112"/>
      <c r="R138" s="113"/>
      <c r="S138" s="113"/>
      <c r="T138" s="113"/>
      <c r="U138" s="113"/>
      <c r="V138" s="113"/>
      <c r="W138" s="113"/>
      <c r="X138" s="113"/>
      <c r="Y138" s="18"/>
      <c r="Z138" s="18"/>
      <c r="AA138" s="18"/>
    </row>
    <row r="139">
      <c r="A139" s="112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2"/>
      <c r="Q139" s="112"/>
      <c r="R139" s="113"/>
      <c r="S139" s="113"/>
      <c r="T139" s="113"/>
      <c r="U139" s="113"/>
      <c r="V139" s="113"/>
      <c r="W139" s="113"/>
      <c r="X139" s="113"/>
      <c r="Y139" s="18"/>
      <c r="Z139" s="18"/>
      <c r="AA139" s="18"/>
    </row>
    <row r="140">
      <c r="A140" s="112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2"/>
      <c r="Q140" s="112"/>
      <c r="R140" s="113"/>
      <c r="S140" s="113"/>
      <c r="T140" s="113"/>
      <c r="U140" s="113"/>
      <c r="V140" s="113"/>
      <c r="W140" s="113"/>
      <c r="X140" s="113"/>
      <c r="Y140" s="18"/>
      <c r="Z140" s="18"/>
      <c r="AA140" s="18"/>
    </row>
    <row r="141">
      <c r="A141" s="112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2"/>
      <c r="Q141" s="112"/>
      <c r="R141" s="113"/>
      <c r="S141" s="113"/>
      <c r="T141" s="113"/>
      <c r="U141" s="113"/>
      <c r="V141" s="113"/>
      <c r="W141" s="113"/>
      <c r="X141" s="113"/>
      <c r="Y141" s="18"/>
      <c r="Z141" s="18"/>
      <c r="AA141" s="18"/>
    </row>
    <row r="142">
      <c r="A142" s="112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2"/>
      <c r="Q142" s="112"/>
      <c r="R142" s="113"/>
      <c r="S142" s="113"/>
      <c r="T142" s="113"/>
      <c r="U142" s="113"/>
      <c r="V142" s="113"/>
      <c r="W142" s="113"/>
      <c r="X142" s="113"/>
      <c r="Y142" s="18"/>
      <c r="Z142" s="18"/>
      <c r="AA142" s="18"/>
    </row>
    <row r="143">
      <c r="A143" s="112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2"/>
      <c r="Q143" s="112"/>
      <c r="R143" s="113"/>
      <c r="S143" s="113"/>
      <c r="T143" s="113"/>
      <c r="U143" s="113"/>
      <c r="V143" s="113"/>
      <c r="W143" s="113"/>
      <c r="X143" s="113"/>
      <c r="Y143" s="18"/>
      <c r="Z143" s="18"/>
      <c r="AA143" s="18"/>
    </row>
    <row r="144">
      <c r="A144" s="112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2"/>
      <c r="Q144" s="112"/>
      <c r="R144" s="113"/>
      <c r="S144" s="113"/>
      <c r="T144" s="113"/>
      <c r="U144" s="113"/>
      <c r="V144" s="113"/>
      <c r="W144" s="113"/>
      <c r="X144" s="113"/>
      <c r="Y144" s="18"/>
      <c r="Z144" s="18"/>
      <c r="AA144" s="18"/>
    </row>
    <row r="145">
      <c r="A145" s="112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2"/>
      <c r="Q145" s="112"/>
      <c r="R145" s="113"/>
      <c r="S145" s="113"/>
      <c r="T145" s="113"/>
      <c r="U145" s="113"/>
      <c r="V145" s="113"/>
      <c r="W145" s="113"/>
      <c r="X145" s="113"/>
      <c r="Y145" s="18"/>
      <c r="Z145" s="18"/>
      <c r="AA145" s="18"/>
    </row>
    <row r="146">
      <c r="A146" s="112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2"/>
      <c r="Q146" s="112"/>
      <c r="R146" s="113"/>
      <c r="S146" s="113"/>
      <c r="T146" s="113"/>
      <c r="U146" s="113"/>
      <c r="V146" s="113"/>
      <c r="W146" s="113"/>
      <c r="X146" s="113"/>
      <c r="Y146" s="18"/>
      <c r="Z146" s="18"/>
      <c r="AA146" s="18"/>
    </row>
    <row r="147">
      <c r="A147" s="112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2"/>
      <c r="Q147" s="112"/>
      <c r="R147" s="113"/>
      <c r="S147" s="113"/>
      <c r="T147" s="113"/>
      <c r="U147" s="113"/>
      <c r="V147" s="113"/>
      <c r="W147" s="113"/>
      <c r="X147" s="113"/>
      <c r="Y147" s="18"/>
      <c r="Z147" s="18"/>
      <c r="AA147" s="18"/>
    </row>
    <row r="148">
      <c r="A148" s="112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2"/>
      <c r="Q148" s="112"/>
      <c r="R148" s="113"/>
      <c r="S148" s="113"/>
      <c r="T148" s="113"/>
      <c r="U148" s="113"/>
      <c r="V148" s="113"/>
      <c r="W148" s="113"/>
      <c r="X148" s="113"/>
      <c r="Y148" s="18"/>
      <c r="Z148" s="18"/>
      <c r="AA148" s="18"/>
    </row>
    <row r="149">
      <c r="A149" s="112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2"/>
      <c r="Q149" s="112"/>
      <c r="R149" s="113"/>
      <c r="S149" s="113"/>
      <c r="T149" s="113"/>
      <c r="U149" s="113"/>
      <c r="V149" s="113"/>
      <c r="W149" s="113"/>
      <c r="X149" s="113"/>
      <c r="Y149" s="18"/>
      <c r="Z149" s="18"/>
      <c r="AA149" s="18"/>
    </row>
    <row r="150">
      <c r="A150" s="112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2"/>
      <c r="Q150" s="112"/>
      <c r="R150" s="113"/>
      <c r="S150" s="113"/>
      <c r="T150" s="113"/>
      <c r="U150" s="113"/>
      <c r="V150" s="113"/>
      <c r="W150" s="113"/>
      <c r="X150" s="113"/>
      <c r="Y150" s="18"/>
      <c r="Z150" s="18"/>
      <c r="AA150" s="18"/>
    </row>
    <row r="151">
      <c r="A151" s="112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2"/>
      <c r="Q151" s="112"/>
      <c r="R151" s="113"/>
      <c r="S151" s="113"/>
      <c r="T151" s="113"/>
      <c r="U151" s="113"/>
      <c r="V151" s="113"/>
      <c r="W151" s="113"/>
      <c r="X151" s="113"/>
      <c r="Y151" s="18"/>
      <c r="Z151" s="18"/>
      <c r="AA151" s="18"/>
    </row>
    <row r="152">
      <c r="A152" s="112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2"/>
      <c r="Q152" s="112"/>
      <c r="R152" s="113"/>
      <c r="S152" s="113"/>
      <c r="T152" s="113"/>
      <c r="U152" s="113"/>
      <c r="V152" s="113"/>
      <c r="W152" s="113"/>
      <c r="X152" s="113"/>
      <c r="Y152" s="18"/>
      <c r="Z152" s="18"/>
      <c r="AA152" s="18"/>
    </row>
    <row r="153">
      <c r="A153" s="112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2"/>
      <c r="Q153" s="112"/>
      <c r="R153" s="113"/>
      <c r="S153" s="113"/>
      <c r="T153" s="113"/>
      <c r="U153" s="113"/>
      <c r="V153" s="113"/>
      <c r="W153" s="113"/>
      <c r="X153" s="113"/>
      <c r="Y153" s="18"/>
      <c r="Z153" s="18"/>
      <c r="AA153" s="18"/>
    </row>
    <row r="154">
      <c r="A154" s="112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2"/>
      <c r="Q154" s="112"/>
      <c r="R154" s="113"/>
      <c r="S154" s="113"/>
      <c r="T154" s="113"/>
      <c r="U154" s="113"/>
      <c r="V154" s="113"/>
      <c r="W154" s="113"/>
      <c r="X154" s="113"/>
      <c r="Y154" s="18"/>
      <c r="Z154" s="18"/>
      <c r="AA154" s="18"/>
    </row>
    <row r="155">
      <c r="A155" s="112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2"/>
      <c r="Q155" s="112"/>
      <c r="R155" s="113"/>
      <c r="S155" s="113"/>
      <c r="T155" s="113"/>
      <c r="U155" s="113"/>
      <c r="V155" s="113"/>
      <c r="W155" s="113"/>
      <c r="X155" s="113"/>
      <c r="Y155" s="18"/>
      <c r="Z155" s="18"/>
      <c r="AA155" s="18"/>
    </row>
    <row r="156">
      <c r="A156" s="112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2"/>
      <c r="Q156" s="112"/>
      <c r="R156" s="113"/>
      <c r="S156" s="113"/>
      <c r="T156" s="113"/>
      <c r="U156" s="113"/>
      <c r="V156" s="113"/>
      <c r="W156" s="113"/>
      <c r="X156" s="113"/>
      <c r="Y156" s="18"/>
      <c r="Z156" s="18"/>
      <c r="AA156" s="18"/>
    </row>
    <row r="157">
      <c r="A157" s="112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2"/>
      <c r="Q157" s="112"/>
      <c r="R157" s="113"/>
      <c r="S157" s="113"/>
      <c r="T157" s="113"/>
      <c r="U157" s="113"/>
      <c r="V157" s="113"/>
      <c r="W157" s="113"/>
      <c r="X157" s="113"/>
      <c r="Y157" s="18"/>
      <c r="Z157" s="18"/>
      <c r="AA157" s="18"/>
    </row>
    <row r="158">
      <c r="A158" s="112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2"/>
      <c r="Q158" s="112"/>
      <c r="R158" s="113"/>
      <c r="S158" s="113"/>
      <c r="T158" s="113"/>
      <c r="U158" s="113"/>
      <c r="V158" s="113"/>
      <c r="W158" s="113"/>
      <c r="X158" s="113"/>
      <c r="Y158" s="18"/>
      <c r="Z158" s="18"/>
      <c r="AA158" s="18"/>
    </row>
    <row r="159">
      <c r="A159" s="112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2"/>
      <c r="Q159" s="112"/>
      <c r="R159" s="113"/>
      <c r="S159" s="113"/>
      <c r="T159" s="113"/>
      <c r="U159" s="113"/>
      <c r="V159" s="113"/>
      <c r="W159" s="113"/>
      <c r="X159" s="113"/>
      <c r="Y159" s="18"/>
      <c r="Z159" s="18"/>
      <c r="AA159" s="18"/>
    </row>
    <row r="160">
      <c r="A160" s="112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2"/>
      <c r="Q160" s="112"/>
      <c r="R160" s="113"/>
      <c r="S160" s="113"/>
      <c r="T160" s="113"/>
      <c r="U160" s="113"/>
      <c r="V160" s="113"/>
      <c r="W160" s="113"/>
      <c r="X160" s="113"/>
      <c r="Y160" s="18"/>
      <c r="Z160" s="18"/>
      <c r="AA160" s="18"/>
    </row>
    <row r="161">
      <c r="A161" s="112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2"/>
      <c r="Q161" s="112"/>
      <c r="R161" s="113"/>
      <c r="S161" s="113"/>
      <c r="T161" s="113"/>
      <c r="U161" s="113"/>
      <c r="V161" s="113"/>
      <c r="W161" s="113"/>
      <c r="X161" s="113"/>
      <c r="Y161" s="18"/>
      <c r="Z161" s="18"/>
      <c r="AA161" s="18"/>
    </row>
    <row r="162">
      <c r="A162" s="112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2"/>
      <c r="Q162" s="112"/>
      <c r="R162" s="113"/>
      <c r="S162" s="113"/>
      <c r="T162" s="113"/>
      <c r="U162" s="113"/>
      <c r="V162" s="113"/>
      <c r="W162" s="113"/>
      <c r="X162" s="113"/>
      <c r="Y162" s="18"/>
      <c r="Z162" s="18"/>
      <c r="AA162" s="18"/>
    </row>
    <row r="163">
      <c r="A163" s="112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2"/>
      <c r="Q163" s="112"/>
      <c r="R163" s="113"/>
      <c r="S163" s="113"/>
      <c r="T163" s="113"/>
      <c r="U163" s="113"/>
      <c r="V163" s="113"/>
      <c r="W163" s="113"/>
      <c r="X163" s="113"/>
      <c r="Y163" s="18"/>
      <c r="Z163" s="18"/>
      <c r="AA163" s="18"/>
    </row>
    <row r="164">
      <c r="A164" s="112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2"/>
      <c r="Q164" s="112"/>
      <c r="R164" s="113"/>
      <c r="S164" s="113"/>
      <c r="T164" s="113"/>
      <c r="U164" s="113"/>
      <c r="V164" s="113"/>
      <c r="W164" s="113"/>
      <c r="X164" s="113"/>
      <c r="Y164" s="18"/>
      <c r="Z164" s="18"/>
      <c r="AA164" s="18"/>
    </row>
    <row r="165">
      <c r="A165" s="112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2"/>
      <c r="Q165" s="112"/>
      <c r="R165" s="113"/>
      <c r="S165" s="113"/>
      <c r="T165" s="113"/>
      <c r="U165" s="113"/>
      <c r="V165" s="113"/>
      <c r="W165" s="113"/>
      <c r="X165" s="113"/>
      <c r="Y165" s="18"/>
      <c r="Z165" s="18"/>
      <c r="AA165" s="18"/>
    </row>
    <row r="166">
      <c r="A166" s="112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2"/>
      <c r="Q166" s="112"/>
      <c r="R166" s="113"/>
      <c r="S166" s="113"/>
      <c r="T166" s="113"/>
      <c r="U166" s="113"/>
      <c r="V166" s="113"/>
      <c r="W166" s="113"/>
      <c r="X166" s="113"/>
      <c r="Y166" s="18"/>
      <c r="Z166" s="18"/>
      <c r="AA166" s="18"/>
    </row>
    <row r="167">
      <c r="A167" s="112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2"/>
      <c r="Q167" s="112"/>
      <c r="R167" s="113"/>
      <c r="S167" s="113"/>
      <c r="T167" s="113"/>
      <c r="U167" s="113"/>
      <c r="V167" s="113"/>
      <c r="W167" s="113"/>
      <c r="X167" s="113"/>
      <c r="Y167" s="18"/>
      <c r="Z167" s="18"/>
      <c r="AA167" s="18"/>
    </row>
    <row r="168">
      <c r="A168" s="112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2"/>
      <c r="Q168" s="112"/>
      <c r="R168" s="113"/>
      <c r="S168" s="113"/>
      <c r="T168" s="113"/>
      <c r="U168" s="113"/>
      <c r="V168" s="113"/>
      <c r="W168" s="113"/>
      <c r="X168" s="113"/>
      <c r="Y168" s="18"/>
      <c r="Z168" s="18"/>
      <c r="AA168" s="18"/>
    </row>
    <row r="169">
      <c r="A169" s="112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2"/>
      <c r="Q169" s="112"/>
      <c r="R169" s="113"/>
      <c r="S169" s="113"/>
      <c r="T169" s="113"/>
      <c r="U169" s="113"/>
      <c r="V169" s="113"/>
      <c r="W169" s="113"/>
      <c r="X169" s="113"/>
      <c r="Y169" s="18"/>
      <c r="Z169" s="18"/>
      <c r="AA169" s="18"/>
    </row>
    <row r="170">
      <c r="A170" s="112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2"/>
      <c r="Q170" s="112"/>
      <c r="R170" s="113"/>
      <c r="S170" s="113"/>
      <c r="T170" s="113"/>
      <c r="U170" s="113"/>
      <c r="V170" s="113"/>
      <c r="W170" s="113"/>
      <c r="X170" s="113"/>
      <c r="Y170" s="18"/>
      <c r="Z170" s="18"/>
      <c r="AA170" s="18"/>
    </row>
    <row r="171">
      <c r="A171" s="112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2"/>
      <c r="Q171" s="112"/>
      <c r="R171" s="113"/>
      <c r="S171" s="113"/>
      <c r="T171" s="113"/>
      <c r="U171" s="113"/>
      <c r="V171" s="113"/>
      <c r="W171" s="113"/>
      <c r="X171" s="113"/>
      <c r="Y171" s="18"/>
      <c r="Z171" s="18"/>
      <c r="AA171" s="18"/>
    </row>
    <row r="172">
      <c r="A172" s="112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2"/>
      <c r="Q172" s="112"/>
      <c r="R172" s="113"/>
      <c r="S172" s="113"/>
      <c r="T172" s="113"/>
      <c r="U172" s="113"/>
      <c r="V172" s="113"/>
      <c r="W172" s="113"/>
      <c r="X172" s="113"/>
      <c r="Y172" s="18"/>
      <c r="Z172" s="18"/>
      <c r="AA172" s="18"/>
    </row>
    <row r="173">
      <c r="A173" s="112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2"/>
      <c r="Q173" s="112"/>
      <c r="R173" s="113"/>
      <c r="S173" s="113"/>
      <c r="T173" s="113"/>
      <c r="U173" s="113"/>
      <c r="V173" s="113"/>
      <c r="W173" s="113"/>
      <c r="X173" s="113"/>
      <c r="Y173" s="18"/>
      <c r="Z173" s="18"/>
      <c r="AA173" s="18"/>
    </row>
    <row r="174">
      <c r="A174" s="112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2"/>
      <c r="Q174" s="112"/>
      <c r="R174" s="113"/>
      <c r="S174" s="113"/>
      <c r="T174" s="113"/>
      <c r="U174" s="113"/>
      <c r="V174" s="113"/>
      <c r="W174" s="113"/>
      <c r="X174" s="113"/>
      <c r="Y174" s="18"/>
      <c r="Z174" s="18"/>
      <c r="AA174" s="18"/>
    </row>
    <row r="175">
      <c r="A175" s="112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2"/>
      <c r="Q175" s="112"/>
      <c r="R175" s="113"/>
      <c r="S175" s="113"/>
      <c r="T175" s="113"/>
      <c r="U175" s="113"/>
      <c r="V175" s="113"/>
      <c r="W175" s="113"/>
      <c r="X175" s="113"/>
      <c r="Y175" s="18"/>
      <c r="Z175" s="18"/>
      <c r="AA175" s="18"/>
    </row>
    <row r="176">
      <c r="A176" s="112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2"/>
      <c r="Q176" s="112"/>
      <c r="R176" s="113"/>
      <c r="S176" s="113"/>
      <c r="T176" s="113"/>
      <c r="U176" s="113"/>
      <c r="V176" s="113"/>
      <c r="W176" s="113"/>
      <c r="X176" s="113"/>
      <c r="Y176" s="18"/>
      <c r="Z176" s="18"/>
      <c r="AA176" s="18"/>
    </row>
    <row r="177">
      <c r="A177" s="112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2"/>
      <c r="Q177" s="112"/>
      <c r="R177" s="113"/>
      <c r="S177" s="113"/>
      <c r="T177" s="113"/>
      <c r="U177" s="113"/>
      <c r="V177" s="113"/>
      <c r="W177" s="113"/>
      <c r="X177" s="113"/>
      <c r="Y177" s="18"/>
      <c r="Z177" s="18"/>
      <c r="AA177" s="18"/>
    </row>
    <row r="178">
      <c r="A178" s="112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2"/>
      <c r="Q178" s="112"/>
      <c r="R178" s="113"/>
      <c r="S178" s="113"/>
      <c r="T178" s="113"/>
      <c r="U178" s="113"/>
      <c r="V178" s="113"/>
      <c r="W178" s="113"/>
      <c r="X178" s="113"/>
      <c r="Y178" s="18"/>
      <c r="Z178" s="18"/>
      <c r="AA178" s="18"/>
    </row>
    <row r="179">
      <c r="A179" s="112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2"/>
      <c r="Q179" s="112"/>
      <c r="R179" s="113"/>
      <c r="S179" s="113"/>
      <c r="T179" s="113"/>
      <c r="U179" s="113"/>
      <c r="V179" s="113"/>
      <c r="W179" s="113"/>
      <c r="X179" s="113"/>
      <c r="Y179" s="18"/>
      <c r="Z179" s="18"/>
      <c r="AA179" s="18"/>
    </row>
    <row r="180">
      <c r="A180" s="112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2"/>
      <c r="Q180" s="112"/>
      <c r="R180" s="113"/>
      <c r="S180" s="113"/>
      <c r="T180" s="113"/>
      <c r="U180" s="113"/>
      <c r="V180" s="113"/>
      <c r="W180" s="113"/>
      <c r="X180" s="113"/>
      <c r="Y180" s="18"/>
      <c r="Z180" s="18"/>
      <c r="AA180" s="18"/>
    </row>
    <row r="181">
      <c r="A181" s="112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2"/>
      <c r="Q181" s="112"/>
      <c r="R181" s="113"/>
      <c r="S181" s="113"/>
      <c r="T181" s="113"/>
      <c r="U181" s="113"/>
      <c r="V181" s="113"/>
      <c r="W181" s="113"/>
      <c r="X181" s="113"/>
      <c r="Y181" s="18"/>
      <c r="Z181" s="18"/>
      <c r="AA181" s="18"/>
    </row>
    <row r="182">
      <c r="A182" s="112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2"/>
      <c r="Q182" s="112"/>
      <c r="R182" s="113"/>
      <c r="S182" s="113"/>
      <c r="T182" s="113"/>
      <c r="U182" s="113"/>
      <c r="V182" s="113"/>
      <c r="W182" s="113"/>
      <c r="X182" s="113"/>
      <c r="Y182" s="18"/>
      <c r="Z182" s="18"/>
      <c r="AA182" s="18"/>
    </row>
    <row r="183">
      <c r="A183" s="112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2"/>
      <c r="Q183" s="112"/>
      <c r="R183" s="113"/>
      <c r="S183" s="113"/>
      <c r="T183" s="113"/>
      <c r="U183" s="113"/>
      <c r="V183" s="113"/>
      <c r="W183" s="113"/>
      <c r="X183" s="113"/>
      <c r="Y183" s="18"/>
      <c r="Z183" s="18"/>
      <c r="AA183" s="18"/>
    </row>
    <row r="184">
      <c r="A184" s="112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2"/>
      <c r="Q184" s="112"/>
      <c r="R184" s="113"/>
      <c r="S184" s="113"/>
      <c r="T184" s="113"/>
      <c r="U184" s="113"/>
      <c r="V184" s="113"/>
      <c r="W184" s="113"/>
      <c r="X184" s="113"/>
      <c r="Y184" s="18"/>
      <c r="Z184" s="18"/>
      <c r="AA184" s="18"/>
    </row>
    <row r="185">
      <c r="A185" s="112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2"/>
      <c r="Q185" s="112"/>
      <c r="R185" s="113"/>
      <c r="S185" s="113"/>
      <c r="T185" s="113"/>
      <c r="U185" s="113"/>
      <c r="V185" s="113"/>
      <c r="W185" s="113"/>
      <c r="X185" s="113"/>
      <c r="Y185" s="18"/>
      <c r="Z185" s="18"/>
      <c r="AA185" s="18"/>
    </row>
    <row r="186">
      <c r="A186" s="112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2"/>
      <c r="Q186" s="112"/>
      <c r="R186" s="113"/>
      <c r="S186" s="113"/>
      <c r="T186" s="113"/>
      <c r="U186" s="113"/>
      <c r="V186" s="113"/>
      <c r="W186" s="113"/>
      <c r="X186" s="113"/>
      <c r="Y186" s="18"/>
      <c r="Z186" s="18"/>
      <c r="AA186" s="18"/>
    </row>
    <row r="187">
      <c r="A187" s="112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2"/>
      <c r="Q187" s="112"/>
      <c r="R187" s="113"/>
      <c r="S187" s="113"/>
      <c r="T187" s="113"/>
      <c r="U187" s="113"/>
      <c r="V187" s="113"/>
      <c r="W187" s="113"/>
      <c r="X187" s="113"/>
      <c r="Y187" s="18"/>
      <c r="Z187" s="18"/>
      <c r="AA187" s="18"/>
    </row>
    <row r="188">
      <c r="A188" s="112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2"/>
      <c r="Q188" s="112"/>
      <c r="R188" s="113"/>
      <c r="S188" s="113"/>
      <c r="T188" s="113"/>
      <c r="U188" s="113"/>
      <c r="V188" s="113"/>
      <c r="W188" s="113"/>
      <c r="X188" s="113"/>
      <c r="Y188" s="18"/>
      <c r="Z188" s="18"/>
      <c r="AA188" s="18"/>
    </row>
    <row r="189">
      <c r="A189" s="112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2"/>
      <c r="Q189" s="112"/>
      <c r="R189" s="113"/>
      <c r="S189" s="113"/>
      <c r="T189" s="113"/>
      <c r="U189" s="113"/>
      <c r="V189" s="113"/>
      <c r="W189" s="113"/>
      <c r="X189" s="113"/>
      <c r="Y189" s="18"/>
      <c r="Z189" s="18"/>
      <c r="AA189" s="18"/>
    </row>
    <row r="190">
      <c r="A190" s="112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2"/>
      <c r="Q190" s="112"/>
      <c r="R190" s="113"/>
      <c r="S190" s="113"/>
      <c r="T190" s="113"/>
      <c r="U190" s="113"/>
      <c r="V190" s="113"/>
      <c r="W190" s="113"/>
      <c r="X190" s="113"/>
      <c r="Y190" s="18"/>
      <c r="Z190" s="18"/>
      <c r="AA190" s="18"/>
    </row>
    <row r="191">
      <c r="A191" s="112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2"/>
      <c r="Q191" s="112"/>
      <c r="R191" s="113"/>
      <c r="S191" s="113"/>
      <c r="T191" s="113"/>
      <c r="U191" s="113"/>
      <c r="V191" s="113"/>
      <c r="W191" s="113"/>
      <c r="X191" s="113"/>
      <c r="Y191" s="18"/>
      <c r="Z191" s="18"/>
      <c r="AA191" s="18"/>
    </row>
    <row r="192">
      <c r="A192" s="112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2"/>
      <c r="Q192" s="112"/>
      <c r="R192" s="113"/>
      <c r="S192" s="113"/>
      <c r="T192" s="113"/>
      <c r="U192" s="113"/>
      <c r="V192" s="113"/>
      <c r="W192" s="113"/>
      <c r="X192" s="113"/>
      <c r="Y192" s="18"/>
      <c r="Z192" s="18"/>
      <c r="AA192" s="18"/>
    </row>
    <row r="193">
      <c r="A193" s="112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2"/>
      <c r="Q193" s="112"/>
      <c r="R193" s="113"/>
      <c r="S193" s="113"/>
      <c r="T193" s="113"/>
      <c r="U193" s="113"/>
      <c r="V193" s="113"/>
      <c r="W193" s="113"/>
      <c r="X193" s="113"/>
      <c r="Y193" s="18"/>
      <c r="Z193" s="18"/>
      <c r="AA193" s="18"/>
    </row>
    <row r="194">
      <c r="A194" s="112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2"/>
      <c r="Q194" s="112"/>
      <c r="R194" s="113"/>
      <c r="S194" s="113"/>
      <c r="T194" s="113"/>
      <c r="U194" s="113"/>
      <c r="V194" s="113"/>
      <c r="W194" s="113"/>
      <c r="X194" s="113"/>
      <c r="Y194" s="18"/>
      <c r="Z194" s="18"/>
      <c r="AA194" s="18"/>
    </row>
    <row r="195">
      <c r="A195" s="112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2"/>
      <c r="Q195" s="112"/>
      <c r="R195" s="113"/>
      <c r="S195" s="113"/>
      <c r="T195" s="113"/>
      <c r="U195" s="113"/>
      <c r="V195" s="113"/>
      <c r="W195" s="113"/>
      <c r="X195" s="113"/>
      <c r="Y195" s="18"/>
      <c r="Z195" s="18"/>
      <c r="AA195" s="18"/>
    </row>
    <row r="196">
      <c r="A196" s="112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2"/>
      <c r="Q196" s="112"/>
      <c r="R196" s="113"/>
      <c r="S196" s="113"/>
      <c r="T196" s="113"/>
      <c r="U196" s="113"/>
      <c r="V196" s="113"/>
      <c r="W196" s="113"/>
      <c r="X196" s="113"/>
      <c r="Y196" s="18"/>
      <c r="Z196" s="18"/>
      <c r="AA196" s="18"/>
    </row>
    <row r="197">
      <c r="A197" s="112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2"/>
      <c r="Q197" s="112"/>
      <c r="R197" s="113"/>
      <c r="S197" s="113"/>
      <c r="T197" s="113"/>
      <c r="U197" s="113"/>
      <c r="V197" s="113"/>
      <c r="W197" s="113"/>
      <c r="X197" s="113"/>
      <c r="Y197" s="18"/>
      <c r="Z197" s="18"/>
      <c r="AA197" s="18"/>
    </row>
    <row r="198">
      <c r="A198" s="112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2"/>
      <c r="Q198" s="112"/>
      <c r="R198" s="113"/>
      <c r="S198" s="113"/>
      <c r="T198" s="113"/>
      <c r="U198" s="113"/>
      <c r="V198" s="113"/>
      <c r="W198" s="113"/>
      <c r="X198" s="113"/>
      <c r="Y198" s="18"/>
      <c r="Z198" s="18"/>
      <c r="AA198" s="18"/>
    </row>
    <row r="199">
      <c r="A199" s="112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2"/>
      <c r="Q199" s="112"/>
      <c r="R199" s="113"/>
      <c r="S199" s="113"/>
      <c r="T199" s="113"/>
      <c r="U199" s="113"/>
      <c r="V199" s="113"/>
      <c r="W199" s="113"/>
      <c r="X199" s="113"/>
      <c r="Y199" s="18"/>
      <c r="Z199" s="18"/>
      <c r="AA199" s="18"/>
    </row>
    <row r="200">
      <c r="A200" s="112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2"/>
      <c r="Q200" s="112"/>
      <c r="R200" s="113"/>
      <c r="S200" s="113"/>
      <c r="T200" s="113"/>
      <c r="U200" s="113"/>
      <c r="V200" s="113"/>
      <c r="W200" s="113"/>
      <c r="X200" s="113"/>
      <c r="Y200" s="18"/>
      <c r="Z200" s="18"/>
      <c r="AA200" s="18"/>
    </row>
    <row r="201">
      <c r="A201" s="112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2"/>
      <c r="Q201" s="112"/>
      <c r="R201" s="113"/>
      <c r="S201" s="113"/>
      <c r="T201" s="113"/>
      <c r="U201" s="113"/>
      <c r="V201" s="113"/>
      <c r="W201" s="113"/>
      <c r="X201" s="113"/>
      <c r="Y201" s="18"/>
      <c r="Z201" s="18"/>
      <c r="AA201" s="18"/>
    </row>
    <row r="202">
      <c r="A202" s="112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2"/>
      <c r="Q202" s="112"/>
      <c r="R202" s="113"/>
      <c r="S202" s="113"/>
      <c r="T202" s="113"/>
      <c r="U202" s="113"/>
      <c r="V202" s="113"/>
      <c r="W202" s="113"/>
      <c r="X202" s="113"/>
      <c r="Y202" s="18"/>
      <c r="Z202" s="18"/>
      <c r="AA202" s="18"/>
    </row>
    <row r="203">
      <c r="A203" s="112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2"/>
      <c r="Q203" s="112"/>
      <c r="R203" s="113"/>
      <c r="S203" s="113"/>
      <c r="T203" s="113"/>
      <c r="U203" s="113"/>
      <c r="V203" s="113"/>
      <c r="W203" s="113"/>
      <c r="X203" s="113"/>
      <c r="Y203" s="18"/>
      <c r="Z203" s="18"/>
      <c r="AA203" s="18"/>
    </row>
    <row r="204">
      <c r="A204" s="112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2"/>
      <c r="Q204" s="112"/>
      <c r="R204" s="113"/>
      <c r="S204" s="113"/>
      <c r="T204" s="113"/>
      <c r="U204" s="113"/>
      <c r="V204" s="113"/>
      <c r="W204" s="113"/>
      <c r="X204" s="113"/>
      <c r="Y204" s="18"/>
      <c r="Z204" s="18"/>
      <c r="AA204" s="18"/>
    </row>
    <row r="205">
      <c r="A205" s="112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2"/>
      <c r="Q205" s="112"/>
      <c r="R205" s="113"/>
      <c r="S205" s="113"/>
      <c r="T205" s="113"/>
      <c r="U205" s="113"/>
      <c r="V205" s="113"/>
      <c r="W205" s="113"/>
      <c r="X205" s="113"/>
      <c r="Y205" s="18"/>
      <c r="Z205" s="18"/>
      <c r="AA205" s="18"/>
    </row>
    <row r="206">
      <c r="A206" s="112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2"/>
      <c r="Q206" s="112"/>
      <c r="R206" s="113"/>
      <c r="S206" s="113"/>
      <c r="T206" s="113"/>
      <c r="U206" s="113"/>
      <c r="V206" s="113"/>
      <c r="W206" s="113"/>
      <c r="X206" s="113"/>
      <c r="Y206" s="18"/>
      <c r="Z206" s="18"/>
      <c r="AA206" s="18"/>
    </row>
    <row r="207">
      <c r="A207" s="112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2"/>
      <c r="Q207" s="112"/>
      <c r="R207" s="113"/>
      <c r="S207" s="113"/>
      <c r="T207" s="113"/>
      <c r="U207" s="113"/>
      <c r="V207" s="113"/>
      <c r="W207" s="113"/>
      <c r="X207" s="113"/>
      <c r="Y207" s="18"/>
      <c r="Z207" s="18"/>
      <c r="AA207" s="18"/>
    </row>
    <row r="208">
      <c r="A208" s="112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2"/>
      <c r="Q208" s="112"/>
      <c r="R208" s="113"/>
      <c r="S208" s="113"/>
      <c r="T208" s="113"/>
      <c r="U208" s="113"/>
      <c r="V208" s="113"/>
      <c r="W208" s="113"/>
      <c r="X208" s="113"/>
      <c r="Y208" s="18"/>
      <c r="Z208" s="18"/>
      <c r="AA208" s="18"/>
    </row>
    <row r="209">
      <c r="A209" s="112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2"/>
      <c r="Q209" s="112"/>
      <c r="R209" s="113"/>
      <c r="S209" s="113"/>
      <c r="T209" s="113"/>
      <c r="U209" s="113"/>
      <c r="V209" s="113"/>
      <c r="W209" s="113"/>
      <c r="X209" s="113"/>
      <c r="Y209" s="18"/>
      <c r="Z209" s="18"/>
      <c r="AA209" s="18"/>
    </row>
    <row r="210">
      <c r="A210" s="112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2"/>
      <c r="Q210" s="112"/>
      <c r="R210" s="113"/>
      <c r="S210" s="113"/>
      <c r="T210" s="113"/>
      <c r="U210" s="113"/>
      <c r="V210" s="113"/>
      <c r="W210" s="113"/>
      <c r="X210" s="113"/>
      <c r="Y210" s="18"/>
      <c r="Z210" s="18"/>
      <c r="AA210" s="18"/>
    </row>
    <row r="211">
      <c r="A211" s="112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2"/>
      <c r="Q211" s="112"/>
      <c r="R211" s="113"/>
      <c r="S211" s="113"/>
      <c r="T211" s="113"/>
      <c r="U211" s="113"/>
      <c r="V211" s="113"/>
      <c r="W211" s="113"/>
      <c r="X211" s="113"/>
      <c r="Y211" s="18"/>
      <c r="Z211" s="18"/>
      <c r="AA211" s="18"/>
    </row>
    <row r="212">
      <c r="A212" s="112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2"/>
      <c r="Q212" s="112"/>
      <c r="R212" s="113"/>
      <c r="S212" s="113"/>
      <c r="T212" s="113"/>
      <c r="U212" s="113"/>
      <c r="V212" s="113"/>
      <c r="W212" s="113"/>
      <c r="X212" s="113"/>
      <c r="Y212" s="18"/>
      <c r="Z212" s="18"/>
      <c r="AA212" s="18"/>
    </row>
    <row r="213">
      <c r="A213" s="112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2"/>
      <c r="Q213" s="112"/>
      <c r="R213" s="113"/>
      <c r="S213" s="113"/>
      <c r="T213" s="113"/>
      <c r="U213" s="113"/>
      <c r="V213" s="113"/>
      <c r="W213" s="113"/>
      <c r="X213" s="113"/>
      <c r="Y213" s="18"/>
      <c r="Z213" s="18"/>
      <c r="AA213" s="18"/>
    </row>
    <row r="214">
      <c r="A214" s="112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2"/>
      <c r="Q214" s="112"/>
      <c r="R214" s="113"/>
      <c r="S214" s="113"/>
      <c r="T214" s="113"/>
      <c r="U214" s="113"/>
      <c r="V214" s="113"/>
      <c r="W214" s="113"/>
      <c r="X214" s="113"/>
      <c r="Y214" s="18"/>
      <c r="Z214" s="18"/>
      <c r="AA214" s="18"/>
    </row>
    <row r="215">
      <c r="A215" s="112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2"/>
      <c r="Q215" s="112"/>
      <c r="R215" s="113"/>
      <c r="S215" s="113"/>
      <c r="T215" s="113"/>
      <c r="U215" s="113"/>
      <c r="V215" s="113"/>
      <c r="W215" s="113"/>
      <c r="X215" s="113"/>
      <c r="Y215" s="18"/>
      <c r="Z215" s="18"/>
      <c r="AA215" s="18"/>
    </row>
    <row r="216">
      <c r="A216" s="112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2"/>
      <c r="Q216" s="112"/>
      <c r="R216" s="113"/>
      <c r="S216" s="113"/>
      <c r="T216" s="113"/>
      <c r="U216" s="113"/>
      <c r="V216" s="113"/>
      <c r="W216" s="113"/>
      <c r="X216" s="113"/>
      <c r="Y216" s="18"/>
      <c r="Z216" s="18"/>
      <c r="AA216" s="18"/>
    </row>
    <row r="217">
      <c r="A217" s="112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2"/>
      <c r="Q217" s="112"/>
      <c r="R217" s="113"/>
      <c r="S217" s="113"/>
      <c r="T217" s="113"/>
      <c r="U217" s="113"/>
      <c r="V217" s="113"/>
      <c r="W217" s="113"/>
      <c r="X217" s="113"/>
      <c r="Y217" s="18"/>
      <c r="Z217" s="18"/>
      <c r="AA217" s="18"/>
    </row>
    <row r="218">
      <c r="A218" s="112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2"/>
      <c r="Q218" s="112"/>
      <c r="R218" s="113"/>
      <c r="S218" s="113"/>
      <c r="T218" s="113"/>
      <c r="U218" s="113"/>
      <c r="V218" s="113"/>
      <c r="W218" s="113"/>
      <c r="X218" s="113"/>
      <c r="Y218" s="18"/>
      <c r="Z218" s="18"/>
      <c r="AA218" s="18"/>
    </row>
    <row r="219">
      <c r="A219" s="112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2"/>
      <c r="Q219" s="112"/>
      <c r="R219" s="113"/>
      <c r="S219" s="113"/>
      <c r="T219" s="113"/>
      <c r="U219" s="113"/>
      <c r="V219" s="113"/>
      <c r="W219" s="113"/>
      <c r="X219" s="113"/>
      <c r="Y219" s="18"/>
      <c r="Z219" s="18"/>
      <c r="AA219" s="18"/>
    </row>
    <row r="220">
      <c r="A220" s="112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2"/>
      <c r="Q220" s="112"/>
      <c r="R220" s="113"/>
      <c r="S220" s="113"/>
      <c r="T220" s="113"/>
      <c r="U220" s="113"/>
      <c r="V220" s="113"/>
      <c r="W220" s="113"/>
      <c r="X220" s="113"/>
      <c r="Y220" s="18"/>
      <c r="Z220" s="18"/>
      <c r="AA220" s="18"/>
    </row>
    <row r="221">
      <c r="A221" s="112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2"/>
      <c r="Q221" s="112"/>
      <c r="R221" s="113"/>
      <c r="S221" s="113"/>
      <c r="T221" s="113"/>
      <c r="U221" s="113"/>
      <c r="V221" s="113"/>
      <c r="W221" s="113"/>
      <c r="X221" s="113"/>
      <c r="Y221" s="18"/>
      <c r="Z221" s="18"/>
      <c r="AA221" s="18"/>
    </row>
    <row r="222">
      <c r="A222" s="112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2"/>
      <c r="Q222" s="112"/>
      <c r="R222" s="113"/>
      <c r="S222" s="113"/>
      <c r="T222" s="113"/>
      <c r="U222" s="113"/>
      <c r="V222" s="113"/>
      <c r="W222" s="113"/>
      <c r="X222" s="113"/>
      <c r="Y222" s="18"/>
      <c r="Z222" s="18"/>
      <c r="AA222" s="18"/>
    </row>
    <row r="223">
      <c r="A223" s="112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2"/>
      <c r="Q223" s="112"/>
      <c r="R223" s="113"/>
      <c r="S223" s="113"/>
      <c r="T223" s="113"/>
      <c r="U223" s="113"/>
      <c r="V223" s="113"/>
      <c r="W223" s="113"/>
      <c r="X223" s="113"/>
      <c r="Y223" s="18"/>
      <c r="Z223" s="18"/>
      <c r="AA223" s="18"/>
    </row>
    <row r="224">
      <c r="A224" s="112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2"/>
      <c r="Q224" s="112"/>
      <c r="R224" s="113"/>
      <c r="S224" s="113"/>
      <c r="T224" s="113"/>
      <c r="U224" s="113"/>
      <c r="V224" s="113"/>
      <c r="W224" s="113"/>
      <c r="X224" s="113"/>
      <c r="Y224" s="18"/>
      <c r="Z224" s="18"/>
      <c r="AA224" s="18"/>
    </row>
    <row r="225">
      <c r="A225" s="112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2"/>
      <c r="Q225" s="112"/>
      <c r="R225" s="113"/>
      <c r="S225" s="113"/>
      <c r="T225" s="113"/>
      <c r="U225" s="113"/>
      <c r="V225" s="113"/>
      <c r="W225" s="113"/>
      <c r="X225" s="113"/>
      <c r="Y225" s="18"/>
      <c r="Z225" s="18"/>
      <c r="AA225" s="18"/>
    </row>
    <row r="226">
      <c r="A226" s="112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2"/>
      <c r="Q226" s="112"/>
      <c r="R226" s="113"/>
      <c r="S226" s="113"/>
      <c r="T226" s="113"/>
      <c r="U226" s="113"/>
      <c r="V226" s="113"/>
      <c r="W226" s="113"/>
      <c r="X226" s="113"/>
      <c r="Y226" s="18"/>
      <c r="Z226" s="18"/>
      <c r="AA226" s="18"/>
    </row>
    <row r="227">
      <c r="A227" s="112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2"/>
      <c r="Q227" s="112"/>
      <c r="R227" s="113"/>
      <c r="S227" s="113"/>
      <c r="T227" s="113"/>
      <c r="U227" s="113"/>
      <c r="V227" s="113"/>
      <c r="W227" s="113"/>
      <c r="X227" s="113"/>
      <c r="Y227" s="18"/>
      <c r="Z227" s="18"/>
      <c r="AA227" s="18"/>
    </row>
    <row r="228">
      <c r="A228" s="112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2"/>
      <c r="Q228" s="112"/>
      <c r="R228" s="113"/>
      <c r="S228" s="113"/>
      <c r="T228" s="113"/>
      <c r="U228" s="113"/>
      <c r="V228" s="113"/>
      <c r="W228" s="113"/>
      <c r="X228" s="113"/>
      <c r="Y228" s="18"/>
      <c r="Z228" s="18"/>
      <c r="AA228" s="18"/>
    </row>
    <row r="229">
      <c r="A229" s="112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2"/>
      <c r="Q229" s="112"/>
      <c r="R229" s="113"/>
      <c r="S229" s="113"/>
      <c r="T229" s="113"/>
      <c r="U229" s="113"/>
      <c r="V229" s="113"/>
      <c r="W229" s="113"/>
      <c r="X229" s="113"/>
      <c r="Y229" s="18"/>
      <c r="Z229" s="18"/>
      <c r="AA229" s="18"/>
    </row>
    <row r="230">
      <c r="A230" s="112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2"/>
      <c r="Q230" s="112"/>
      <c r="R230" s="113"/>
      <c r="S230" s="113"/>
      <c r="T230" s="113"/>
      <c r="U230" s="113"/>
      <c r="V230" s="113"/>
      <c r="W230" s="113"/>
      <c r="X230" s="113"/>
      <c r="Y230" s="18"/>
      <c r="Z230" s="18"/>
      <c r="AA230" s="18"/>
    </row>
    <row r="231">
      <c r="A231" s="112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2"/>
      <c r="Q231" s="112"/>
      <c r="R231" s="113"/>
      <c r="S231" s="113"/>
      <c r="T231" s="113"/>
      <c r="U231" s="113"/>
      <c r="V231" s="113"/>
      <c r="W231" s="113"/>
      <c r="X231" s="113"/>
      <c r="Y231" s="18"/>
      <c r="Z231" s="18"/>
      <c r="AA231" s="18"/>
    </row>
    <row r="232">
      <c r="A232" s="112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2"/>
      <c r="Q232" s="112"/>
      <c r="R232" s="113"/>
      <c r="S232" s="113"/>
      <c r="T232" s="113"/>
      <c r="U232" s="113"/>
      <c r="V232" s="113"/>
      <c r="W232" s="113"/>
      <c r="X232" s="113"/>
      <c r="Y232" s="18"/>
      <c r="Z232" s="18"/>
      <c r="AA232" s="18"/>
    </row>
    <row r="233">
      <c r="A233" s="112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2"/>
      <c r="Q233" s="112"/>
      <c r="R233" s="113"/>
      <c r="S233" s="113"/>
      <c r="T233" s="113"/>
      <c r="U233" s="113"/>
      <c r="V233" s="113"/>
      <c r="W233" s="113"/>
      <c r="X233" s="113"/>
      <c r="Y233" s="18"/>
      <c r="Z233" s="18"/>
      <c r="AA233" s="18"/>
    </row>
    <row r="234">
      <c r="A234" s="112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2"/>
      <c r="Q234" s="112"/>
      <c r="R234" s="113"/>
      <c r="S234" s="113"/>
      <c r="T234" s="113"/>
      <c r="U234" s="113"/>
      <c r="V234" s="113"/>
      <c r="W234" s="113"/>
      <c r="X234" s="113"/>
      <c r="Y234" s="18"/>
      <c r="Z234" s="18"/>
      <c r="AA234" s="18"/>
    </row>
    <row r="235">
      <c r="A235" s="112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2"/>
      <c r="Q235" s="112"/>
      <c r="R235" s="113"/>
      <c r="S235" s="113"/>
      <c r="T235" s="113"/>
      <c r="U235" s="113"/>
      <c r="V235" s="113"/>
      <c r="W235" s="113"/>
      <c r="X235" s="113"/>
      <c r="Y235" s="18"/>
      <c r="Z235" s="18"/>
      <c r="AA235" s="18"/>
    </row>
    <row r="236">
      <c r="A236" s="112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2"/>
      <c r="Q236" s="112"/>
      <c r="R236" s="113"/>
      <c r="S236" s="113"/>
      <c r="T236" s="113"/>
      <c r="U236" s="113"/>
      <c r="V236" s="113"/>
      <c r="W236" s="113"/>
      <c r="X236" s="113"/>
      <c r="Y236" s="18"/>
      <c r="Z236" s="18"/>
      <c r="AA236" s="18"/>
    </row>
    <row r="237">
      <c r="A237" s="112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2"/>
      <c r="Q237" s="112"/>
      <c r="R237" s="113"/>
      <c r="S237" s="113"/>
      <c r="T237" s="113"/>
      <c r="U237" s="113"/>
      <c r="V237" s="113"/>
      <c r="W237" s="113"/>
      <c r="X237" s="113"/>
      <c r="Y237" s="18"/>
      <c r="Z237" s="18"/>
      <c r="AA237" s="18"/>
    </row>
    <row r="238">
      <c r="A238" s="112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2"/>
      <c r="Q238" s="112"/>
      <c r="R238" s="113"/>
      <c r="S238" s="113"/>
      <c r="T238" s="113"/>
      <c r="U238" s="113"/>
      <c r="V238" s="113"/>
      <c r="W238" s="113"/>
      <c r="X238" s="113"/>
      <c r="Y238" s="18"/>
      <c r="Z238" s="18"/>
      <c r="AA238" s="18"/>
    </row>
    <row r="239">
      <c r="A239" s="112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2"/>
      <c r="Q239" s="112"/>
      <c r="R239" s="113"/>
      <c r="S239" s="113"/>
      <c r="T239" s="113"/>
      <c r="U239" s="113"/>
      <c r="V239" s="113"/>
      <c r="W239" s="113"/>
      <c r="X239" s="113"/>
      <c r="Y239" s="18"/>
      <c r="Z239" s="18"/>
      <c r="AA239" s="18"/>
    </row>
    <row r="240">
      <c r="A240" s="112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2"/>
      <c r="Q240" s="112"/>
      <c r="R240" s="113"/>
      <c r="S240" s="113"/>
      <c r="T240" s="113"/>
      <c r="U240" s="113"/>
      <c r="V240" s="113"/>
      <c r="W240" s="113"/>
      <c r="X240" s="113"/>
      <c r="Y240" s="18"/>
      <c r="Z240" s="18"/>
      <c r="AA240" s="18"/>
    </row>
    <row r="241">
      <c r="A241" s="112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2"/>
      <c r="Q241" s="112"/>
      <c r="R241" s="113"/>
      <c r="S241" s="113"/>
      <c r="T241" s="113"/>
      <c r="U241" s="113"/>
      <c r="V241" s="113"/>
      <c r="W241" s="113"/>
      <c r="X241" s="113"/>
      <c r="Y241" s="18"/>
      <c r="Z241" s="18"/>
      <c r="AA241" s="18"/>
    </row>
    <row r="242">
      <c r="A242" s="112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2"/>
      <c r="Q242" s="112"/>
      <c r="R242" s="113"/>
      <c r="S242" s="113"/>
      <c r="T242" s="113"/>
      <c r="U242" s="113"/>
      <c r="V242" s="113"/>
      <c r="W242" s="113"/>
      <c r="X242" s="113"/>
      <c r="Y242" s="18"/>
      <c r="Z242" s="18"/>
      <c r="AA242" s="18"/>
    </row>
    <row r="243">
      <c r="A243" s="112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2"/>
      <c r="Q243" s="112"/>
      <c r="R243" s="113"/>
      <c r="S243" s="113"/>
      <c r="T243" s="113"/>
      <c r="U243" s="113"/>
      <c r="V243" s="113"/>
      <c r="W243" s="113"/>
      <c r="X243" s="113"/>
      <c r="Y243" s="18"/>
      <c r="Z243" s="18"/>
      <c r="AA243" s="18"/>
    </row>
    <row r="244">
      <c r="A244" s="112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2"/>
      <c r="Q244" s="112"/>
      <c r="R244" s="113"/>
      <c r="S244" s="113"/>
      <c r="T244" s="113"/>
      <c r="U244" s="113"/>
      <c r="V244" s="113"/>
      <c r="W244" s="113"/>
      <c r="X244" s="113"/>
      <c r="Y244" s="18"/>
      <c r="Z244" s="18"/>
      <c r="AA244" s="18"/>
    </row>
    <row r="245">
      <c r="A245" s="112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2"/>
      <c r="Q245" s="112"/>
      <c r="R245" s="113"/>
      <c r="S245" s="113"/>
      <c r="T245" s="113"/>
      <c r="U245" s="113"/>
      <c r="V245" s="113"/>
      <c r="W245" s="113"/>
      <c r="X245" s="113"/>
      <c r="Y245" s="18"/>
      <c r="Z245" s="18"/>
      <c r="AA245" s="18"/>
    </row>
    <row r="246">
      <c r="A246" s="112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2"/>
      <c r="Q246" s="112"/>
      <c r="R246" s="113"/>
      <c r="S246" s="113"/>
      <c r="T246" s="113"/>
      <c r="U246" s="113"/>
      <c r="V246" s="113"/>
      <c r="W246" s="113"/>
      <c r="X246" s="113"/>
      <c r="Y246" s="18"/>
      <c r="Z246" s="18"/>
      <c r="AA246" s="18"/>
    </row>
    <row r="247">
      <c r="A247" s="112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2"/>
      <c r="Q247" s="112"/>
      <c r="R247" s="113"/>
      <c r="S247" s="113"/>
      <c r="T247" s="113"/>
      <c r="U247" s="113"/>
      <c r="V247" s="113"/>
      <c r="W247" s="113"/>
      <c r="X247" s="113"/>
      <c r="Y247" s="18"/>
      <c r="Z247" s="18"/>
      <c r="AA247" s="18"/>
    </row>
    <row r="248">
      <c r="A248" s="112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2"/>
      <c r="Q248" s="112"/>
      <c r="R248" s="113"/>
      <c r="S248" s="113"/>
      <c r="T248" s="113"/>
      <c r="U248" s="113"/>
      <c r="V248" s="113"/>
      <c r="W248" s="113"/>
      <c r="X248" s="113"/>
      <c r="Y248" s="18"/>
      <c r="Z248" s="18"/>
      <c r="AA248" s="18"/>
    </row>
    <row r="249">
      <c r="A249" s="112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2"/>
      <c r="Q249" s="112"/>
      <c r="R249" s="113"/>
      <c r="S249" s="113"/>
      <c r="T249" s="113"/>
      <c r="U249" s="113"/>
      <c r="V249" s="113"/>
      <c r="W249" s="113"/>
      <c r="X249" s="113"/>
      <c r="Y249" s="18"/>
      <c r="Z249" s="18"/>
      <c r="AA249" s="18"/>
    </row>
    <row r="250">
      <c r="A250" s="112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2"/>
      <c r="Q250" s="112"/>
      <c r="R250" s="113"/>
      <c r="S250" s="113"/>
      <c r="T250" s="113"/>
      <c r="U250" s="113"/>
      <c r="V250" s="113"/>
      <c r="W250" s="113"/>
      <c r="X250" s="113"/>
      <c r="Y250" s="18"/>
      <c r="Z250" s="18"/>
      <c r="AA250" s="18"/>
    </row>
    <row r="251">
      <c r="A251" s="112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2"/>
      <c r="Q251" s="112"/>
      <c r="R251" s="113"/>
      <c r="S251" s="113"/>
      <c r="T251" s="113"/>
      <c r="U251" s="113"/>
      <c r="V251" s="113"/>
      <c r="W251" s="113"/>
      <c r="X251" s="113"/>
      <c r="Y251" s="18"/>
      <c r="Z251" s="18"/>
      <c r="AA251" s="18"/>
    </row>
    <row r="252">
      <c r="A252" s="112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2"/>
      <c r="Q252" s="112"/>
      <c r="R252" s="113"/>
      <c r="S252" s="113"/>
      <c r="T252" s="113"/>
      <c r="U252" s="113"/>
      <c r="V252" s="113"/>
      <c r="W252" s="113"/>
      <c r="X252" s="113"/>
      <c r="Y252" s="18"/>
      <c r="Z252" s="18"/>
      <c r="AA252" s="18"/>
    </row>
    <row r="253">
      <c r="A253" s="112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2"/>
      <c r="Q253" s="112"/>
      <c r="R253" s="113"/>
      <c r="S253" s="113"/>
      <c r="T253" s="113"/>
      <c r="U253" s="113"/>
      <c r="V253" s="113"/>
      <c r="W253" s="113"/>
      <c r="X253" s="113"/>
      <c r="Y253" s="18"/>
      <c r="Z253" s="18"/>
      <c r="AA253" s="18"/>
    </row>
    <row r="254">
      <c r="A254" s="112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2"/>
      <c r="Q254" s="112"/>
      <c r="R254" s="113"/>
      <c r="S254" s="113"/>
      <c r="T254" s="113"/>
      <c r="U254" s="113"/>
      <c r="V254" s="113"/>
      <c r="W254" s="113"/>
      <c r="X254" s="113"/>
      <c r="Y254" s="18"/>
      <c r="Z254" s="18"/>
      <c r="AA254" s="18"/>
    </row>
    <row r="255">
      <c r="A255" s="112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2"/>
      <c r="Q255" s="112"/>
      <c r="R255" s="113"/>
      <c r="S255" s="113"/>
      <c r="T255" s="113"/>
      <c r="U255" s="113"/>
      <c r="V255" s="113"/>
      <c r="W255" s="113"/>
      <c r="X255" s="113"/>
      <c r="Y255" s="18"/>
      <c r="Z255" s="18"/>
      <c r="AA255" s="18"/>
    </row>
    <row r="256">
      <c r="A256" s="112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2"/>
      <c r="Q256" s="112"/>
      <c r="R256" s="113"/>
      <c r="S256" s="113"/>
      <c r="T256" s="113"/>
      <c r="U256" s="113"/>
      <c r="V256" s="113"/>
      <c r="W256" s="113"/>
      <c r="X256" s="113"/>
      <c r="Y256" s="18"/>
      <c r="Z256" s="18"/>
      <c r="AA256" s="18"/>
    </row>
    <row r="257">
      <c r="A257" s="112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2"/>
      <c r="Q257" s="112"/>
      <c r="R257" s="113"/>
      <c r="S257" s="113"/>
      <c r="T257" s="113"/>
      <c r="U257" s="113"/>
      <c r="V257" s="113"/>
      <c r="W257" s="113"/>
      <c r="X257" s="113"/>
      <c r="Y257" s="18"/>
      <c r="Z257" s="18"/>
      <c r="AA257" s="18"/>
    </row>
    <row r="258">
      <c r="A258" s="112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2"/>
      <c r="Q258" s="112"/>
      <c r="R258" s="113"/>
      <c r="S258" s="113"/>
      <c r="T258" s="113"/>
      <c r="U258" s="113"/>
      <c r="V258" s="113"/>
      <c r="W258" s="113"/>
      <c r="X258" s="113"/>
      <c r="Y258" s="18"/>
      <c r="Z258" s="18"/>
      <c r="AA258" s="18"/>
    </row>
    <row r="259">
      <c r="A259" s="112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2"/>
      <c r="Q259" s="112"/>
      <c r="R259" s="113"/>
      <c r="S259" s="113"/>
      <c r="T259" s="113"/>
      <c r="U259" s="113"/>
      <c r="V259" s="113"/>
      <c r="W259" s="113"/>
      <c r="X259" s="113"/>
      <c r="Y259" s="18"/>
      <c r="Z259" s="18"/>
      <c r="AA259" s="18"/>
    </row>
    <row r="260">
      <c r="A260" s="112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2"/>
      <c r="Q260" s="112"/>
      <c r="R260" s="113"/>
      <c r="S260" s="113"/>
      <c r="T260" s="113"/>
      <c r="U260" s="113"/>
      <c r="V260" s="113"/>
      <c r="W260" s="113"/>
      <c r="X260" s="113"/>
      <c r="Y260" s="18"/>
      <c r="Z260" s="18"/>
      <c r="AA260" s="18"/>
    </row>
    <row r="261">
      <c r="A261" s="112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2"/>
      <c r="Q261" s="112"/>
      <c r="R261" s="113"/>
      <c r="S261" s="113"/>
      <c r="T261" s="113"/>
      <c r="U261" s="113"/>
      <c r="V261" s="113"/>
      <c r="W261" s="113"/>
      <c r="X261" s="113"/>
      <c r="Y261" s="18"/>
      <c r="Z261" s="18"/>
      <c r="AA261" s="18"/>
    </row>
    <row r="262">
      <c r="A262" s="112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2"/>
      <c r="Q262" s="112"/>
      <c r="R262" s="113"/>
      <c r="S262" s="113"/>
      <c r="T262" s="113"/>
      <c r="U262" s="113"/>
      <c r="V262" s="113"/>
      <c r="W262" s="113"/>
      <c r="X262" s="113"/>
      <c r="Y262" s="18"/>
      <c r="Z262" s="18"/>
      <c r="AA262" s="18"/>
    </row>
    <row r="263">
      <c r="A263" s="112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2"/>
      <c r="Q263" s="112"/>
      <c r="R263" s="113"/>
      <c r="S263" s="113"/>
      <c r="T263" s="113"/>
      <c r="U263" s="113"/>
      <c r="V263" s="113"/>
      <c r="W263" s="113"/>
      <c r="X263" s="113"/>
      <c r="Y263" s="18"/>
      <c r="Z263" s="18"/>
      <c r="AA263" s="18"/>
    </row>
    <row r="264">
      <c r="A264" s="112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2"/>
      <c r="Q264" s="112"/>
      <c r="R264" s="113"/>
      <c r="S264" s="113"/>
      <c r="T264" s="113"/>
      <c r="U264" s="113"/>
      <c r="V264" s="113"/>
      <c r="W264" s="113"/>
      <c r="X264" s="113"/>
      <c r="Y264" s="18"/>
      <c r="Z264" s="18"/>
      <c r="AA264" s="18"/>
    </row>
    <row r="265">
      <c r="A265" s="112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2"/>
      <c r="Q265" s="112"/>
      <c r="R265" s="113"/>
      <c r="S265" s="113"/>
      <c r="T265" s="113"/>
      <c r="U265" s="113"/>
      <c r="V265" s="113"/>
      <c r="W265" s="113"/>
      <c r="X265" s="113"/>
      <c r="Y265" s="18"/>
      <c r="Z265" s="18"/>
      <c r="AA265" s="18"/>
    </row>
    <row r="266">
      <c r="A266" s="112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2"/>
      <c r="Q266" s="112"/>
      <c r="R266" s="113"/>
      <c r="S266" s="113"/>
      <c r="T266" s="113"/>
      <c r="U266" s="113"/>
      <c r="V266" s="113"/>
      <c r="W266" s="113"/>
      <c r="X266" s="113"/>
      <c r="Y266" s="18"/>
      <c r="Z266" s="18"/>
      <c r="AA266" s="18"/>
    </row>
    <row r="267">
      <c r="A267" s="112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2"/>
      <c r="Q267" s="112"/>
      <c r="R267" s="113"/>
      <c r="S267" s="113"/>
      <c r="T267" s="113"/>
      <c r="U267" s="113"/>
      <c r="V267" s="113"/>
      <c r="W267" s="113"/>
      <c r="X267" s="113"/>
      <c r="Y267" s="18"/>
      <c r="Z267" s="18"/>
      <c r="AA267" s="18"/>
    </row>
    <row r="268">
      <c r="A268" s="112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2"/>
      <c r="Q268" s="112"/>
      <c r="R268" s="113"/>
      <c r="S268" s="113"/>
      <c r="T268" s="113"/>
      <c r="U268" s="113"/>
      <c r="V268" s="113"/>
      <c r="W268" s="113"/>
      <c r="X268" s="113"/>
      <c r="Y268" s="18"/>
      <c r="Z268" s="18"/>
      <c r="AA268" s="18"/>
    </row>
    <row r="269">
      <c r="A269" s="112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2"/>
      <c r="Q269" s="112"/>
      <c r="R269" s="113"/>
      <c r="S269" s="113"/>
      <c r="T269" s="113"/>
      <c r="U269" s="113"/>
      <c r="V269" s="113"/>
      <c r="W269" s="113"/>
      <c r="X269" s="113"/>
      <c r="Y269" s="18"/>
      <c r="Z269" s="18"/>
      <c r="AA269" s="18"/>
    </row>
    <row r="270">
      <c r="A270" s="112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2"/>
      <c r="Q270" s="112"/>
      <c r="R270" s="113"/>
      <c r="S270" s="113"/>
      <c r="T270" s="113"/>
      <c r="U270" s="113"/>
      <c r="V270" s="113"/>
      <c r="W270" s="113"/>
      <c r="X270" s="113"/>
      <c r="Y270" s="18"/>
      <c r="Z270" s="18"/>
      <c r="AA270" s="18"/>
    </row>
    <row r="271">
      <c r="A271" s="112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2"/>
      <c r="Q271" s="112"/>
      <c r="R271" s="113"/>
      <c r="S271" s="113"/>
      <c r="T271" s="113"/>
      <c r="U271" s="113"/>
      <c r="V271" s="113"/>
      <c r="W271" s="113"/>
      <c r="X271" s="113"/>
      <c r="Y271" s="18"/>
      <c r="Z271" s="18"/>
      <c r="AA271" s="18"/>
    </row>
    <row r="272">
      <c r="A272" s="112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2"/>
      <c r="Q272" s="112"/>
      <c r="R272" s="113"/>
      <c r="S272" s="113"/>
      <c r="T272" s="113"/>
      <c r="U272" s="113"/>
      <c r="V272" s="113"/>
      <c r="W272" s="113"/>
      <c r="X272" s="113"/>
      <c r="Y272" s="18"/>
      <c r="Z272" s="18"/>
      <c r="AA272" s="18"/>
    </row>
    <row r="273">
      <c r="A273" s="112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2"/>
      <c r="Q273" s="112"/>
      <c r="R273" s="113"/>
      <c r="S273" s="113"/>
      <c r="T273" s="113"/>
      <c r="U273" s="113"/>
      <c r="V273" s="113"/>
      <c r="W273" s="113"/>
      <c r="X273" s="113"/>
      <c r="Y273" s="18"/>
      <c r="Z273" s="18"/>
      <c r="AA273" s="18"/>
    </row>
    <row r="274">
      <c r="A274" s="112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2"/>
      <c r="Q274" s="112"/>
      <c r="R274" s="113"/>
      <c r="S274" s="113"/>
      <c r="T274" s="113"/>
      <c r="U274" s="113"/>
      <c r="V274" s="113"/>
      <c r="W274" s="113"/>
      <c r="X274" s="113"/>
      <c r="Y274" s="18"/>
      <c r="Z274" s="18"/>
      <c r="AA274" s="18"/>
    </row>
    <row r="275">
      <c r="A275" s="112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2"/>
      <c r="Q275" s="112"/>
      <c r="R275" s="113"/>
      <c r="S275" s="113"/>
      <c r="T275" s="113"/>
      <c r="U275" s="113"/>
      <c r="V275" s="113"/>
      <c r="W275" s="113"/>
      <c r="X275" s="113"/>
      <c r="Y275" s="18"/>
      <c r="Z275" s="18"/>
      <c r="AA275" s="18"/>
    </row>
    <row r="276">
      <c r="A276" s="112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2"/>
      <c r="Q276" s="112"/>
      <c r="R276" s="113"/>
      <c r="S276" s="113"/>
      <c r="T276" s="113"/>
      <c r="U276" s="113"/>
      <c r="V276" s="113"/>
      <c r="W276" s="113"/>
      <c r="X276" s="113"/>
      <c r="Y276" s="18"/>
      <c r="Z276" s="18"/>
      <c r="AA276" s="18"/>
    </row>
    <row r="277">
      <c r="A277" s="112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2"/>
      <c r="Q277" s="112"/>
      <c r="R277" s="113"/>
      <c r="S277" s="113"/>
      <c r="T277" s="113"/>
      <c r="U277" s="113"/>
      <c r="V277" s="113"/>
      <c r="W277" s="113"/>
      <c r="X277" s="113"/>
      <c r="Y277" s="18"/>
      <c r="Z277" s="18"/>
      <c r="AA277" s="18"/>
    </row>
    <row r="278">
      <c r="A278" s="112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2"/>
      <c r="Q278" s="112"/>
      <c r="R278" s="113"/>
      <c r="S278" s="113"/>
      <c r="T278" s="113"/>
      <c r="U278" s="113"/>
      <c r="V278" s="113"/>
      <c r="W278" s="113"/>
      <c r="X278" s="113"/>
      <c r="Y278" s="18"/>
      <c r="Z278" s="18"/>
      <c r="AA278" s="18"/>
    </row>
    <row r="279">
      <c r="A279" s="112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2"/>
      <c r="Q279" s="112"/>
      <c r="R279" s="113"/>
      <c r="S279" s="113"/>
      <c r="T279" s="113"/>
      <c r="U279" s="113"/>
      <c r="V279" s="113"/>
      <c r="W279" s="113"/>
      <c r="X279" s="113"/>
      <c r="Y279" s="18"/>
      <c r="Z279" s="18"/>
      <c r="AA279" s="18"/>
    </row>
    <row r="280">
      <c r="A280" s="112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2"/>
      <c r="Q280" s="112"/>
      <c r="R280" s="113"/>
      <c r="S280" s="113"/>
      <c r="T280" s="113"/>
      <c r="U280" s="113"/>
      <c r="V280" s="113"/>
      <c r="W280" s="113"/>
      <c r="X280" s="113"/>
      <c r="Y280" s="18"/>
      <c r="Z280" s="18"/>
      <c r="AA280" s="18"/>
    </row>
    <row r="281">
      <c r="A281" s="112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2"/>
      <c r="Q281" s="112"/>
      <c r="R281" s="113"/>
      <c r="S281" s="113"/>
      <c r="T281" s="113"/>
      <c r="U281" s="113"/>
      <c r="V281" s="113"/>
      <c r="W281" s="113"/>
      <c r="X281" s="113"/>
      <c r="Y281" s="18"/>
      <c r="Z281" s="18"/>
      <c r="AA281" s="18"/>
    </row>
    <row r="282">
      <c r="A282" s="112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2"/>
      <c r="Q282" s="112"/>
      <c r="R282" s="113"/>
      <c r="S282" s="113"/>
      <c r="T282" s="113"/>
      <c r="U282" s="113"/>
      <c r="V282" s="113"/>
      <c r="W282" s="113"/>
      <c r="X282" s="113"/>
      <c r="Y282" s="18"/>
      <c r="Z282" s="18"/>
      <c r="AA282" s="18"/>
    </row>
    <row r="283">
      <c r="A283" s="112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2"/>
      <c r="Q283" s="112"/>
      <c r="R283" s="113"/>
      <c r="S283" s="113"/>
      <c r="T283" s="113"/>
      <c r="U283" s="113"/>
      <c r="V283" s="113"/>
      <c r="W283" s="113"/>
      <c r="X283" s="113"/>
      <c r="Y283" s="18"/>
      <c r="Z283" s="18"/>
      <c r="AA283" s="18"/>
    </row>
    <row r="284">
      <c r="A284" s="112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2"/>
      <c r="Q284" s="112"/>
      <c r="R284" s="113"/>
      <c r="S284" s="113"/>
      <c r="T284" s="113"/>
      <c r="U284" s="113"/>
      <c r="V284" s="113"/>
      <c r="W284" s="113"/>
      <c r="X284" s="113"/>
      <c r="Y284" s="18"/>
      <c r="Z284" s="18"/>
      <c r="AA284" s="18"/>
    </row>
    <row r="285">
      <c r="A285" s="112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2"/>
      <c r="Q285" s="112"/>
      <c r="R285" s="113"/>
      <c r="S285" s="113"/>
      <c r="T285" s="113"/>
      <c r="U285" s="113"/>
      <c r="V285" s="113"/>
      <c r="W285" s="113"/>
      <c r="X285" s="113"/>
      <c r="Y285" s="18"/>
      <c r="Z285" s="18"/>
      <c r="AA285" s="18"/>
    </row>
    <row r="286">
      <c r="A286" s="112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2"/>
      <c r="Q286" s="112"/>
      <c r="R286" s="113"/>
      <c r="S286" s="113"/>
      <c r="T286" s="113"/>
      <c r="U286" s="113"/>
      <c r="V286" s="113"/>
      <c r="W286" s="113"/>
      <c r="X286" s="113"/>
      <c r="Y286" s="18"/>
      <c r="Z286" s="18"/>
      <c r="AA286" s="18"/>
    </row>
    <row r="287">
      <c r="A287" s="112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2"/>
      <c r="Q287" s="112"/>
      <c r="R287" s="113"/>
      <c r="S287" s="113"/>
      <c r="T287" s="113"/>
      <c r="U287" s="113"/>
      <c r="V287" s="113"/>
      <c r="W287" s="113"/>
      <c r="X287" s="113"/>
      <c r="Y287" s="18"/>
      <c r="Z287" s="18"/>
      <c r="AA287" s="18"/>
    </row>
    <row r="288">
      <c r="A288" s="112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2"/>
      <c r="Q288" s="112"/>
      <c r="R288" s="113"/>
      <c r="S288" s="113"/>
      <c r="T288" s="113"/>
      <c r="U288" s="113"/>
      <c r="V288" s="113"/>
      <c r="W288" s="113"/>
      <c r="X288" s="113"/>
      <c r="Y288" s="18"/>
      <c r="Z288" s="18"/>
      <c r="AA288" s="18"/>
    </row>
    <row r="289">
      <c r="A289" s="112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2"/>
      <c r="Q289" s="112"/>
      <c r="R289" s="113"/>
      <c r="S289" s="113"/>
      <c r="T289" s="113"/>
      <c r="U289" s="113"/>
      <c r="V289" s="113"/>
      <c r="W289" s="113"/>
      <c r="X289" s="113"/>
      <c r="Y289" s="18"/>
      <c r="Z289" s="18"/>
      <c r="AA289" s="18"/>
    </row>
    <row r="290">
      <c r="A290" s="112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2"/>
      <c r="Q290" s="112"/>
      <c r="R290" s="113"/>
      <c r="S290" s="113"/>
      <c r="T290" s="113"/>
      <c r="U290" s="113"/>
      <c r="V290" s="113"/>
      <c r="W290" s="113"/>
      <c r="X290" s="113"/>
      <c r="Y290" s="18"/>
      <c r="Z290" s="18"/>
      <c r="AA290" s="18"/>
    </row>
    <row r="291">
      <c r="A291" s="112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2"/>
      <c r="Q291" s="112"/>
      <c r="R291" s="113"/>
      <c r="S291" s="113"/>
      <c r="T291" s="113"/>
      <c r="U291" s="113"/>
      <c r="V291" s="113"/>
      <c r="W291" s="113"/>
      <c r="X291" s="113"/>
      <c r="Y291" s="18"/>
      <c r="Z291" s="18"/>
      <c r="AA291" s="18"/>
    </row>
    <row r="292">
      <c r="A292" s="112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2"/>
      <c r="Q292" s="112"/>
      <c r="R292" s="113"/>
      <c r="S292" s="113"/>
      <c r="T292" s="113"/>
      <c r="U292" s="113"/>
      <c r="V292" s="113"/>
      <c r="W292" s="113"/>
      <c r="X292" s="113"/>
      <c r="Y292" s="18"/>
      <c r="Z292" s="18"/>
      <c r="AA292" s="18"/>
    </row>
    <row r="293">
      <c r="A293" s="112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2"/>
      <c r="Q293" s="112"/>
      <c r="R293" s="113"/>
      <c r="S293" s="113"/>
      <c r="T293" s="113"/>
      <c r="U293" s="113"/>
      <c r="V293" s="113"/>
      <c r="W293" s="113"/>
      <c r="X293" s="113"/>
      <c r="Y293" s="18"/>
      <c r="Z293" s="18"/>
      <c r="AA293" s="18"/>
    </row>
    <row r="294">
      <c r="A294" s="112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2"/>
      <c r="Q294" s="112"/>
      <c r="R294" s="113"/>
      <c r="S294" s="113"/>
      <c r="T294" s="113"/>
      <c r="U294" s="113"/>
      <c r="V294" s="113"/>
      <c r="W294" s="113"/>
      <c r="X294" s="113"/>
      <c r="Y294" s="18"/>
      <c r="Z294" s="18"/>
      <c r="AA294" s="18"/>
    </row>
    <row r="295">
      <c r="A295" s="112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2"/>
      <c r="Q295" s="112"/>
      <c r="R295" s="113"/>
      <c r="S295" s="113"/>
      <c r="T295" s="113"/>
      <c r="U295" s="113"/>
      <c r="V295" s="113"/>
      <c r="W295" s="113"/>
      <c r="X295" s="113"/>
      <c r="Y295" s="18"/>
      <c r="Z295" s="18"/>
      <c r="AA295" s="18"/>
    </row>
    <row r="296">
      <c r="A296" s="112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2"/>
      <c r="Q296" s="112"/>
      <c r="R296" s="113"/>
      <c r="S296" s="113"/>
      <c r="T296" s="113"/>
      <c r="U296" s="113"/>
      <c r="V296" s="113"/>
      <c r="W296" s="113"/>
      <c r="X296" s="113"/>
      <c r="Y296" s="18"/>
      <c r="Z296" s="18"/>
      <c r="AA296" s="18"/>
    </row>
    <row r="297">
      <c r="A297" s="112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2"/>
      <c r="Q297" s="112"/>
      <c r="R297" s="113"/>
      <c r="S297" s="113"/>
      <c r="T297" s="113"/>
      <c r="U297" s="113"/>
      <c r="V297" s="113"/>
      <c r="W297" s="113"/>
      <c r="X297" s="113"/>
      <c r="Y297" s="18"/>
      <c r="Z297" s="18"/>
      <c r="AA297" s="18"/>
    </row>
    <row r="298">
      <c r="A298" s="112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2"/>
      <c r="Q298" s="112"/>
      <c r="R298" s="113"/>
      <c r="S298" s="113"/>
      <c r="T298" s="113"/>
      <c r="U298" s="113"/>
      <c r="V298" s="113"/>
      <c r="W298" s="113"/>
      <c r="X298" s="113"/>
      <c r="Y298" s="18"/>
      <c r="Z298" s="18"/>
      <c r="AA298" s="18"/>
    </row>
    <row r="299">
      <c r="A299" s="112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2"/>
      <c r="Q299" s="112"/>
      <c r="R299" s="113"/>
      <c r="S299" s="113"/>
      <c r="T299" s="113"/>
      <c r="U299" s="113"/>
      <c r="V299" s="113"/>
      <c r="W299" s="113"/>
      <c r="X299" s="113"/>
      <c r="Y299" s="18"/>
      <c r="Z299" s="18"/>
      <c r="AA299" s="18"/>
    </row>
    <row r="300">
      <c r="A300" s="112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2"/>
      <c r="Q300" s="112"/>
      <c r="R300" s="113"/>
      <c r="S300" s="113"/>
      <c r="T300" s="113"/>
      <c r="U300" s="113"/>
      <c r="V300" s="113"/>
      <c r="W300" s="113"/>
      <c r="X300" s="113"/>
      <c r="Y300" s="18"/>
      <c r="Z300" s="18"/>
      <c r="AA300" s="18"/>
    </row>
    <row r="301">
      <c r="A301" s="112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2"/>
      <c r="Q301" s="112"/>
      <c r="R301" s="113"/>
      <c r="S301" s="113"/>
      <c r="T301" s="113"/>
      <c r="U301" s="113"/>
      <c r="V301" s="113"/>
      <c r="W301" s="113"/>
      <c r="X301" s="113"/>
      <c r="Y301" s="18"/>
      <c r="Z301" s="18"/>
      <c r="AA301" s="18"/>
    </row>
    <row r="302">
      <c r="A302" s="112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2"/>
      <c r="Q302" s="112"/>
      <c r="R302" s="113"/>
      <c r="S302" s="113"/>
      <c r="T302" s="113"/>
      <c r="U302" s="113"/>
      <c r="V302" s="113"/>
      <c r="W302" s="113"/>
      <c r="X302" s="113"/>
      <c r="Y302" s="18"/>
      <c r="Z302" s="18"/>
      <c r="AA302" s="18"/>
    </row>
    <row r="303">
      <c r="A303" s="112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2"/>
      <c r="Q303" s="112"/>
      <c r="R303" s="113"/>
      <c r="S303" s="113"/>
      <c r="T303" s="113"/>
      <c r="U303" s="113"/>
      <c r="V303" s="113"/>
      <c r="W303" s="113"/>
      <c r="X303" s="113"/>
      <c r="Y303" s="18"/>
      <c r="Z303" s="18"/>
      <c r="AA303" s="18"/>
    </row>
    <row r="304">
      <c r="A304" s="112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2"/>
      <c r="Q304" s="112"/>
      <c r="R304" s="113"/>
      <c r="S304" s="113"/>
      <c r="T304" s="113"/>
      <c r="U304" s="113"/>
      <c r="V304" s="113"/>
      <c r="W304" s="113"/>
      <c r="X304" s="113"/>
      <c r="Y304" s="18"/>
      <c r="Z304" s="18"/>
      <c r="AA304" s="18"/>
    </row>
    <row r="305">
      <c r="A305" s="112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2"/>
      <c r="Q305" s="112"/>
      <c r="R305" s="113"/>
      <c r="S305" s="113"/>
      <c r="T305" s="113"/>
      <c r="U305" s="113"/>
      <c r="V305" s="113"/>
      <c r="W305" s="113"/>
      <c r="X305" s="113"/>
      <c r="Y305" s="18"/>
      <c r="Z305" s="18"/>
      <c r="AA305" s="18"/>
    </row>
    <row r="306">
      <c r="A306" s="112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2"/>
      <c r="Q306" s="112"/>
      <c r="R306" s="113"/>
      <c r="S306" s="113"/>
      <c r="T306" s="113"/>
      <c r="U306" s="113"/>
      <c r="V306" s="113"/>
      <c r="W306" s="113"/>
      <c r="X306" s="113"/>
      <c r="Y306" s="18"/>
      <c r="Z306" s="18"/>
      <c r="AA306" s="18"/>
    </row>
    <row r="307">
      <c r="A307" s="112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2"/>
      <c r="Q307" s="112"/>
      <c r="R307" s="113"/>
      <c r="S307" s="113"/>
      <c r="T307" s="113"/>
      <c r="U307" s="113"/>
      <c r="V307" s="113"/>
      <c r="W307" s="113"/>
      <c r="X307" s="113"/>
      <c r="Y307" s="18"/>
      <c r="Z307" s="18"/>
      <c r="AA307" s="18"/>
    </row>
    <row r="308">
      <c r="A308" s="112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2"/>
      <c r="Q308" s="112"/>
      <c r="R308" s="113"/>
      <c r="S308" s="113"/>
      <c r="T308" s="113"/>
      <c r="U308" s="113"/>
      <c r="V308" s="113"/>
      <c r="W308" s="113"/>
      <c r="X308" s="113"/>
      <c r="Y308" s="18"/>
      <c r="Z308" s="18"/>
      <c r="AA308" s="18"/>
    </row>
    <row r="309">
      <c r="A309" s="112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2"/>
      <c r="Q309" s="112"/>
      <c r="R309" s="113"/>
      <c r="S309" s="113"/>
      <c r="T309" s="113"/>
      <c r="U309" s="113"/>
      <c r="V309" s="113"/>
      <c r="W309" s="113"/>
      <c r="X309" s="113"/>
      <c r="Y309" s="18"/>
      <c r="Z309" s="18"/>
      <c r="AA309" s="18"/>
    </row>
    <row r="310">
      <c r="A310" s="112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2"/>
      <c r="Q310" s="112"/>
      <c r="R310" s="113"/>
      <c r="S310" s="113"/>
      <c r="T310" s="113"/>
      <c r="U310" s="113"/>
      <c r="V310" s="113"/>
      <c r="W310" s="113"/>
      <c r="X310" s="113"/>
      <c r="Y310" s="18"/>
      <c r="Z310" s="18"/>
      <c r="AA310" s="18"/>
    </row>
    <row r="311">
      <c r="A311" s="112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2"/>
      <c r="Q311" s="112"/>
      <c r="R311" s="113"/>
      <c r="S311" s="113"/>
      <c r="T311" s="113"/>
      <c r="U311" s="113"/>
      <c r="V311" s="113"/>
      <c r="W311" s="113"/>
      <c r="X311" s="113"/>
      <c r="Y311" s="18"/>
      <c r="Z311" s="18"/>
      <c r="AA311" s="18"/>
    </row>
    <row r="312">
      <c r="A312" s="112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2"/>
      <c r="Q312" s="112"/>
      <c r="R312" s="113"/>
      <c r="S312" s="113"/>
      <c r="T312" s="113"/>
      <c r="U312" s="113"/>
      <c r="V312" s="113"/>
      <c r="W312" s="113"/>
      <c r="X312" s="113"/>
      <c r="Y312" s="18"/>
      <c r="Z312" s="18"/>
      <c r="AA312" s="18"/>
    </row>
    <row r="313">
      <c r="A313" s="112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2"/>
      <c r="Q313" s="112"/>
      <c r="R313" s="113"/>
      <c r="S313" s="113"/>
      <c r="T313" s="113"/>
      <c r="U313" s="113"/>
      <c r="V313" s="113"/>
      <c r="W313" s="113"/>
      <c r="X313" s="113"/>
      <c r="Y313" s="18"/>
      <c r="Z313" s="18"/>
      <c r="AA313" s="18"/>
    </row>
    <row r="314">
      <c r="A314" s="112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2"/>
      <c r="Q314" s="112"/>
      <c r="R314" s="113"/>
      <c r="S314" s="113"/>
      <c r="T314" s="113"/>
      <c r="U314" s="113"/>
      <c r="V314" s="113"/>
      <c r="W314" s="113"/>
      <c r="X314" s="113"/>
      <c r="Y314" s="18"/>
      <c r="Z314" s="18"/>
      <c r="AA314" s="18"/>
    </row>
    <row r="315">
      <c r="A315" s="112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2"/>
      <c r="Q315" s="112"/>
      <c r="R315" s="113"/>
      <c r="S315" s="113"/>
      <c r="T315" s="113"/>
      <c r="U315" s="113"/>
      <c r="V315" s="113"/>
      <c r="W315" s="113"/>
      <c r="X315" s="113"/>
      <c r="Y315" s="18"/>
      <c r="Z315" s="18"/>
      <c r="AA315" s="18"/>
    </row>
    <row r="316">
      <c r="A316" s="112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2"/>
      <c r="Q316" s="112"/>
      <c r="R316" s="113"/>
      <c r="S316" s="113"/>
      <c r="T316" s="113"/>
      <c r="U316" s="113"/>
      <c r="V316" s="113"/>
      <c r="W316" s="113"/>
      <c r="X316" s="113"/>
      <c r="Y316" s="18"/>
      <c r="Z316" s="18"/>
      <c r="AA316" s="18"/>
    </row>
    <row r="317">
      <c r="A317" s="112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2"/>
      <c r="Q317" s="112"/>
      <c r="R317" s="113"/>
      <c r="S317" s="113"/>
      <c r="T317" s="113"/>
      <c r="U317" s="113"/>
      <c r="V317" s="113"/>
      <c r="W317" s="113"/>
      <c r="X317" s="113"/>
      <c r="Y317" s="18"/>
      <c r="Z317" s="18"/>
      <c r="AA317" s="18"/>
    </row>
    <row r="318">
      <c r="A318" s="112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2"/>
      <c r="Q318" s="112"/>
      <c r="R318" s="113"/>
      <c r="S318" s="113"/>
      <c r="T318" s="113"/>
      <c r="U318" s="113"/>
      <c r="V318" s="113"/>
      <c r="W318" s="113"/>
      <c r="X318" s="113"/>
      <c r="Y318" s="18"/>
      <c r="Z318" s="18"/>
      <c r="AA318" s="18"/>
    </row>
    <row r="319">
      <c r="A319" s="112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2"/>
      <c r="Q319" s="112"/>
      <c r="R319" s="113"/>
      <c r="S319" s="113"/>
      <c r="T319" s="113"/>
      <c r="U319" s="113"/>
      <c r="V319" s="113"/>
      <c r="W319" s="113"/>
      <c r="X319" s="113"/>
      <c r="Y319" s="18"/>
      <c r="Z319" s="18"/>
      <c r="AA319" s="18"/>
    </row>
    <row r="320">
      <c r="A320" s="112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2"/>
      <c r="Q320" s="112"/>
      <c r="R320" s="113"/>
      <c r="S320" s="113"/>
      <c r="T320" s="113"/>
      <c r="U320" s="113"/>
      <c r="V320" s="113"/>
      <c r="W320" s="113"/>
      <c r="X320" s="113"/>
      <c r="Y320" s="18"/>
      <c r="Z320" s="18"/>
      <c r="AA320" s="18"/>
    </row>
    <row r="321">
      <c r="A321" s="112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2"/>
      <c r="Q321" s="112"/>
      <c r="R321" s="113"/>
      <c r="S321" s="113"/>
      <c r="T321" s="113"/>
      <c r="U321" s="113"/>
      <c r="V321" s="113"/>
      <c r="W321" s="113"/>
      <c r="X321" s="113"/>
      <c r="Y321" s="18"/>
      <c r="Z321" s="18"/>
      <c r="AA321" s="18"/>
    </row>
    <row r="322">
      <c r="A322" s="112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2"/>
      <c r="Q322" s="112"/>
      <c r="R322" s="113"/>
      <c r="S322" s="113"/>
      <c r="T322" s="113"/>
      <c r="U322" s="113"/>
      <c r="V322" s="113"/>
      <c r="W322" s="113"/>
      <c r="X322" s="113"/>
      <c r="Y322" s="18"/>
      <c r="Z322" s="18"/>
      <c r="AA322" s="18"/>
    </row>
    <row r="323">
      <c r="A323" s="112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2"/>
      <c r="Q323" s="112"/>
      <c r="R323" s="113"/>
      <c r="S323" s="113"/>
      <c r="T323" s="113"/>
      <c r="U323" s="113"/>
      <c r="V323" s="113"/>
      <c r="W323" s="113"/>
      <c r="X323" s="113"/>
      <c r="Y323" s="18"/>
      <c r="Z323" s="18"/>
      <c r="AA323" s="18"/>
    </row>
    <row r="324">
      <c r="A324" s="112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2"/>
      <c r="Q324" s="112"/>
      <c r="R324" s="113"/>
      <c r="S324" s="113"/>
      <c r="T324" s="113"/>
      <c r="U324" s="113"/>
      <c r="V324" s="113"/>
      <c r="W324" s="113"/>
      <c r="X324" s="113"/>
      <c r="Y324" s="18"/>
      <c r="Z324" s="18"/>
      <c r="AA324" s="18"/>
    </row>
    <row r="325">
      <c r="A325" s="112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2"/>
      <c r="Q325" s="112"/>
      <c r="R325" s="113"/>
      <c r="S325" s="113"/>
      <c r="T325" s="113"/>
      <c r="U325" s="113"/>
      <c r="V325" s="113"/>
      <c r="W325" s="113"/>
      <c r="X325" s="113"/>
      <c r="Y325" s="18"/>
      <c r="Z325" s="18"/>
      <c r="AA325" s="18"/>
    </row>
    <row r="326">
      <c r="A326" s="112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2"/>
      <c r="Q326" s="112"/>
      <c r="R326" s="113"/>
      <c r="S326" s="113"/>
      <c r="T326" s="113"/>
      <c r="U326" s="113"/>
      <c r="V326" s="113"/>
      <c r="W326" s="113"/>
      <c r="X326" s="113"/>
      <c r="Y326" s="18"/>
      <c r="Z326" s="18"/>
      <c r="AA326" s="18"/>
    </row>
    <row r="327">
      <c r="A327" s="112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2"/>
      <c r="Q327" s="112"/>
      <c r="R327" s="113"/>
      <c r="S327" s="113"/>
      <c r="T327" s="113"/>
      <c r="U327" s="113"/>
      <c r="V327" s="113"/>
      <c r="W327" s="113"/>
      <c r="X327" s="113"/>
      <c r="Y327" s="18"/>
      <c r="Z327" s="18"/>
      <c r="AA327" s="18"/>
    </row>
    <row r="328">
      <c r="A328" s="112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2"/>
      <c r="Q328" s="112"/>
      <c r="R328" s="113"/>
      <c r="S328" s="113"/>
      <c r="T328" s="113"/>
      <c r="U328" s="113"/>
      <c r="V328" s="113"/>
      <c r="W328" s="113"/>
      <c r="X328" s="113"/>
      <c r="Y328" s="18"/>
      <c r="Z328" s="18"/>
      <c r="AA328" s="18"/>
    </row>
    <row r="329">
      <c r="A329" s="112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2"/>
      <c r="Q329" s="112"/>
      <c r="R329" s="113"/>
      <c r="S329" s="113"/>
      <c r="T329" s="113"/>
      <c r="U329" s="113"/>
      <c r="V329" s="113"/>
      <c r="W329" s="113"/>
      <c r="X329" s="113"/>
      <c r="Y329" s="18"/>
      <c r="Z329" s="18"/>
      <c r="AA329" s="18"/>
    </row>
    <row r="330">
      <c r="A330" s="112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2"/>
      <c r="Q330" s="112"/>
      <c r="R330" s="113"/>
      <c r="S330" s="113"/>
      <c r="T330" s="113"/>
      <c r="U330" s="113"/>
      <c r="V330" s="113"/>
      <c r="W330" s="113"/>
      <c r="X330" s="113"/>
      <c r="Y330" s="18"/>
      <c r="Z330" s="18"/>
      <c r="AA330" s="18"/>
    </row>
    <row r="331">
      <c r="A331" s="112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2"/>
      <c r="Q331" s="112"/>
      <c r="R331" s="113"/>
      <c r="S331" s="113"/>
      <c r="T331" s="113"/>
      <c r="U331" s="113"/>
      <c r="V331" s="113"/>
      <c r="W331" s="113"/>
      <c r="X331" s="113"/>
      <c r="Y331" s="18"/>
      <c r="Z331" s="18"/>
      <c r="AA331" s="18"/>
    </row>
    <row r="332">
      <c r="A332" s="112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2"/>
      <c r="Q332" s="112"/>
      <c r="R332" s="113"/>
      <c r="S332" s="113"/>
      <c r="T332" s="113"/>
      <c r="U332" s="113"/>
      <c r="V332" s="113"/>
      <c r="W332" s="113"/>
      <c r="X332" s="113"/>
      <c r="Y332" s="18"/>
      <c r="Z332" s="18"/>
      <c r="AA332" s="18"/>
    </row>
    <row r="333">
      <c r="A333" s="112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2"/>
      <c r="Q333" s="112"/>
      <c r="R333" s="113"/>
      <c r="S333" s="113"/>
      <c r="T333" s="113"/>
      <c r="U333" s="113"/>
      <c r="V333" s="113"/>
      <c r="W333" s="113"/>
      <c r="X333" s="113"/>
      <c r="Y333" s="18"/>
      <c r="Z333" s="18"/>
      <c r="AA333" s="18"/>
    </row>
    <row r="334">
      <c r="A334" s="112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2"/>
      <c r="Q334" s="112"/>
      <c r="R334" s="113"/>
      <c r="S334" s="113"/>
      <c r="T334" s="113"/>
      <c r="U334" s="113"/>
      <c r="V334" s="113"/>
      <c r="W334" s="113"/>
      <c r="X334" s="113"/>
      <c r="Y334" s="18"/>
      <c r="Z334" s="18"/>
      <c r="AA334" s="18"/>
    </row>
    <row r="335">
      <c r="A335" s="112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2"/>
      <c r="Q335" s="112"/>
      <c r="R335" s="113"/>
      <c r="S335" s="113"/>
      <c r="T335" s="113"/>
      <c r="U335" s="113"/>
      <c r="V335" s="113"/>
      <c r="W335" s="113"/>
      <c r="X335" s="113"/>
      <c r="Y335" s="18"/>
      <c r="Z335" s="18"/>
      <c r="AA335" s="18"/>
    </row>
    <row r="336">
      <c r="A336" s="112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2"/>
      <c r="Q336" s="112"/>
      <c r="R336" s="113"/>
      <c r="S336" s="113"/>
      <c r="T336" s="113"/>
      <c r="U336" s="113"/>
      <c r="V336" s="113"/>
      <c r="W336" s="113"/>
      <c r="X336" s="113"/>
      <c r="Y336" s="18"/>
      <c r="Z336" s="18"/>
      <c r="AA336" s="18"/>
    </row>
    <row r="337">
      <c r="A337" s="112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2"/>
      <c r="Q337" s="112"/>
      <c r="R337" s="113"/>
      <c r="S337" s="113"/>
      <c r="T337" s="113"/>
      <c r="U337" s="113"/>
      <c r="V337" s="113"/>
      <c r="W337" s="113"/>
      <c r="X337" s="113"/>
      <c r="Y337" s="18"/>
      <c r="Z337" s="18"/>
      <c r="AA337" s="18"/>
    </row>
    <row r="338">
      <c r="A338" s="112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2"/>
      <c r="Q338" s="112"/>
      <c r="R338" s="113"/>
      <c r="S338" s="113"/>
      <c r="T338" s="113"/>
      <c r="U338" s="113"/>
      <c r="V338" s="113"/>
      <c r="W338" s="113"/>
      <c r="X338" s="113"/>
      <c r="Y338" s="18"/>
      <c r="Z338" s="18"/>
      <c r="AA338" s="18"/>
    </row>
    <row r="339">
      <c r="A339" s="112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2"/>
      <c r="Q339" s="112"/>
      <c r="R339" s="113"/>
      <c r="S339" s="113"/>
      <c r="T339" s="113"/>
      <c r="U339" s="113"/>
      <c r="V339" s="113"/>
      <c r="W339" s="113"/>
      <c r="X339" s="113"/>
      <c r="Y339" s="18"/>
      <c r="Z339" s="18"/>
      <c r="AA339" s="18"/>
    </row>
    <row r="340">
      <c r="A340" s="112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2"/>
      <c r="Q340" s="112"/>
      <c r="R340" s="113"/>
      <c r="S340" s="113"/>
      <c r="T340" s="113"/>
      <c r="U340" s="113"/>
      <c r="V340" s="113"/>
      <c r="W340" s="113"/>
      <c r="X340" s="113"/>
      <c r="Y340" s="18"/>
      <c r="Z340" s="18"/>
      <c r="AA340" s="18"/>
    </row>
    <row r="341">
      <c r="A341" s="112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2"/>
      <c r="Q341" s="112"/>
      <c r="R341" s="113"/>
      <c r="S341" s="113"/>
      <c r="T341" s="113"/>
      <c r="U341" s="113"/>
      <c r="V341" s="113"/>
      <c r="W341" s="113"/>
      <c r="X341" s="113"/>
      <c r="Y341" s="18"/>
      <c r="Z341" s="18"/>
      <c r="AA341" s="18"/>
    </row>
    <row r="342">
      <c r="A342" s="112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2"/>
      <c r="Q342" s="112"/>
      <c r="R342" s="113"/>
      <c r="S342" s="113"/>
      <c r="T342" s="113"/>
      <c r="U342" s="113"/>
      <c r="V342" s="113"/>
      <c r="W342" s="113"/>
      <c r="X342" s="113"/>
      <c r="Y342" s="18"/>
      <c r="Z342" s="18"/>
      <c r="AA342" s="18"/>
    </row>
    <row r="343">
      <c r="A343" s="112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2"/>
      <c r="Q343" s="112"/>
      <c r="R343" s="113"/>
      <c r="S343" s="113"/>
      <c r="T343" s="113"/>
      <c r="U343" s="113"/>
      <c r="V343" s="113"/>
      <c r="W343" s="113"/>
      <c r="X343" s="113"/>
      <c r="Y343" s="18"/>
      <c r="Z343" s="18"/>
      <c r="AA343" s="18"/>
    </row>
    <row r="344">
      <c r="A344" s="112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2"/>
      <c r="Q344" s="112"/>
      <c r="R344" s="113"/>
      <c r="S344" s="113"/>
      <c r="T344" s="113"/>
      <c r="U344" s="113"/>
      <c r="V344" s="113"/>
      <c r="W344" s="113"/>
      <c r="X344" s="113"/>
      <c r="Y344" s="18"/>
      <c r="Z344" s="18"/>
      <c r="AA344" s="18"/>
    </row>
    <row r="345">
      <c r="A345" s="112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2"/>
      <c r="Q345" s="112"/>
      <c r="R345" s="113"/>
      <c r="S345" s="113"/>
      <c r="T345" s="113"/>
      <c r="U345" s="113"/>
      <c r="V345" s="113"/>
      <c r="W345" s="113"/>
      <c r="X345" s="113"/>
      <c r="Y345" s="18"/>
      <c r="Z345" s="18"/>
      <c r="AA345" s="18"/>
    </row>
    <row r="346">
      <c r="A346" s="112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2"/>
      <c r="Q346" s="112"/>
      <c r="R346" s="113"/>
      <c r="S346" s="113"/>
      <c r="T346" s="113"/>
      <c r="U346" s="113"/>
      <c r="V346" s="113"/>
      <c r="W346" s="113"/>
      <c r="X346" s="113"/>
      <c r="Y346" s="18"/>
      <c r="Z346" s="18"/>
      <c r="AA346" s="18"/>
    </row>
    <row r="347">
      <c r="A347" s="112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2"/>
      <c r="Q347" s="112"/>
      <c r="R347" s="113"/>
      <c r="S347" s="113"/>
      <c r="T347" s="113"/>
      <c r="U347" s="113"/>
      <c r="V347" s="113"/>
      <c r="W347" s="113"/>
      <c r="X347" s="113"/>
      <c r="Y347" s="18"/>
      <c r="Z347" s="18"/>
      <c r="AA347" s="18"/>
    </row>
    <row r="348">
      <c r="A348" s="112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2"/>
      <c r="Q348" s="112"/>
      <c r="R348" s="113"/>
      <c r="S348" s="113"/>
      <c r="T348" s="113"/>
      <c r="U348" s="113"/>
      <c r="V348" s="113"/>
      <c r="W348" s="113"/>
      <c r="X348" s="113"/>
      <c r="Y348" s="18"/>
      <c r="Z348" s="18"/>
      <c r="AA348" s="18"/>
    </row>
    <row r="349">
      <c r="A349" s="112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2"/>
      <c r="Q349" s="112"/>
      <c r="R349" s="113"/>
      <c r="S349" s="113"/>
      <c r="T349" s="113"/>
      <c r="U349" s="113"/>
      <c r="V349" s="113"/>
      <c r="W349" s="113"/>
      <c r="X349" s="113"/>
      <c r="Y349" s="18"/>
      <c r="Z349" s="18"/>
      <c r="AA349" s="18"/>
    </row>
    <row r="350">
      <c r="A350" s="112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2"/>
      <c r="Q350" s="112"/>
      <c r="R350" s="113"/>
      <c r="S350" s="113"/>
      <c r="T350" s="113"/>
      <c r="U350" s="113"/>
      <c r="V350" s="113"/>
      <c r="W350" s="113"/>
      <c r="X350" s="113"/>
      <c r="Y350" s="18"/>
      <c r="Z350" s="18"/>
      <c r="AA350" s="18"/>
    </row>
    <row r="351">
      <c r="A351" s="112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2"/>
      <c r="Q351" s="112"/>
      <c r="R351" s="113"/>
      <c r="S351" s="113"/>
      <c r="T351" s="113"/>
      <c r="U351" s="113"/>
      <c r="V351" s="113"/>
      <c r="W351" s="113"/>
      <c r="X351" s="113"/>
      <c r="Y351" s="18"/>
      <c r="Z351" s="18"/>
      <c r="AA351" s="18"/>
    </row>
    <row r="352">
      <c r="A352" s="112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2"/>
      <c r="Q352" s="112"/>
      <c r="R352" s="113"/>
      <c r="S352" s="113"/>
      <c r="T352" s="113"/>
      <c r="U352" s="113"/>
      <c r="V352" s="113"/>
      <c r="W352" s="113"/>
      <c r="X352" s="113"/>
      <c r="Y352" s="18"/>
      <c r="Z352" s="18"/>
      <c r="AA352" s="18"/>
    </row>
    <row r="353">
      <c r="A353" s="112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2"/>
      <c r="Q353" s="112"/>
      <c r="R353" s="113"/>
      <c r="S353" s="113"/>
      <c r="T353" s="113"/>
      <c r="U353" s="113"/>
      <c r="V353" s="113"/>
      <c r="W353" s="113"/>
      <c r="X353" s="113"/>
      <c r="Y353" s="18"/>
      <c r="Z353" s="18"/>
      <c r="AA353" s="18"/>
    </row>
    <row r="354">
      <c r="A354" s="112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2"/>
      <c r="Q354" s="112"/>
      <c r="R354" s="113"/>
      <c r="S354" s="113"/>
      <c r="T354" s="113"/>
      <c r="U354" s="113"/>
      <c r="V354" s="113"/>
      <c r="W354" s="113"/>
      <c r="X354" s="113"/>
      <c r="Y354" s="18"/>
      <c r="Z354" s="18"/>
      <c r="AA354" s="18"/>
    </row>
    <row r="355">
      <c r="A355" s="112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2"/>
      <c r="Q355" s="112"/>
      <c r="R355" s="113"/>
      <c r="S355" s="113"/>
      <c r="T355" s="113"/>
      <c r="U355" s="113"/>
      <c r="V355" s="113"/>
      <c r="W355" s="113"/>
      <c r="X355" s="113"/>
      <c r="Y355" s="18"/>
      <c r="Z355" s="18"/>
      <c r="AA355" s="18"/>
    </row>
    <row r="356">
      <c r="A356" s="112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2"/>
      <c r="Q356" s="112"/>
      <c r="R356" s="113"/>
      <c r="S356" s="113"/>
      <c r="T356" s="113"/>
      <c r="U356" s="113"/>
      <c r="V356" s="113"/>
      <c r="W356" s="113"/>
      <c r="X356" s="113"/>
      <c r="Y356" s="18"/>
      <c r="Z356" s="18"/>
      <c r="AA356" s="18"/>
    </row>
    <row r="357">
      <c r="A357" s="112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2"/>
      <c r="Q357" s="112"/>
      <c r="R357" s="113"/>
      <c r="S357" s="113"/>
      <c r="T357" s="113"/>
      <c r="U357" s="113"/>
      <c r="V357" s="113"/>
      <c r="W357" s="113"/>
      <c r="X357" s="113"/>
      <c r="Y357" s="18"/>
      <c r="Z357" s="18"/>
      <c r="AA357" s="18"/>
    </row>
    <row r="358">
      <c r="A358" s="112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2"/>
      <c r="Q358" s="112"/>
      <c r="R358" s="113"/>
      <c r="S358" s="113"/>
      <c r="T358" s="113"/>
      <c r="U358" s="113"/>
      <c r="V358" s="113"/>
      <c r="W358" s="113"/>
      <c r="X358" s="113"/>
      <c r="Y358" s="18"/>
      <c r="Z358" s="18"/>
      <c r="AA358" s="18"/>
    </row>
    <row r="359">
      <c r="A359" s="112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2"/>
      <c r="Q359" s="112"/>
      <c r="R359" s="113"/>
      <c r="S359" s="113"/>
      <c r="T359" s="113"/>
      <c r="U359" s="113"/>
      <c r="V359" s="113"/>
      <c r="W359" s="113"/>
      <c r="X359" s="113"/>
      <c r="Y359" s="18"/>
      <c r="Z359" s="18"/>
      <c r="AA359" s="18"/>
    </row>
    <row r="360">
      <c r="A360" s="112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2"/>
      <c r="Q360" s="112"/>
      <c r="R360" s="113"/>
      <c r="S360" s="113"/>
      <c r="T360" s="113"/>
      <c r="U360" s="113"/>
      <c r="V360" s="113"/>
      <c r="W360" s="113"/>
      <c r="X360" s="113"/>
      <c r="Y360" s="18"/>
      <c r="Z360" s="18"/>
      <c r="AA360" s="18"/>
    </row>
    <row r="361">
      <c r="A361" s="112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2"/>
      <c r="Q361" s="112"/>
      <c r="R361" s="113"/>
      <c r="S361" s="113"/>
      <c r="T361" s="113"/>
      <c r="U361" s="113"/>
      <c r="V361" s="113"/>
      <c r="W361" s="113"/>
      <c r="X361" s="113"/>
      <c r="Y361" s="18"/>
      <c r="Z361" s="18"/>
      <c r="AA361" s="18"/>
    </row>
    <row r="362">
      <c r="A362" s="112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2"/>
      <c r="Q362" s="112"/>
      <c r="R362" s="113"/>
      <c r="S362" s="113"/>
      <c r="T362" s="113"/>
      <c r="U362" s="113"/>
      <c r="V362" s="113"/>
      <c r="W362" s="113"/>
      <c r="X362" s="113"/>
      <c r="Y362" s="18"/>
      <c r="Z362" s="18"/>
      <c r="AA362" s="18"/>
    </row>
    <row r="363">
      <c r="A363" s="112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2"/>
      <c r="Q363" s="112"/>
      <c r="R363" s="113"/>
      <c r="S363" s="113"/>
      <c r="T363" s="113"/>
      <c r="U363" s="113"/>
      <c r="V363" s="113"/>
      <c r="W363" s="113"/>
      <c r="X363" s="113"/>
      <c r="Y363" s="18"/>
      <c r="Z363" s="18"/>
      <c r="AA363" s="18"/>
    </row>
    <row r="364">
      <c r="A364" s="112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2"/>
      <c r="Q364" s="112"/>
      <c r="R364" s="113"/>
      <c r="S364" s="113"/>
      <c r="T364" s="113"/>
      <c r="U364" s="113"/>
      <c r="V364" s="113"/>
      <c r="W364" s="113"/>
      <c r="X364" s="113"/>
      <c r="Y364" s="18"/>
      <c r="Z364" s="18"/>
      <c r="AA364" s="18"/>
    </row>
    <row r="365">
      <c r="A365" s="112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2"/>
      <c r="Q365" s="112"/>
      <c r="R365" s="113"/>
      <c r="S365" s="113"/>
      <c r="T365" s="113"/>
      <c r="U365" s="113"/>
      <c r="V365" s="113"/>
      <c r="W365" s="113"/>
      <c r="X365" s="113"/>
      <c r="Y365" s="18"/>
      <c r="Z365" s="18"/>
      <c r="AA365" s="18"/>
    </row>
    <row r="366">
      <c r="A366" s="112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2"/>
      <c r="Q366" s="112"/>
      <c r="R366" s="113"/>
      <c r="S366" s="113"/>
      <c r="T366" s="113"/>
      <c r="U366" s="113"/>
      <c r="V366" s="113"/>
      <c r="W366" s="113"/>
      <c r="X366" s="113"/>
      <c r="Y366" s="18"/>
      <c r="Z366" s="18"/>
      <c r="AA366" s="18"/>
    </row>
    <row r="367">
      <c r="A367" s="112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2"/>
      <c r="Q367" s="112"/>
      <c r="R367" s="113"/>
      <c r="S367" s="113"/>
      <c r="T367" s="113"/>
      <c r="U367" s="113"/>
      <c r="V367" s="113"/>
      <c r="W367" s="113"/>
      <c r="X367" s="113"/>
      <c r="Y367" s="18"/>
      <c r="Z367" s="18"/>
      <c r="AA367" s="18"/>
    </row>
    <row r="368">
      <c r="A368" s="112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2"/>
      <c r="Q368" s="112"/>
      <c r="R368" s="113"/>
      <c r="S368" s="113"/>
      <c r="T368" s="113"/>
      <c r="U368" s="113"/>
      <c r="V368" s="113"/>
      <c r="W368" s="113"/>
      <c r="X368" s="113"/>
      <c r="Y368" s="18"/>
      <c r="Z368" s="18"/>
      <c r="AA368" s="18"/>
    </row>
    <row r="369">
      <c r="A369" s="112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2"/>
      <c r="Q369" s="112"/>
      <c r="R369" s="113"/>
      <c r="S369" s="113"/>
      <c r="T369" s="113"/>
      <c r="U369" s="113"/>
      <c r="V369" s="113"/>
      <c r="W369" s="113"/>
      <c r="X369" s="113"/>
      <c r="Y369" s="18"/>
      <c r="Z369" s="18"/>
      <c r="AA369" s="18"/>
    </row>
    <row r="370">
      <c r="A370" s="112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2"/>
      <c r="Q370" s="112"/>
      <c r="R370" s="113"/>
      <c r="S370" s="113"/>
      <c r="T370" s="113"/>
      <c r="U370" s="113"/>
      <c r="V370" s="113"/>
      <c r="W370" s="113"/>
      <c r="X370" s="113"/>
      <c r="Y370" s="18"/>
      <c r="Z370" s="18"/>
      <c r="AA370" s="18"/>
    </row>
    <row r="371">
      <c r="A371" s="112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2"/>
      <c r="Q371" s="112"/>
      <c r="R371" s="113"/>
      <c r="S371" s="113"/>
      <c r="T371" s="113"/>
      <c r="U371" s="113"/>
      <c r="V371" s="113"/>
      <c r="W371" s="113"/>
      <c r="X371" s="113"/>
      <c r="Y371" s="18"/>
      <c r="Z371" s="18"/>
      <c r="AA371" s="18"/>
    </row>
    <row r="372">
      <c r="A372" s="112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2"/>
      <c r="Q372" s="112"/>
      <c r="R372" s="113"/>
      <c r="S372" s="113"/>
      <c r="T372" s="113"/>
      <c r="U372" s="113"/>
      <c r="V372" s="113"/>
      <c r="W372" s="113"/>
      <c r="X372" s="113"/>
      <c r="Y372" s="18"/>
      <c r="Z372" s="18"/>
      <c r="AA372" s="18"/>
    </row>
    <row r="373">
      <c r="A373" s="112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2"/>
      <c r="Q373" s="112"/>
      <c r="R373" s="113"/>
      <c r="S373" s="113"/>
      <c r="T373" s="113"/>
      <c r="U373" s="113"/>
      <c r="V373" s="113"/>
      <c r="W373" s="113"/>
      <c r="X373" s="113"/>
      <c r="Y373" s="18"/>
      <c r="Z373" s="18"/>
      <c r="AA373" s="18"/>
    </row>
    <row r="374">
      <c r="A374" s="112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2"/>
      <c r="Q374" s="112"/>
      <c r="R374" s="113"/>
      <c r="S374" s="113"/>
      <c r="T374" s="113"/>
      <c r="U374" s="113"/>
      <c r="V374" s="113"/>
      <c r="W374" s="113"/>
      <c r="X374" s="113"/>
      <c r="Y374" s="18"/>
      <c r="Z374" s="18"/>
      <c r="AA374" s="18"/>
    </row>
    <row r="375">
      <c r="A375" s="112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2"/>
      <c r="Q375" s="112"/>
      <c r="R375" s="113"/>
      <c r="S375" s="113"/>
      <c r="T375" s="113"/>
      <c r="U375" s="113"/>
      <c r="V375" s="113"/>
      <c r="W375" s="113"/>
      <c r="X375" s="113"/>
      <c r="Y375" s="18"/>
      <c r="Z375" s="18"/>
      <c r="AA375" s="18"/>
    </row>
    <row r="376">
      <c r="A376" s="112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2"/>
      <c r="Q376" s="112"/>
      <c r="R376" s="113"/>
      <c r="S376" s="113"/>
      <c r="T376" s="113"/>
      <c r="U376" s="113"/>
      <c r="V376" s="113"/>
      <c r="W376" s="113"/>
      <c r="X376" s="113"/>
      <c r="Y376" s="18"/>
      <c r="Z376" s="18"/>
      <c r="AA376" s="18"/>
    </row>
    <row r="377">
      <c r="A377" s="112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2"/>
      <c r="Q377" s="112"/>
      <c r="R377" s="113"/>
      <c r="S377" s="113"/>
      <c r="T377" s="113"/>
      <c r="U377" s="113"/>
      <c r="V377" s="113"/>
      <c r="W377" s="113"/>
      <c r="X377" s="113"/>
      <c r="Y377" s="18"/>
      <c r="Z377" s="18"/>
      <c r="AA377" s="18"/>
    </row>
    <row r="378">
      <c r="A378" s="112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2"/>
      <c r="Q378" s="112"/>
      <c r="R378" s="113"/>
      <c r="S378" s="113"/>
      <c r="T378" s="113"/>
      <c r="U378" s="113"/>
      <c r="V378" s="113"/>
      <c r="W378" s="113"/>
      <c r="X378" s="113"/>
      <c r="Y378" s="18"/>
      <c r="Z378" s="18"/>
      <c r="AA378" s="18"/>
    </row>
    <row r="379">
      <c r="A379" s="112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2"/>
      <c r="Q379" s="112"/>
      <c r="R379" s="113"/>
      <c r="S379" s="113"/>
      <c r="T379" s="113"/>
      <c r="U379" s="113"/>
      <c r="V379" s="113"/>
      <c r="W379" s="113"/>
      <c r="X379" s="113"/>
      <c r="Y379" s="18"/>
      <c r="Z379" s="18"/>
      <c r="AA379" s="18"/>
    </row>
    <row r="380">
      <c r="A380" s="112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2"/>
      <c r="Q380" s="112"/>
      <c r="R380" s="113"/>
      <c r="S380" s="113"/>
      <c r="T380" s="113"/>
      <c r="U380" s="113"/>
      <c r="V380" s="113"/>
      <c r="W380" s="113"/>
      <c r="X380" s="113"/>
      <c r="Y380" s="18"/>
      <c r="Z380" s="18"/>
      <c r="AA380" s="18"/>
    </row>
    <row r="381">
      <c r="A381" s="112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2"/>
      <c r="Q381" s="112"/>
      <c r="R381" s="113"/>
      <c r="S381" s="113"/>
      <c r="T381" s="113"/>
      <c r="U381" s="113"/>
      <c r="V381" s="113"/>
      <c r="W381" s="113"/>
      <c r="X381" s="113"/>
      <c r="Y381" s="18"/>
      <c r="Z381" s="18"/>
      <c r="AA381" s="18"/>
    </row>
    <row r="382">
      <c r="A382" s="112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2"/>
      <c r="Q382" s="112"/>
      <c r="R382" s="113"/>
      <c r="S382" s="113"/>
      <c r="T382" s="113"/>
      <c r="U382" s="113"/>
      <c r="V382" s="113"/>
      <c r="W382" s="113"/>
      <c r="X382" s="113"/>
      <c r="Y382" s="18"/>
      <c r="Z382" s="18"/>
      <c r="AA382" s="18"/>
    </row>
    <row r="383">
      <c r="A383" s="112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2"/>
      <c r="Q383" s="112"/>
      <c r="R383" s="113"/>
      <c r="S383" s="113"/>
      <c r="T383" s="113"/>
      <c r="U383" s="113"/>
      <c r="V383" s="113"/>
      <c r="W383" s="113"/>
      <c r="X383" s="113"/>
      <c r="Y383" s="18"/>
      <c r="Z383" s="18"/>
      <c r="AA383" s="18"/>
    </row>
    <row r="384">
      <c r="A384" s="112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2"/>
      <c r="Q384" s="112"/>
      <c r="R384" s="113"/>
      <c r="S384" s="113"/>
      <c r="T384" s="113"/>
      <c r="U384" s="113"/>
      <c r="V384" s="113"/>
      <c r="W384" s="113"/>
      <c r="X384" s="113"/>
      <c r="Y384" s="18"/>
      <c r="Z384" s="18"/>
      <c r="AA384" s="18"/>
    </row>
    <row r="385">
      <c r="A385" s="112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2"/>
      <c r="Q385" s="112"/>
      <c r="R385" s="113"/>
      <c r="S385" s="113"/>
      <c r="T385" s="113"/>
      <c r="U385" s="113"/>
      <c r="V385" s="113"/>
      <c r="W385" s="113"/>
      <c r="X385" s="113"/>
      <c r="Y385" s="18"/>
      <c r="Z385" s="18"/>
      <c r="AA385" s="18"/>
    </row>
    <row r="386">
      <c r="A386" s="112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2"/>
      <c r="Q386" s="112"/>
      <c r="R386" s="113"/>
      <c r="S386" s="113"/>
      <c r="T386" s="113"/>
      <c r="U386" s="113"/>
      <c r="V386" s="113"/>
      <c r="W386" s="113"/>
      <c r="X386" s="113"/>
      <c r="Y386" s="18"/>
      <c r="Z386" s="18"/>
      <c r="AA386" s="18"/>
    </row>
    <row r="387">
      <c r="A387" s="112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2"/>
      <c r="Q387" s="112"/>
      <c r="R387" s="113"/>
      <c r="S387" s="113"/>
      <c r="T387" s="113"/>
      <c r="U387" s="113"/>
      <c r="V387" s="113"/>
      <c r="W387" s="113"/>
      <c r="X387" s="113"/>
      <c r="Y387" s="18"/>
      <c r="Z387" s="18"/>
      <c r="AA387" s="18"/>
    </row>
    <row r="388">
      <c r="A388" s="112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2"/>
      <c r="Q388" s="112"/>
      <c r="R388" s="113"/>
      <c r="S388" s="113"/>
      <c r="T388" s="113"/>
      <c r="U388" s="113"/>
      <c r="V388" s="113"/>
      <c r="W388" s="113"/>
      <c r="X388" s="113"/>
      <c r="Y388" s="18"/>
      <c r="Z388" s="18"/>
      <c r="AA388" s="18"/>
    </row>
    <row r="389">
      <c r="A389" s="112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2"/>
      <c r="Q389" s="112"/>
      <c r="R389" s="113"/>
      <c r="S389" s="113"/>
      <c r="T389" s="113"/>
      <c r="U389" s="113"/>
      <c r="V389" s="113"/>
      <c r="W389" s="113"/>
      <c r="X389" s="113"/>
      <c r="Y389" s="18"/>
      <c r="Z389" s="18"/>
      <c r="AA389" s="18"/>
    </row>
    <row r="390">
      <c r="A390" s="112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2"/>
      <c r="Q390" s="112"/>
      <c r="R390" s="113"/>
      <c r="S390" s="113"/>
      <c r="T390" s="113"/>
      <c r="U390" s="113"/>
      <c r="V390" s="113"/>
      <c r="W390" s="113"/>
      <c r="X390" s="113"/>
      <c r="Y390" s="18"/>
      <c r="Z390" s="18"/>
      <c r="AA390" s="18"/>
    </row>
    <row r="391">
      <c r="A391" s="112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2"/>
      <c r="Q391" s="112"/>
      <c r="R391" s="113"/>
      <c r="S391" s="113"/>
      <c r="T391" s="113"/>
      <c r="U391" s="113"/>
      <c r="V391" s="113"/>
      <c r="W391" s="113"/>
      <c r="X391" s="113"/>
      <c r="Y391" s="18"/>
      <c r="Z391" s="18"/>
      <c r="AA391" s="18"/>
    </row>
    <row r="392">
      <c r="A392" s="112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2"/>
      <c r="Q392" s="112"/>
      <c r="R392" s="113"/>
      <c r="S392" s="113"/>
      <c r="T392" s="113"/>
      <c r="U392" s="113"/>
      <c r="V392" s="113"/>
      <c r="W392" s="113"/>
      <c r="X392" s="113"/>
      <c r="Y392" s="18"/>
      <c r="Z392" s="18"/>
      <c r="AA392" s="18"/>
    </row>
    <row r="393">
      <c r="A393" s="112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2"/>
      <c r="Q393" s="112"/>
      <c r="R393" s="113"/>
      <c r="S393" s="113"/>
      <c r="T393" s="113"/>
      <c r="U393" s="113"/>
      <c r="V393" s="113"/>
      <c r="W393" s="113"/>
      <c r="X393" s="113"/>
      <c r="Y393" s="18"/>
      <c r="Z393" s="18"/>
      <c r="AA393" s="18"/>
    </row>
    <row r="394">
      <c r="A394" s="112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2"/>
      <c r="Q394" s="112"/>
      <c r="R394" s="113"/>
      <c r="S394" s="113"/>
      <c r="T394" s="113"/>
      <c r="U394" s="113"/>
      <c r="V394" s="113"/>
      <c r="W394" s="113"/>
      <c r="X394" s="113"/>
      <c r="Y394" s="18"/>
      <c r="Z394" s="18"/>
      <c r="AA394" s="18"/>
    </row>
    <row r="395">
      <c r="A395" s="112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2"/>
      <c r="Q395" s="112"/>
      <c r="R395" s="113"/>
      <c r="S395" s="113"/>
      <c r="T395" s="113"/>
      <c r="U395" s="113"/>
      <c r="V395" s="113"/>
      <c r="W395" s="113"/>
      <c r="X395" s="113"/>
      <c r="Y395" s="18"/>
      <c r="Z395" s="18"/>
      <c r="AA395" s="18"/>
    </row>
    <row r="396">
      <c r="A396" s="112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2"/>
      <c r="Q396" s="112"/>
      <c r="R396" s="113"/>
      <c r="S396" s="113"/>
      <c r="T396" s="113"/>
      <c r="U396" s="113"/>
      <c r="V396" s="113"/>
      <c r="W396" s="113"/>
      <c r="X396" s="113"/>
      <c r="Y396" s="18"/>
      <c r="Z396" s="18"/>
      <c r="AA396" s="18"/>
    </row>
    <row r="397">
      <c r="A397" s="112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2"/>
      <c r="Q397" s="112"/>
      <c r="R397" s="113"/>
      <c r="S397" s="113"/>
      <c r="T397" s="113"/>
      <c r="U397" s="113"/>
      <c r="V397" s="113"/>
      <c r="W397" s="113"/>
      <c r="X397" s="113"/>
      <c r="Y397" s="18"/>
      <c r="Z397" s="18"/>
      <c r="AA397" s="18"/>
    </row>
    <row r="398">
      <c r="A398" s="112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2"/>
      <c r="Q398" s="112"/>
      <c r="R398" s="113"/>
      <c r="S398" s="113"/>
      <c r="T398" s="113"/>
      <c r="U398" s="113"/>
      <c r="V398" s="113"/>
      <c r="W398" s="113"/>
      <c r="X398" s="113"/>
      <c r="Y398" s="18"/>
      <c r="Z398" s="18"/>
      <c r="AA398" s="18"/>
    </row>
    <row r="399">
      <c r="A399" s="112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2"/>
      <c r="Q399" s="112"/>
      <c r="R399" s="113"/>
      <c r="S399" s="113"/>
      <c r="T399" s="113"/>
      <c r="U399" s="113"/>
      <c r="V399" s="113"/>
      <c r="W399" s="113"/>
      <c r="X399" s="113"/>
      <c r="Y399" s="18"/>
      <c r="Z399" s="18"/>
      <c r="AA399" s="18"/>
    </row>
    <row r="400">
      <c r="A400" s="112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2"/>
      <c r="Q400" s="112"/>
      <c r="R400" s="113"/>
      <c r="S400" s="113"/>
      <c r="T400" s="113"/>
      <c r="U400" s="113"/>
      <c r="V400" s="113"/>
      <c r="W400" s="113"/>
      <c r="X400" s="113"/>
      <c r="Y400" s="18"/>
      <c r="Z400" s="18"/>
      <c r="AA400" s="18"/>
    </row>
    <row r="401">
      <c r="A401" s="112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2"/>
      <c r="Q401" s="112"/>
      <c r="R401" s="113"/>
      <c r="S401" s="113"/>
      <c r="T401" s="113"/>
      <c r="U401" s="113"/>
      <c r="V401" s="113"/>
      <c r="W401" s="113"/>
      <c r="X401" s="113"/>
      <c r="Y401" s="18"/>
      <c r="Z401" s="18"/>
      <c r="AA401" s="18"/>
    </row>
    <row r="402">
      <c r="A402" s="112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2"/>
      <c r="Q402" s="112"/>
      <c r="R402" s="113"/>
      <c r="S402" s="113"/>
      <c r="T402" s="113"/>
      <c r="U402" s="113"/>
      <c r="V402" s="113"/>
      <c r="W402" s="113"/>
      <c r="X402" s="113"/>
      <c r="Y402" s="18"/>
      <c r="Z402" s="18"/>
      <c r="AA402" s="18"/>
    </row>
    <row r="403">
      <c r="A403" s="112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2"/>
      <c r="Q403" s="112"/>
      <c r="R403" s="113"/>
      <c r="S403" s="113"/>
      <c r="T403" s="113"/>
      <c r="U403" s="113"/>
      <c r="V403" s="113"/>
      <c r="W403" s="113"/>
      <c r="X403" s="113"/>
      <c r="Y403" s="18"/>
      <c r="Z403" s="18"/>
      <c r="AA403" s="18"/>
    </row>
    <row r="404">
      <c r="A404" s="112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2"/>
      <c r="Q404" s="112"/>
      <c r="R404" s="113"/>
      <c r="S404" s="113"/>
      <c r="T404" s="113"/>
      <c r="U404" s="113"/>
      <c r="V404" s="113"/>
      <c r="W404" s="113"/>
      <c r="X404" s="113"/>
      <c r="Y404" s="18"/>
      <c r="Z404" s="18"/>
      <c r="AA404" s="18"/>
    </row>
    <row r="405">
      <c r="A405" s="112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2"/>
      <c r="Q405" s="112"/>
      <c r="R405" s="113"/>
      <c r="S405" s="113"/>
      <c r="T405" s="113"/>
      <c r="U405" s="113"/>
      <c r="V405" s="113"/>
      <c r="W405" s="113"/>
      <c r="X405" s="113"/>
      <c r="Y405" s="18"/>
      <c r="Z405" s="18"/>
      <c r="AA405" s="18"/>
    </row>
    <row r="406">
      <c r="A406" s="112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2"/>
      <c r="Q406" s="112"/>
      <c r="R406" s="113"/>
      <c r="S406" s="113"/>
      <c r="T406" s="113"/>
      <c r="U406" s="113"/>
      <c r="V406" s="113"/>
      <c r="W406" s="113"/>
      <c r="X406" s="113"/>
      <c r="Y406" s="18"/>
      <c r="Z406" s="18"/>
      <c r="AA406" s="18"/>
    </row>
    <row r="407">
      <c r="A407" s="112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2"/>
      <c r="Q407" s="112"/>
      <c r="R407" s="113"/>
      <c r="S407" s="113"/>
      <c r="T407" s="113"/>
      <c r="U407" s="113"/>
      <c r="V407" s="113"/>
      <c r="W407" s="113"/>
      <c r="X407" s="113"/>
      <c r="Y407" s="18"/>
      <c r="Z407" s="18"/>
      <c r="AA407" s="18"/>
    </row>
    <row r="408">
      <c r="A408" s="112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2"/>
      <c r="Q408" s="112"/>
      <c r="R408" s="113"/>
      <c r="S408" s="113"/>
      <c r="T408" s="113"/>
      <c r="U408" s="113"/>
      <c r="V408" s="113"/>
      <c r="W408" s="113"/>
      <c r="X408" s="113"/>
      <c r="Y408" s="18"/>
      <c r="Z408" s="18"/>
      <c r="AA408" s="18"/>
    </row>
    <row r="409">
      <c r="A409" s="112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2"/>
      <c r="Q409" s="112"/>
      <c r="R409" s="113"/>
      <c r="S409" s="113"/>
      <c r="T409" s="113"/>
      <c r="U409" s="113"/>
      <c r="V409" s="113"/>
      <c r="W409" s="113"/>
      <c r="X409" s="113"/>
      <c r="Y409" s="18"/>
      <c r="Z409" s="18"/>
      <c r="AA409" s="18"/>
    </row>
    <row r="410">
      <c r="A410" s="112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2"/>
      <c r="Q410" s="112"/>
      <c r="R410" s="113"/>
      <c r="S410" s="113"/>
      <c r="T410" s="113"/>
      <c r="U410" s="113"/>
      <c r="V410" s="113"/>
      <c r="W410" s="113"/>
      <c r="X410" s="113"/>
      <c r="Y410" s="18"/>
      <c r="Z410" s="18"/>
      <c r="AA410" s="18"/>
    </row>
    <row r="411">
      <c r="A411" s="112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2"/>
      <c r="Q411" s="112"/>
      <c r="R411" s="113"/>
      <c r="S411" s="113"/>
      <c r="T411" s="113"/>
      <c r="U411" s="113"/>
      <c r="V411" s="113"/>
      <c r="W411" s="113"/>
      <c r="X411" s="113"/>
      <c r="Y411" s="18"/>
      <c r="Z411" s="18"/>
      <c r="AA411" s="18"/>
    </row>
    <row r="412">
      <c r="A412" s="112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2"/>
      <c r="Q412" s="112"/>
      <c r="R412" s="113"/>
      <c r="S412" s="113"/>
      <c r="T412" s="113"/>
      <c r="U412" s="113"/>
      <c r="V412" s="113"/>
      <c r="W412" s="113"/>
      <c r="X412" s="113"/>
      <c r="Y412" s="18"/>
      <c r="Z412" s="18"/>
      <c r="AA412" s="18"/>
    </row>
    <row r="413">
      <c r="A413" s="112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2"/>
      <c r="Q413" s="112"/>
      <c r="R413" s="113"/>
      <c r="S413" s="113"/>
      <c r="T413" s="113"/>
      <c r="U413" s="113"/>
      <c r="V413" s="113"/>
      <c r="W413" s="113"/>
      <c r="X413" s="113"/>
      <c r="Y413" s="18"/>
      <c r="Z413" s="18"/>
      <c r="AA413" s="18"/>
    </row>
    <row r="414">
      <c r="A414" s="112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2"/>
      <c r="Q414" s="112"/>
      <c r="R414" s="113"/>
      <c r="S414" s="113"/>
      <c r="T414" s="113"/>
      <c r="U414" s="113"/>
      <c r="V414" s="113"/>
      <c r="W414" s="113"/>
      <c r="X414" s="113"/>
      <c r="Y414" s="18"/>
      <c r="Z414" s="18"/>
      <c r="AA414" s="18"/>
    </row>
    <row r="415">
      <c r="A415" s="112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2"/>
      <c r="Q415" s="112"/>
      <c r="R415" s="113"/>
      <c r="S415" s="113"/>
      <c r="T415" s="113"/>
      <c r="U415" s="113"/>
      <c r="V415" s="113"/>
      <c r="W415" s="113"/>
      <c r="X415" s="113"/>
      <c r="Y415" s="18"/>
      <c r="Z415" s="18"/>
      <c r="AA415" s="18"/>
    </row>
    <row r="416">
      <c r="A416" s="112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2"/>
      <c r="Q416" s="112"/>
      <c r="R416" s="113"/>
      <c r="S416" s="113"/>
      <c r="T416" s="113"/>
      <c r="U416" s="113"/>
      <c r="V416" s="113"/>
      <c r="W416" s="113"/>
      <c r="X416" s="113"/>
      <c r="Y416" s="18"/>
      <c r="Z416" s="18"/>
      <c r="AA416" s="18"/>
    </row>
    <row r="417">
      <c r="A417" s="112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2"/>
      <c r="Q417" s="112"/>
      <c r="R417" s="113"/>
      <c r="S417" s="113"/>
      <c r="T417" s="113"/>
      <c r="U417" s="113"/>
      <c r="V417" s="113"/>
      <c r="W417" s="113"/>
      <c r="X417" s="113"/>
      <c r="Y417" s="18"/>
      <c r="Z417" s="18"/>
      <c r="AA417" s="18"/>
    </row>
    <row r="418">
      <c r="A418" s="112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2"/>
      <c r="Q418" s="112"/>
      <c r="R418" s="113"/>
      <c r="S418" s="113"/>
      <c r="T418" s="113"/>
      <c r="U418" s="113"/>
      <c r="V418" s="113"/>
      <c r="W418" s="113"/>
      <c r="X418" s="113"/>
      <c r="Y418" s="18"/>
      <c r="Z418" s="18"/>
      <c r="AA418" s="18"/>
    </row>
    <row r="419">
      <c r="A419" s="112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2"/>
      <c r="Q419" s="112"/>
      <c r="R419" s="113"/>
      <c r="S419" s="113"/>
      <c r="T419" s="113"/>
      <c r="U419" s="113"/>
      <c r="V419" s="113"/>
      <c r="W419" s="113"/>
      <c r="X419" s="113"/>
      <c r="Y419" s="18"/>
      <c r="Z419" s="18"/>
      <c r="AA419" s="18"/>
    </row>
    <row r="420">
      <c r="A420" s="112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2"/>
      <c r="Q420" s="112"/>
      <c r="R420" s="113"/>
      <c r="S420" s="113"/>
      <c r="T420" s="113"/>
      <c r="U420" s="113"/>
      <c r="V420" s="113"/>
      <c r="W420" s="113"/>
      <c r="X420" s="113"/>
      <c r="Y420" s="18"/>
      <c r="Z420" s="18"/>
      <c r="AA420" s="18"/>
    </row>
    <row r="421">
      <c r="A421" s="112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2"/>
      <c r="Q421" s="112"/>
      <c r="R421" s="113"/>
      <c r="S421" s="113"/>
      <c r="T421" s="113"/>
      <c r="U421" s="113"/>
      <c r="V421" s="113"/>
      <c r="W421" s="113"/>
      <c r="X421" s="113"/>
      <c r="Y421" s="18"/>
      <c r="Z421" s="18"/>
      <c r="AA421" s="18"/>
    </row>
    <row r="422">
      <c r="A422" s="112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2"/>
      <c r="Q422" s="112"/>
      <c r="R422" s="113"/>
      <c r="S422" s="113"/>
      <c r="T422" s="113"/>
      <c r="U422" s="113"/>
      <c r="V422" s="113"/>
      <c r="W422" s="113"/>
      <c r="X422" s="113"/>
      <c r="Y422" s="18"/>
      <c r="Z422" s="18"/>
      <c r="AA422" s="18"/>
    </row>
    <row r="423">
      <c r="A423" s="112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2"/>
      <c r="Q423" s="112"/>
      <c r="R423" s="113"/>
      <c r="S423" s="113"/>
      <c r="T423" s="113"/>
      <c r="U423" s="113"/>
      <c r="V423" s="113"/>
      <c r="W423" s="113"/>
      <c r="X423" s="113"/>
      <c r="Y423" s="18"/>
      <c r="Z423" s="18"/>
      <c r="AA423" s="18"/>
    </row>
    <row r="424">
      <c r="A424" s="112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2"/>
      <c r="Q424" s="112"/>
      <c r="R424" s="113"/>
      <c r="S424" s="113"/>
      <c r="T424" s="113"/>
      <c r="U424" s="113"/>
      <c r="V424" s="113"/>
      <c r="W424" s="113"/>
      <c r="X424" s="113"/>
      <c r="Y424" s="18"/>
      <c r="Z424" s="18"/>
      <c r="AA424" s="18"/>
    </row>
    <row r="425">
      <c r="A425" s="112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2"/>
      <c r="Q425" s="112"/>
      <c r="R425" s="113"/>
      <c r="S425" s="113"/>
      <c r="T425" s="113"/>
      <c r="U425" s="113"/>
      <c r="V425" s="113"/>
      <c r="W425" s="113"/>
      <c r="X425" s="113"/>
      <c r="Y425" s="18"/>
      <c r="Z425" s="18"/>
      <c r="AA425" s="18"/>
    </row>
    <row r="426">
      <c r="A426" s="112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2"/>
      <c r="Q426" s="112"/>
      <c r="R426" s="113"/>
      <c r="S426" s="113"/>
      <c r="T426" s="113"/>
      <c r="U426" s="113"/>
      <c r="V426" s="113"/>
      <c r="W426" s="113"/>
      <c r="X426" s="113"/>
      <c r="Y426" s="18"/>
      <c r="Z426" s="18"/>
      <c r="AA426" s="18"/>
    </row>
    <row r="427">
      <c r="A427" s="112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2"/>
      <c r="Q427" s="112"/>
      <c r="R427" s="113"/>
      <c r="S427" s="113"/>
      <c r="T427" s="113"/>
      <c r="U427" s="113"/>
      <c r="V427" s="113"/>
      <c r="W427" s="113"/>
      <c r="X427" s="113"/>
      <c r="Y427" s="18"/>
      <c r="Z427" s="18"/>
      <c r="AA427" s="18"/>
    </row>
    <row r="428">
      <c r="A428" s="112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2"/>
      <c r="Q428" s="112"/>
      <c r="R428" s="113"/>
      <c r="S428" s="113"/>
      <c r="T428" s="113"/>
      <c r="U428" s="113"/>
      <c r="V428" s="113"/>
      <c r="W428" s="113"/>
      <c r="X428" s="113"/>
      <c r="Y428" s="18"/>
      <c r="Z428" s="18"/>
      <c r="AA428" s="18"/>
    </row>
    <row r="429">
      <c r="A429" s="112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2"/>
      <c r="Q429" s="112"/>
      <c r="R429" s="113"/>
      <c r="S429" s="113"/>
      <c r="T429" s="113"/>
      <c r="U429" s="113"/>
      <c r="V429" s="113"/>
      <c r="W429" s="113"/>
      <c r="X429" s="113"/>
      <c r="Y429" s="18"/>
      <c r="Z429" s="18"/>
      <c r="AA429" s="18"/>
    </row>
    <row r="430">
      <c r="A430" s="112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2"/>
      <c r="Q430" s="112"/>
      <c r="R430" s="113"/>
      <c r="S430" s="113"/>
      <c r="T430" s="113"/>
      <c r="U430" s="113"/>
      <c r="V430" s="113"/>
      <c r="W430" s="113"/>
      <c r="X430" s="113"/>
      <c r="Y430" s="18"/>
      <c r="Z430" s="18"/>
      <c r="AA430" s="18"/>
    </row>
    <row r="431">
      <c r="A431" s="112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2"/>
      <c r="Q431" s="112"/>
      <c r="R431" s="113"/>
      <c r="S431" s="113"/>
      <c r="T431" s="113"/>
      <c r="U431" s="113"/>
      <c r="V431" s="113"/>
      <c r="W431" s="113"/>
      <c r="X431" s="113"/>
      <c r="Y431" s="18"/>
      <c r="Z431" s="18"/>
      <c r="AA431" s="18"/>
    </row>
    <row r="432">
      <c r="A432" s="112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2"/>
      <c r="Q432" s="112"/>
      <c r="R432" s="113"/>
      <c r="S432" s="113"/>
      <c r="T432" s="113"/>
      <c r="U432" s="113"/>
      <c r="V432" s="113"/>
      <c r="W432" s="113"/>
      <c r="X432" s="113"/>
      <c r="Y432" s="18"/>
      <c r="Z432" s="18"/>
      <c r="AA432" s="18"/>
    </row>
    <row r="433">
      <c r="A433" s="112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2"/>
      <c r="Q433" s="112"/>
      <c r="R433" s="113"/>
      <c r="S433" s="113"/>
      <c r="T433" s="113"/>
      <c r="U433" s="113"/>
      <c r="V433" s="113"/>
      <c r="W433" s="113"/>
      <c r="X433" s="113"/>
      <c r="Y433" s="18"/>
      <c r="Z433" s="18"/>
      <c r="AA433" s="18"/>
    </row>
    <row r="434">
      <c r="A434" s="112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2"/>
      <c r="Q434" s="112"/>
      <c r="R434" s="113"/>
      <c r="S434" s="113"/>
      <c r="T434" s="113"/>
      <c r="U434" s="113"/>
      <c r="V434" s="113"/>
      <c r="W434" s="113"/>
      <c r="X434" s="113"/>
      <c r="Y434" s="18"/>
      <c r="Z434" s="18"/>
      <c r="AA434" s="18"/>
    </row>
    <row r="435">
      <c r="A435" s="112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2"/>
      <c r="Q435" s="112"/>
      <c r="R435" s="113"/>
      <c r="S435" s="113"/>
      <c r="T435" s="113"/>
      <c r="U435" s="113"/>
      <c r="V435" s="113"/>
      <c r="W435" s="113"/>
      <c r="X435" s="113"/>
      <c r="Y435" s="18"/>
      <c r="Z435" s="18"/>
      <c r="AA435" s="18"/>
    </row>
    <row r="436">
      <c r="A436" s="112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2"/>
      <c r="Q436" s="112"/>
      <c r="R436" s="113"/>
      <c r="S436" s="113"/>
      <c r="T436" s="113"/>
      <c r="U436" s="113"/>
      <c r="V436" s="113"/>
      <c r="W436" s="113"/>
      <c r="X436" s="113"/>
      <c r="Y436" s="18"/>
      <c r="Z436" s="18"/>
      <c r="AA436" s="18"/>
    </row>
    <row r="437">
      <c r="A437" s="112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2"/>
      <c r="Q437" s="112"/>
      <c r="R437" s="113"/>
      <c r="S437" s="113"/>
      <c r="T437" s="113"/>
      <c r="U437" s="113"/>
      <c r="V437" s="113"/>
      <c r="W437" s="113"/>
      <c r="X437" s="113"/>
      <c r="Y437" s="18"/>
      <c r="Z437" s="18"/>
      <c r="AA437" s="18"/>
    </row>
    <row r="438">
      <c r="A438" s="112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2"/>
      <c r="Q438" s="112"/>
      <c r="R438" s="113"/>
      <c r="S438" s="113"/>
      <c r="T438" s="113"/>
      <c r="U438" s="113"/>
      <c r="V438" s="113"/>
      <c r="W438" s="113"/>
      <c r="X438" s="113"/>
      <c r="Y438" s="18"/>
      <c r="Z438" s="18"/>
      <c r="AA438" s="18"/>
    </row>
    <row r="439">
      <c r="A439" s="112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2"/>
      <c r="Q439" s="112"/>
      <c r="R439" s="113"/>
      <c r="S439" s="113"/>
      <c r="T439" s="113"/>
      <c r="U439" s="113"/>
      <c r="V439" s="113"/>
      <c r="W439" s="113"/>
      <c r="X439" s="113"/>
      <c r="Y439" s="18"/>
      <c r="Z439" s="18"/>
      <c r="AA439" s="18"/>
    </row>
    <row r="440">
      <c r="A440" s="112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2"/>
      <c r="Q440" s="112"/>
      <c r="R440" s="113"/>
      <c r="S440" s="113"/>
      <c r="T440" s="113"/>
      <c r="U440" s="113"/>
      <c r="V440" s="113"/>
      <c r="W440" s="113"/>
      <c r="X440" s="113"/>
      <c r="Y440" s="18"/>
      <c r="Z440" s="18"/>
      <c r="AA440" s="18"/>
    </row>
    <row r="441">
      <c r="A441" s="112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2"/>
      <c r="Q441" s="112"/>
      <c r="R441" s="113"/>
      <c r="S441" s="113"/>
      <c r="T441" s="113"/>
      <c r="U441" s="113"/>
      <c r="V441" s="113"/>
      <c r="W441" s="113"/>
      <c r="X441" s="113"/>
      <c r="Y441" s="18"/>
      <c r="Z441" s="18"/>
      <c r="AA441" s="18"/>
    </row>
    <row r="442">
      <c r="A442" s="112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2"/>
      <c r="Q442" s="112"/>
      <c r="R442" s="113"/>
      <c r="S442" s="113"/>
      <c r="T442" s="113"/>
      <c r="U442" s="113"/>
      <c r="V442" s="113"/>
      <c r="W442" s="113"/>
      <c r="X442" s="113"/>
      <c r="Y442" s="18"/>
      <c r="Z442" s="18"/>
      <c r="AA442" s="18"/>
    </row>
    <row r="443">
      <c r="A443" s="112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2"/>
      <c r="Q443" s="112"/>
      <c r="R443" s="113"/>
      <c r="S443" s="113"/>
      <c r="T443" s="113"/>
      <c r="U443" s="113"/>
      <c r="V443" s="113"/>
      <c r="W443" s="113"/>
      <c r="X443" s="113"/>
      <c r="Y443" s="18"/>
      <c r="Z443" s="18"/>
      <c r="AA443" s="18"/>
    </row>
    <row r="444">
      <c r="A444" s="112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2"/>
      <c r="Q444" s="112"/>
      <c r="R444" s="113"/>
      <c r="S444" s="113"/>
      <c r="T444" s="113"/>
      <c r="U444" s="113"/>
      <c r="V444" s="113"/>
      <c r="W444" s="113"/>
      <c r="X444" s="113"/>
      <c r="Y444" s="18"/>
      <c r="Z444" s="18"/>
      <c r="AA444" s="18"/>
    </row>
    <row r="445">
      <c r="A445" s="112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2"/>
      <c r="Q445" s="112"/>
      <c r="R445" s="113"/>
      <c r="S445" s="113"/>
      <c r="T445" s="113"/>
      <c r="U445" s="113"/>
      <c r="V445" s="113"/>
      <c r="W445" s="113"/>
      <c r="X445" s="113"/>
      <c r="Y445" s="18"/>
      <c r="Z445" s="18"/>
      <c r="AA445" s="18"/>
    </row>
    <row r="446">
      <c r="A446" s="112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2"/>
      <c r="Q446" s="112"/>
      <c r="R446" s="113"/>
      <c r="S446" s="113"/>
      <c r="T446" s="113"/>
      <c r="U446" s="113"/>
      <c r="V446" s="113"/>
      <c r="W446" s="113"/>
      <c r="X446" s="113"/>
      <c r="Y446" s="18"/>
      <c r="Z446" s="18"/>
      <c r="AA446" s="18"/>
    </row>
    <row r="447">
      <c r="A447" s="112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2"/>
      <c r="Q447" s="112"/>
      <c r="R447" s="113"/>
      <c r="S447" s="113"/>
      <c r="T447" s="113"/>
      <c r="U447" s="113"/>
      <c r="V447" s="113"/>
      <c r="W447" s="113"/>
      <c r="X447" s="113"/>
      <c r="Y447" s="18"/>
      <c r="Z447" s="18"/>
      <c r="AA447" s="18"/>
    </row>
    <row r="448">
      <c r="A448" s="112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2"/>
      <c r="Q448" s="112"/>
      <c r="R448" s="113"/>
      <c r="S448" s="113"/>
      <c r="T448" s="113"/>
      <c r="U448" s="113"/>
      <c r="V448" s="113"/>
      <c r="W448" s="113"/>
      <c r="X448" s="113"/>
      <c r="Y448" s="18"/>
      <c r="Z448" s="18"/>
      <c r="AA448" s="18"/>
    </row>
    <row r="449">
      <c r="A449" s="112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2"/>
      <c r="Q449" s="112"/>
      <c r="R449" s="113"/>
      <c r="S449" s="113"/>
      <c r="T449" s="113"/>
      <c r="U449" s="113"/>
      <c r="V449" s="113"/>
      <c r="W449" s="113"/>
      <c r="X449" s="113"/>
      <c r="Y449" s="18"/>
      <c r="Z449" s="18"/>
      <c r="AA449" s="18"/>
    </row>
    <row r="450">
      <c r="A450" s="112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2"/>
      <c r="Q450" s="112"/>
      <c r="R450" s="113"/>
      <c r="S450" s="113"/>
      <c r="T450" s="113"/>
      <c r="U450" s="113"/>
      <c r="V450" s="113"/>
      <c r="W450" s="113"/>
      <c r="X450" s="113"/>
      <c r="Y450" s="18"/>
      <c r="Z450" s="18"/>
      <c r="AA450" s="18"/>
    </row>
    <row r="451">
      <c r="A451" s="112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2"/>
      <c r="Q451" s="112"/>
      <c r="R451" s="113"/>
      <c r="S451" s="113"/>
      <c r="T451" s="113"/>
      <c r="U451" s="113"/>
      <c r="V451" s="113"/>
      <c r="W451" s="113"/>
      <c r="X451" s="113"/>
      <c r="Y451" s="18"/>
      <c r="Z451" s="18"/>
      <c r="AA451" s="18"/>
    </row>
    <row r="452">
      <c r="A452" s="112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2"/>
      <c r="Q452" s="112"/>
      <c r="R452" s="113"/>
      <c r="S452" s="113"/>
      <c r="T452" s="113"/>
      <c r="U452" s="113"/>
      <c r="V452" s="113"/>
      <c r="W452" s="113"/>
      <c r="X452" s="113"/>
      <c r="Y452" s="18"/>
      <c r="Z452" s="18"/>
      <c r="AA452" s="18"/>
    </row>
    <row r="453">
      <c r="A453" s="112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2"/>
      <c r="Q453" s="112"/>
      <c r="R453" s="113"/>
      <c r="S453" s="113"/>
      <c r="T453" s="113"/>
      <c r="U453" s="113"/>
      <c r="V453" s="113"/>
      <c r="W453" s="113"/>
      <c r="X453" s="113"/>
      <c r="Y453" s="18"/>
      <c r="Z453" s="18"/>
      <c r="AA453" s="18"/>
    </row>
    <row r="454">
      <c r="A454" s="112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2"/>
      <c r="Q454" s="112"/>
      <c r="R454" s="113"/>
      <c r="S454" s="113"/>
      <c r="T454" s="113"/>
      <c r="U454" s="113"/>
      <c r="V454" s="113"/>
      <c r="W454" s="113"/>
      <c r="X454" s="113"/>
      <c r="Y454" s="18"/>
      <c r="Z454" s="18"/>
      <c r="AA454" s="18"/>
    </row>
    <row r="455">
      <c r="A455" s="112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2"/>
      <c r="Q455" s="112"/>
      <c r="R455" s="113"/>
      <c r="S455" s="113"/>
      <c r="T455" s="113"/>
      <c r="U455" s="113"/>
      <c r="V455" s="113"/>
      <c r="W455" s="113"/>
      <c r="X455" s="113"/>
      <c r="Y455" s="18"/>
      <c r="Z455" s="18"/>
      <c r="AA455" s="18"/>
    </row>
    <row r="456">
      <c r="A456" s="112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2"/>
      <c r="Q456" s="112"/>
      <c r="R456" s="113"/>
      <c r="S456" s="113"/>
      <c r="T456" s="113"/>
      <c r="U456" s="113"/>
      <c r="V456" s="113"/>
      <c r="W456" s="113"/>
      <c r="X456" s="113"/>
      <c r="Y456" s="18"/>
      <c r="Z456" s="18"/>
      <c r="AA456" s="18"/>
    </row>
    <row r="457">
      <c r="A457" s="112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2"/>
      <c r="Q457" s="112"/>
      <c r="R457" s="113"/>
      <c r="S457" s="113"/>
      <c r="T457" s="113"/>
      <c r="U457" s="113"/>
      <c r="V457" s="113"/>
      <c r="W457" s="113"/>
      <c r="X457" s="113"/>
      <c r="Y457" s="18"/>
      <c r="Z457" s="18"/>
      <c r="AA457" s="18"/>
    </row>
    <row r="458">
      <c r="A458" s="112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2"/>
      <c r="Q458" s="112"/>
      <c r="R458" s="113"/>
      <c r="S458" s="113"/>
      <c r="T458" s="113"/>
      <c r="U458" s="113"/>
      <c r="V458" s="113"/>
      <c r="W458" s="113"/>
      <c r="X458" s="113"/>
      <c r="Y458" s="18"/>
      <c r="Z458" s="18"/>
      <c r="AA458" s="18"/>
    </row>
    <row r="459">
      <c r="A459" s="112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2"/>
      <c r="Q459" s="112"/>
      <c r="R459" s="113"/>
      <c r="S459" s="113"/>
      <c r="T459" s="113"/>
      <c r="U459" s="113"/>
      <c r="V459" s="113"/>
      <c r="W459" s="113"/>
      <c r="X459" s="113"/>
      <c r="Y459" s="18"/>
      <c r="Z459" s="18"/>
      <c r="AA459" s="18"/>
    </row>
    <row r="460">
      <c r="A460" s="112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2"/>
      <c r="Q460" s="112"/>
      <c r="R460" s="113"/>
      <c r="S460" s="113"/>
      <c r="T460" s="113"/>
      <c r="U460" s="113"/>
      <c r="V460" s="113"/>
      <c r="W460" s="113"/>
      <c r="X460" s="113"/>
      <c r="Y460" s="18"/>
      <c r="Z460" s="18"/>
      <c r="AA460" s="18"/>
    </row>
    <row r="461">
      <c r="A461" s="112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2"/>
      <c r="Q461" s="112"/>
      <c r="R461" s="113"/>
      <c r="S461" s="113"/>
      <c r="T461" s="113"/>
      <c r="U461" s="113"/>
      <c r="V461" s="113"/>
      <c r="W461" s="113"/>
      <c r="X461" s="113"/>
      <c r="Y461" s="18"/>
      <c r="Z461" s="18"/>
      <c r="AA461" s="18"/>
    </row>
    <row r="462">
      <c r="A462" s="112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2"/>
      <c r="Q462" s="112"/>
      <c r="R462" s="113"/>
      <c r="S462" s="113"/>
      <c r="T462" s="113"/>
      <c r="U462" s="113"/>
      <c r="V462" s="113"/>
      <c r="W462" s="113"/>
      <c r="X462" s="113"/>
      <c r="Y462" s="18"/>
      <c r="Z462" s="18"/>
      <c r="AA462" s="18"/>
    </row>
    <row r="463">
      <c r="A463" s="112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2"/>
      <c r="Q463" s="112"/>
      <c r="R463" s="113"/>
      <c r="S463" s="113"/>
      <c r="T463" s="113"/>
      <c r="U463" s="113"/>
      <c r="V463" s="113"/>
      <c r="W463" s="113"/>
      <c r="X463" s="113"/>
      <c r="Y463" s="18"/>
      <c r="Z463" s="18"/>
      <c r="AA463" s="18"/>
    </row>
    <row r="464">
      <c r="A464" s="112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2"/>
      <c r="Q464" s="112"/>
      <c r="R464" s="113"/>
      <c r="S464" s="113"/>
      <c r="T464" s="113"/>
      <c r="U464" s="113"/>
      <c r="V464" s="113"/>
      <c r="W464" s="113"/>
      <c r="X464" s="113"/>
      <c r="Y464" s="18"/>
      <c r="Z464" s="18"/>
      <c r="AA464" s="18"/>
    </row>
    <row r="465">
      <c r="A465" s="112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2"/>
      <c r="Q465" s="112"/>
      <c r="R465" s="113"/>
      <c r="S465" s="113"/>
      <c r="T465" s="113"/>
      <c r="U465" s="113"/>
      <c r="V465" s="113"/>
      <c r="W465" s="113"/>
      <c r="X465" s="113"/>
      <c r="Y465" s="18"/>
      <c r="Z465" s="18"/>
      <c r="AA465" s="18"/>
    </row>
    <row r="466">
      <c r="A466" s="112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2"/>
      <c r="Q466" s="112"/>
      <c r="R466" s="113"/>
      <c r="S466" s="113"/>
      <c r="T466" s="113"/>
      <c r="U466" s="113"/>
      <c r="V466" s="113"/>
      <c r="W466" s="113"/>
      <c r="X466" s="113"/>
      <c r="Y466" s="18"/>
      <c r="Z466" s="18"/>
      <c r="AA466" s="18"/>
    </row>
    <row r="467">
      <c r="A467" s="112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2"/>
      <c r="Q467" s="112"/>
      <c r="R467" s="113"/>
      <c r="S467" s="113"/>
      <c r="T467" s="113"/>
      <c r="U467" s="113"/>
      <c r="V467" s="113"/>
      <c r="W467" s="113"/>
      <c r="X467" s="113"/>
      <c r="Y467" s="18"/>
      <c r="Z467" s="18"/>
      <c r="AA467" s="18"/>
    </row>
    <row r="468">
      <c r="A468" s="112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2"/>
      <c r="Q468" s="112"/>
      <c r="R468" s="113"/>
      <c r="S468" s="113"/>
      <c r="T468" s="113"/>
      <c r="U468" s="113"/>
      <c r="V468" s="113"/>
      <c r="W468" s="113"/>
      <c r="X468" s="113"/>
      <c r="Y468" s="18"/>
      <c r="Z468" s="18"/>
      <c r="AA468" s="18"/>
    </row>
    <row r="469">
      <c r="A469" s="112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2"/>
      <c r="Q469" s="112"/>
      <c r="R469" s="113"/>
      <c r="S469" s="113"/>
      <c r="T469" s="113"/>
      <c r="U469" s="113"/>
      <c r="V469" s="113"/>
      <c r="W469" s="113"/>
      <c r="X469" s="113"/>
      <c r="Y469" s="18"/>
      <c r="Z469" s="18"/>
      <c r="AA469" s="18"/>
    </row>
    <row r="470">
      <c r="A470" s="112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2"/>
      <c r="Q470" s="112"/>
      <c r="R470" s="113"/>
      <c r="S470" s="113"/>
      <c r="T470" s="113"/>
      <c r="U470" s="113"/>
      <c r="V470" s="113"/>
      <c r="W470" s="113"/>
      <c r="X470" s="113"/>
      <c r="Y470" s="18"/>
      <c r="Z470" s="18"/>
      <c r="AA470" s="18"/>
    </row>
    <row r="471">
      <c r="A471" s="112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2"/>
      <c r="Q471" s="112"/>
      <c r="R471" s="113"/>
      <c r="S471" s="113"/>
      <c r="T471" s="113"/>
      <c r="U471" s="113"/>
      <c r="V471" s="113"/>
      <c r="W471" s="113"/>
      <c r="X471" s="113"/>
      <c r="Y471" s="18"/>
      <c r="Z471" s="18"/>
      <c r="AA471" s="18"/>
    </row>
    <row r="472">
      <c r="A472" s="112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2"/>
      <c r="Q472" s="112"/>
      <c r="R472" s="113"/>
      <c r="S472" s="113"/>
      <c r="T472" s="113"/>
      <c r="U472" s="113"/>
      <c r="V472" s="113"/>
      <c r="W472" s="113"/>
      <c r="X472" s="113"/>
      <c r="Y472" s="18"/>
      <c r="Z472" s="18"/>
      <c r="AA472" s="18"/>
    </row>
    <row r="473">
      <c r="A473" s="112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2"/>
      <c r="Q473" s="112"/>
      <c r="R473" s="113"/>
      <c r="S473" s="113"/>
      <c r="T473" s="113"/>
      <c r="U473" s="113"/>
      <c r="V473" s="113"/>
      <c r="W473" s="113"/>
      <c r="X473" s="113"/>
      <c r="Y473" s="18"/>
      <c r="Z473" s="18"/>
      <c r="AA473" s="18"/>
    </row>
    <row r="474">
      <c r="A474" s="112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2"/>
      <c r="Q474" s="112"/>
      <c r="R474" s="113"/>
      <c r="S474" s="113"/>
      <c r="T474" s="113"/>
      <c r="U474" s="113"/>
      <c r="V474" s="113"/>
      <c r="W474" s="113"/>
      <c r="X474" s="113"/>
      <c r="Y474" s="18"/>
      <c r="Z474" s="18"/>
      <c r="AA474" s="18"/>
    </row>
    <row r="475">
      <c r="A475" s="112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2"/>
      <c r="Q475" s="112"/>
      <c r="R475" s="113"/>
      <c r="S475" s="113"/>
      <c r="T475" s="113"/>
      <c r="U475" s="113"/>
      <c r="V475" s="113"/>
      <c r="W475" s="113"/>
      <c r="X475" s="113"/>
      <c r="Y475" s="18"/>
      <c r="Z475" s="18"/>
      <c r="AA475" s="18"/>
    </row>
    <row r="476">
      <c r="A476" s="112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2"/>
      <c r="Q476" s="112"/>
      <c r="R476" s="113"/>
      <c r="S476" s="113"/>
      <c r="T476" s="113"/>
      <c r="U476" s="113"/>
      <c r="V476" s="113"/>
      <c r="W476" s="113"/>
      <c r="X476" s="113"/>
      <c r="Y476" s="18"/>
      <c r="Z476" s="18"/>
      <c r="AA476" s="18"/>
    </row>
    <row r="477">
      <c r="A477" s="112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2"/>
      <c r="Q477" s="112"/>
      <c r="R477" s="113"/>
      <c r="S477" s="113"/>
      <c r="T477" s="113"/>
      <c r="U477" s="113"/>
      <c r="V477" s="113"/>
      <c r="W477" s="113"/>
      <c r="X477" s="113"/>
      <c r="Y477" s="18"/>
      <c r="Z477" s="18"/>
      <c r="AA477" s="18"/>
    </row>
    <row r="478">
      <c r="A478" s="112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2"/>
      <c r="Q478" s="112"/>
      <c r="R478" s="113"/>
      <c r="S478" s="113"/>
      <c r="T478" s="113"/>
      <c r="U478" s="113"/>
      <c r="V478" s="113"/>
      <c r="W478" s="113"/>
      <c r="X478" s="113"/>
      <c r="Y478" s="18"/>
      <c r="Z478" s="18"/>
      <c r="AA478" s="18"/>
    </row>
    <row r="479">
      <c r="A479" s="112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2"/>
      <c r="Q479" s="112"/>
      <c r="R479" s="113"/>
      <c r="S479" s="113"/>
      <c r="T479" s="113"/>
      <c r="U479" s="113"/>
      <c r="V479" s="113"/>
      <c r="W479" s="113"/>
      <c r="X479" s="113"/>
      <c r="Y479" s="18"/>
      <c r="Z479" s="18"/>
      <c r="AA479" s="18"/>
    </row>
    <row r="480">
      <c r="A480" s="112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2"/>
      <c r="Q480" s="112"/>
      <c r="R480" s="113"/>
      <c r="S480" s="113"/>
      <c r="T480" s="113"/>
      <c r="U480" s="113"/>
      <c r="V480" s="113"/>
      <c r="W480" s="113"/>
      <c r="X480" s="113"/>
      <c r="Y480" s="18"/>
      <c r="Z480" s="18"/>
      <c r="AA480" s="18"/>
    </row>
    <row r="481">
      <c r="A481" s="112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2"/>
      <c r="Q481" s="112"/>
      <c r="R481" s="113"/>
      <c r="S481" s="113"/>
      <c r="T481" s="113"/>
      <c r="U481" s="113"/>
      <c r="V481" s="113"/>
      <c r="W481" s="113"/>
      <c r="X481" s="113"/>
      <c r="Y481" s="18"/>
      <c r="Z481" s="18"/>
      <c r="AA481" s="18"/>
    </row>
    <row r="482">
      <c r="A482" s="112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2"/>
      <c r="Q482" s="112"/>
      <c r="R482" s="113"/>
      <c r="S482" s="113"/>
      <c r="T482" s="113"/>
      <c r="U482" s="113"/>
      <c r="V482" s="113"/>
      <c r="W482" s="113"/>
      <c r="X482" s="113"/>
      <c r="Y482" s="18"/>
      <c r="Z482" s="18"/>
      <c r="AA482" s="18"/>
    </row>
    <row r="483">
      <c r="A483" s="112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2"/>
      <c r="Q483" s="112"/>
      <c r="R483" s="113"/>
      <c r="S483" s="113"/>
      <c r="T483" s="113"/>
      <c r="U483" s="113"/>
      <c r="V483" s="113"/>
      <c r="W483" s="113"/>
      <c r="X483" s="113"/>
      <c r="Y483" s="18"/>
      <c r="Z483" s="18"/>
      <c r="AA483" s="18"/>
    </row>
    <row r="484">
      <c r="A484" s="112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2"/>
      <c r="Q484" s="112"/>
      <c r="R484" s="113"/>
      <c r="S484" s="113"/>
      <c r="T484" s="113"/>
      <c r="U484" s="113"/>
      <c r="V484" s="113"/>
      <c r="W484" s="113"/>
      <c r="X484" s="113"/>
      <c r="Y484" s="18"/>
      <c r="Z484" s="18"/>
      <c r="AA484" s="18"/>
    </row>
    <row r="485">
      <c r="A485" s="112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2"/>
      <c r="Q485" s="112"/>
      <c r="R485" s="113"/>
      <c r="S485" s="113"/>
      <c r="T485" s="113"/>
      <c r="U485" s="113"/>
      <c r="V485" s="113"/>
      <c r="W485" s="113"/>
      <c r="X485" s="113"/>
      <c r="Y485" s="18"/>
      <c r="Z485" s="18"/>
      <c r="AA485" s="18"/>
    </row>
    <row r="486">
      <c r="A486" s="112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2"/>
      <c r="Q486" s="112"/>
      <c r="R486" s="113"/>
      <c r="S486" s="113"/>
      <c r="T486" s="113"/>
      <c r="U486" s="113"/>
      <c r="V486" s="113"/>
      <c r="W486" s="113"/>
      <c r="X486" s="113"/>
      <c r="Y486" s="18"/>
      <c r="Z486" s="18"/>
      <c r="AA486" s="18"/>
    </row>
    <row r="487">
      <c r="A487" s="112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2"/>
      <c r="Q487" s="112"/>
      <c r="R487" s="113"/>
      <c r="S487" s="113"/>
      <c r="T487" s="113"/>
      <c r="U487" s="113"/>
      <c r="V487" s="113"/>
      <c r="W487" s="113"/>
      <c r="X487" s="113"/>
      <c r="Y487" s="18"/>
      <c r="Z487" s="18"/>
      <c r="AA487" s="18"/>
    </row>
    <row r="488">
      <c r="A488" s="112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2"/>
      <c r="Q488" s="112"/>
      <c r="R488" s="113"/>
      <c r="S488" s="113"/>
      <c r="T488" s="113"/>
      <c r="U488" s="113"/>
      <c r="V488" s="113"/>
      <c r="W488" s="113"/>
      <c r="X488" s="113"/>
      <c r="Y488" s="18"/>
      <c r="Z488" s="18"/>
      <c r="AA488" s="18"/>
    </row>
    <row r="489">
      <c r="A489" s="112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2"/>
      <c r="Q489" s="112"/>
      <c r="R489" s="113"/>
      <c r="S489" s="113"/>
      <c r="T489" s="113"/>
      <c r="U489" s="113"/>
      <c r="V489" s="113"/>
      <c r="W489" s="113"/>
      <c r="X489" s="113"/>
      <c r="Y489" s="18"/>
      <c r="Z489" s="18"/>
      <c r="AA489" s="18"/>
    </row>
    <row r="490">
      <c r="A490" s="112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2"/>
      <c r="Q490" s="112"/>
      <c r="R490" s="113"/>
      <c r="S490" s="113"/>
      <c r="T490" s="113"/>
      <c r="U490" s="113"/>
      <c r="V490" s="113"/>
      <c r="W490" s="113"/>
      <c r="X490" s="113"/>
      <c r="Y490" s="18"/>
      <c r="Z490" s="18"/>
      <c r="AA490" s="18"/>
    </row>
    <row r="491">
      <c r="A491" s="112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2"/>
      <c r="Q491" s="112"/>
      <c r="R491" s="113"/>
      <c r="S491" s="113"/>
      <c r="T491" s="113"/>
      <c r="U491" s="113"/>
      <c r="V491" s="113"/>
      <c r="W491" s="113"/>
      <c r="X491" s="113"/>
      <c r="Y491" s="18"/>
      <c r="Z491" s="18"/>
      <c r="AA491" s="18"/>
    </row>
    <row r="492">
      <c r="A492" s="112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2"/>
      <c r="Q492" s="112"/>
      <c r="R492" s="113"/>
      <c r="S492" s="113"/>
      <c r="T492" s="113"/>
      <c r="U492" s="113"/>
      <c r="V492" s="113"/>
      <c r="W492" s="113"/>
      <c r="X492" s="113"/>
      <c r="Y492" s="18"/>
      <c r="Z492" s="18"/>
      <c r="AA492" s="18"/>
    </row>
    <row r="493">
      <c r="A493" s="112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2"/>
      <c r="Q493" s="112"/>
      <c r="R493" s="113"/>
      <c r="S493" s="113"/>
      <c r="T493" s="113"/>
      <c r="U493" s="113"/>
      <c r="V493" s="113"/>
      <c r="W493" s="113"/>
      <c r="X493" s="113"/>
      <c r="Y493" s="18"/>
      <c r="Z493" s="18"/>
      <c r="AA493" s="18"/>
    </row>
    <row r="494">
      <c r="A494" s="112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2"/>
      <c r="Q494" s="112"/>
      <c r="R494" s="113"/>
      <c r="S494" s="113"/>
      <c r="T494" s="113"/>
      <c r="U494" s="113"/>
      <c r="V494" s="113"/>
      <c r="W494" s="113"/>
      <c r="X494" s="113"/>
      <c r="Y494" s="18"/>
      <c r="Z494" s="18"/>
      <c r="AA494" s="18"/>
    </row>
    <row r="495">
      <c r="A495" s="112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2"/>
      <c r="Q495" s="112"/>
      <c r="R495" s="113"/>
      <c r="S495" s="113"/>
      <c r="T495" s="113"/>
      <c r="U495" s="113"/>
      <c r="V495" s="113"/>
      <c r="W495" s="113"/>
      <c r="X495" s="113"/>
      <c r="Y495" s="18"/>
      <c r="Z495" s="18"/>
      <c r="AA495" s="18"/>
    </row>
    <row r="496">
      <c r="A496" s="112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2"/>
      <c r="Q496" s="112"/>
      <c r="R496" s="113"/>
      <c r="S496" s="113"/>
      <c r="T496" s="113"/>
      <c r="U496" s="113"/>
      <c r="V496" s="113"/>
      <c r="W496" s="113"/>
      <c r="X496" s="113"/>
      <c r="Y496" s="18"/>
      <c r="Z496" s="18"/>
      <c r="AA496" s="18"/>
    </row>
    <row r="497">
      <c r="A497" s="112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2"/>
      <c r="Q497" s="112"/>
      <c r="R497" s="113"/>
      <c r="S497" s="113"/>
      <c r="T497" s="113"/>
      <c r="U497" s="113"/>
      <c r="V497" s="113"/>
      <c r="W497" s="113"/>
      <c r="X497" s="113"/>
      <c r="Y497" s="18"/>
      <c r="Z497" s="18"/>
      <c r="AA497" s="18"/>
    </row>
    <row r="498">
      <c r="A498" s="112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2"/>
      <c r="Q498" s="112"/>
      <c r="R498" s="113"/>
      <c r="S498" s="113"/>
      <c r="T498" s="113"/>
      <c r="U498" s="113"/>
      <c r="V498" s="113"/>
      <c r="W498" s="113"/>
      <c r="X498" s="113"/>
      <c r="Y498" s="18"/>
      <c r="Z498" s="18"/>
      <c r="AA498" s="18"/>
    </row>
    <row r="499">
      <c r="A499" s="112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2"/>
      <c r="Q499" s="112"/>
      <c r="R499" s="113"/>
      <c r="S499" s="113"/>
      <c r="T499" s="113"/>
      <c r="U499" s="113"/>
      <c r="V499" s="113"/>
      <c r="W499" s="113"/>
      <c r="X499" s="113"/>
      <c r="Y499" s="18"/>
      <c r="Z499" s="18"/>
      <c r="AA499" s="18"/>
    </row>
    <row r="500">
      <c r="A500" s="112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2"/>
      <c r="Q500" s="112"/>
      <c r="R500" s="113"/>
      <c r="S500" s="113"/>
      <c r="T500" s="113"/>
      <c r="U500" s="113"/>
      <c r="V500" s="113"/>
      <c r="W500" s="113"/>
      <c r="X500" s="113"/>
      <c r="Y500" s="18"/>
      <c r="Z500" s="18"/>
      <c r="AA500" s="18"/>
    </row>
    <row r="501">
      <c r="A501" s="112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2"/>
      <c r="Q501" s="112"/>
      <c r="R501" s="113"/>
      <c r="S501" s="113"/>
      <c r="T501" s="113"/>
      <c r="U501" s="113"/>
      <c r="V501" s="113"/>
      <c r="W501" s="113"/>
      <c r="X501" s="113"/>
      <c r="Y501" s="18"/>
      <c r="Z501" s="18"/>
      <c r="AA501" s="18"/>
    </row>
    <row r="502">
      <c r="A502" s="112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2"/>
      <c r="Q502" s="112"/>
      <c r="R502" s="113"/>
      <c r="S502" s="113"/>
      <c r="T502" s="113"/>
      <c r="U502" s="113"/>
      <c r="V502" s="113"/>
      <c r="W502" s="113"/>
      <c r="X502" s="113"/>
      <c r="Y502" s="18"/>
      <c r="Z502" s="18"/>
      <c r="AA502" s="18"/>
    </row>
    <row r="503">
      <c r="A503" s="112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2"/>
      <c r="Q503" s="112"/>
      <c r="R503" s="113"/>
      <c r="S503" s="113"/>
      <c r="T503" s="113"/>
      <c r="U503" s="113"/>
      <c r="V503" s="113"/>
      <c r="W503" s="113"/>
      <c r="X503" s="113"/>
      <c r="Y503" s="18"/>
      <c r="Z503" s="18"/>
      <c r="AA503" s="18"/>
    </row>
    <row r="504">
      <c r="A504" s="112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2"/>
      <c r="Q504" s="112"/>
      <c r="R504" s="113"/>
      <c r="S504" s="113"/>
      <c r="T504" s="113"/>
      <c r="U504" s="113"/>
      <c r="V504" s="113"/>
      <c r="W504" s="113"/>
      <c r="X504" s="113"/>
      <c r="Y504" s="18"/>
      <c r="Z504" s="18"/>
      <c r="AA504" s="18"/>
    </row>
    <row r="505">
      <c r="A505" s="112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2"/>
      <c r="Q505" s="112"/>
      <c r="R505" s="113"/>
      <c r="S505" s="113"/>
      <c r="T505" s="113"/>
      <c r="U505" s="113"/>
      <c r="V505" s="113"/>
      <c r="W505" s="113"/>
      <c r="X505" s="113"/>
      <c r="Y505" s="18"/>
      <c r="Z505" s="18"/>
      <c r="AA505" s="18"/>
    </row>
    <row r="506">
      <c r="A506" s="112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2"/>
      <c r="Q506" s="112"/>
      <c r="R506" s="113"/>
      <c r="S506" s="113"/>
      <c r="T506" s="113"/>
      <c r="U506" s="113"/>
      <c r="V506" s="113"/>
      <c r="W506" s="113"/>
      <c r="X506" s="113"/>
      <c r="Y506" s="18"/>
      <c r="Z506" s="18"/>
      <c r="AA506" s="18"/>
    </row>
    <row r="507">
      <c r="A507" s="112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2"/>
      <c r="Q507" s="112"/>
      <c r="R507" s="113"/>
      <c r="S507" s="113"/>
      <c r="T507" s="113"/>
      <c r="U507" s="113"/>
      <c r="V507" s="113"/>
      <c r="W507" s="113"/>
      <c r="X507" s="113"/>
      <c r="Y507" s="18"/>
      <c r="Z507" s="18"/>
      <c r="AA507" s="18"/>
    </row>
    <row r="508">
      <c r="A508" s="112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2"/>
      <c r="Q508" s="112"/>
      <c r="R508" s="113"/>
      <c r="S508" s="113"/>
      <c r="T508" s="113"/>
      <c r="U508" s="113"/>
      <c r="V508" s="113"/>
      <c r="W508" s="113"/>
      <c r="X508" s="113"/>
      <c r="Y508" s="18"/>
      <c r="Z508" s="18"/>
      <c r="AA508" s="18"/>
    </row>
    <row r="509">
      <c r="A509" s="112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2"/>
      <c r="Q509" s="112"/>
      <c r="R509" s="113"/>
      <c r="S509" s="113"/>
      <c r="T509" s="113"/>
      <c r="U509" s="113"/>
      <c r="V509" s="113"/>
      <c r="W509" s="113"/>
      <c r="X509" s="113"/>
      <c r="Y509" s="18"/>
      <c r="Z509" s="18"/>
      <c r="AA509" s="18"/>
    </row>
    <row r="510">
      <c r="A510" s="112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2"/>
      <c r="Q510" s="112"/>
      <c r="R510" s="113"/>
      <c r="S510" s="113"/>
      <c r="T510" s="113"/>
      <c r="U510" s="113"/>
      <c r="V510" s="113"/>
      <c r="W510" s="113"/>
      <c r="X510" s="113"/>
      <c r="Y510" s="18"/>
      <c r="Z510" s="18"/>
      <c r="AA510" s="18"/>
    </row>
    <row r="511">
      <c r="A511" s="112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2"/>
      <c r="Q511" s="112"/>
      <c r="R511" s="113"/>
      <c r="S511" s="113"/>
      <c r="T511" s="113"/>
      <c r="U511" s="113"/>
      <c r="V511" s="113"/>
      <c r="W511" s="113"/>
      <c r="X511" s="113"/>
      <c r="Y511" s="18"/>
      <c r="Z511" s="18"/>
      <c r="AA511" s="18"/>
    </row>
    <row r="512">
      <c r="A512" s="112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2"/>
      <c r="Q512" s="112"/>
      <c r="R512" s="113"/>
      <c r="S512" s="113"/>
      <c r="T512" s="113"/>
      <c r="U512" s="113"/>
      <c r="V512" s="113"/>
      <c r="W512" s="113"/>
      <c r="X512" s="113"/>
      <c r="Y512" s="18"/>
      <c r="Z512" s="18"/>
      <c r="AA512" s="18"/>
    </row>
    <row r="513">
      <c r="A513" s="112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2"/>
      <c r="Q513" s="112"/>
      <c r="R513" s="113"/>
      <c r="S513" s="113"/>
      <c r="T513" s="113"/>
      <c r="U513" s="113"/>
      <c r="V513" s="113"/>
      <c r="W513" s="113"/>
      <c r="X513" s="113"/>
      <c r="Y513" s="18"/>
      <c r="Z513" s="18"/>
      <c r="AA513" s="18"/>
    </row>
    <row r="514">
      <c r="A514" s="112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2"/>
      <c r="Q514" s="112"/>
      <c r="R514" s="113"/>
      <c r="S514" s="113"/>
      <c r="T514" s="113"/>
      <c r="U514" s="113"/>
      <c r="V514" s="113"/>
      <c r="W514" s="113"/>
      <c r="X514" s="113"/>
      <c r="Y514" s="18"/>
      <c r="Z514" s="18"/>
      <c r="AA514" s="18"/>
    </row>
    <row r="515">
      <c r="A515" s="112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2"/>
      <c r="Q515" s="112"/>
      <c r="R515" s="113"/>
      <c r="S515" s="113"/>
      <c r="T515" s="113"/>
      <c r="U515" s="113"/>
      <c r="V515" s="113"/>
      <c r="W515" s="113"/>
      <c r="X515" s="113"/>
      <c r="Y515" s="18"/>
      <c r="Z515" s="18"/>
      <c r="AA515" s="18"/>
    </row>
    <row r="516">
      <c r="A516" s="112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2"/>
      <c r="Q516" s="112"/>
      <c r="R516" s="113"/>
      <c r="S516" s="113"/>
      <c r="T516" s="113"/>
      <c r="U516" s="113"/>
      <c r="V516" s="113"/>
      <c r="W516" s="113"/>
      <c r="X516" s="113"/>
      <c r="Y516" s="18"/>
      <c r="Z516" s="18"/>
      <c r="AA516" s="18"/>
    </row>
    <row r="517">
      <c r="A517" s="112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2"/>
      <c r="Q517" s="112"/>
      <c r="R517" s="113"/>
      <c r="S517" s="113"/>
      <c r="T517" s="113"/>
      <c r="U517" s="113"/>
      <c r="V517" s="113"/>
      <c r="W517" s="113"/>
      <c r="X517" s="113"/>
      <c r="Y517" s="18"/>
      <c r="Z517" s="18"/>
      <c r="AA517" s="18"/>
    </row>
    <row r="518">
      <c r="A518" s="112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2"/>
      <c r="Q518" s="112"/>
      <c r="R518" s="113"/>
      <c r="S518" s="113"/>
      <c r="T518" s="113"/>
      <c r="U518" s="113"/>
      <c r="V518" s="113"/>
      <c r="W518" s="113"/>
      <c r="X518" s="113"/>
      <c r="Y518" s="18"/>
      <c r="Z518" s="18"/>
      <c r="AA518" s="18"/>
    </row>
    <row r="519">
      <c r="A519" s="112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2"/>
      <c r="Q519" s="112"/>
      <c r="R519" s="113"/>
      <c r="S519" s="113"/>
      <c r="T519" s="113"/>
      <c r="U519" s="113"/>
      <c r="V519" s="113"/>
      <c r="W519" s="113"/>
      <c r="X519" s="113"/>
      <c r="Y519" s="18"/>
      <c r="Z519" s="18"/>
      <c r="AA519" s="18"/>
    </row>
    <row r="520">
      <c r="A520" s="112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2"/>
      <c r="Q520" s="112"/>
      <c r="R520" s="113"/>
      <c r="S520" s="113"/>
      <c r="T520" s="113"/>
      <c r="U520" s="113"/>
      <c r="V520" s="113"/>
      <c r="W520" s="113"/>
      <c r="X520" s="113"/>
      <c r="Y520" s="18"/>
      <c r="Z520" s="18"/>
      <c r="AA520" s="18"/>
    </row>
    <row r="521">
      <c r="A521" s="112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2"/>
      <c r="Q521" s="112"/>
      <c r="R521" s="113"/>
      <c r="S521" s="113"/>
      <c r="T521" s="113"/>
      <c r="U521" s="113"/>
      <c r="V521" s="113"/>
      <c r="W521" s="113"/>
      <c r="X521" s="113"/>
      <c r="Y521" s="18"/>
      <c r="Z521" s="18"/>
      <c r="AA521" s="18"/>
    </row>
    <row r="522">
      <c r="A522" s="112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2"/>
      <c r="Q522" s="112"/>
      <c r="R522" s="113"/>
      <c r="S522" s="113"/>
      <c r="T522" s="113"/>
      <c r="U522" s="113"/>
      <c r="V522" s="113"/>
      <c r="W522" s="113"/>
      <c r="X522" s="113"/>
      <c r="Y522" s="18"/>
      <c r="Z522" s="18"/>
      <c r="AA522" s="18"/>
    </row>
    <row r="523">
      <c r="A523" s="112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2"/>
      <c r="Q523" s="112"/>
      <c r="R523" s="113"/>
      <c r="S523" s="113"/>
      <c r="T523" s="113"/>
      <c r="U523" s="113"/>
      <c r="V523" s="113"/>
      <c r="W523" s="113"/>
      <c r="X523" s="113"/>
      <c r="Y523" s="18"/>
      <c r="Z523" s="18"/>
      <c r="AA523" s="18"/>
    </row>
    <row r="524">
      <c r="A524" s="112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2"/>
      <c r="Q524" s="112"/>
      <c r="R524" s="113"/>
      <c r="S524" s="113"/>
      <c r="T524" s="113"/>
      <c r="U524" s="113"/>
      <c r="V524" s="113"/>
      <c r="W524" s="113"/>
      <c r="X524" s="113"/>
      <c r="Y524" s="18"/>
      <c r="Z524" s="18"/>
      <c r="AA524" s="18"/>
    </row>
    <row r="525">
      <c r="A525" s="112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2"/>
      <c r="Q525" s="112"/>
      <c r="R525" s="113"/>
      <c r="S525" s="113"/>
      <c r="T525" s="113"/>
      <c r="U525" s="113"/>
      <c r="V525" s="113"/>
      <c r="W525" s="113"/>
      <c r="X525" s="113"/>
      <c r="Y525" s="18"/>
      <c r="Z525" s="18"/>
      <c r="AA525" s="18"/>
    </row>
    <row r="526">
      <c r="A526" s="112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2"/>
      <c r="Q526" s="112"/>
      <c r="R526" s="113"/>
      <c r="S526" s="113"/>
      <c r="T526" s="113"/>
      <c r="U526" s="113"/>
      <c r="V526" s="113"/>
      <c r="W526" s="113"/>
      <c r="X526" s="113"/>
      <c r="Y526" s="18"/>
      <c r="Z526" s="18"/>
      <c r="AA526" s="18"/>
    </row>
    <row r="527">
      <c r="A527" s="112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2"/>
      <c r="Q527" s="112"/>
      <c r="R527" s="113"/>
      <c r="S527" s="113"/>
      <c r="T527" s="113"/>
      <c r="U527" s="113"/>
      <c r="V527" s="113"/>
      <c r="W527" s="113"/>
      <c r="X527" s="113"/>
      <c r="Y527" s="18"/>
      <c r="Z527" s="18"/>
      <c r="AA527" s="18"/>
    </row>
    <row r="528">
      <c r="A528" s="112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2"/>
      <c r="Q528" s="112"/>
      <c r="R528" s="113"/>
      <c r="S528" s="113"/>
      <c r="T528" s="113"/>
      <c r="U528" s="113"/>
      <c r="V528" s="113"/>
      <c r="W528" s="113"/>
      <c r="X528" s="113"/>
      <c r="Y528" s="18"/>
      <c r="Z528" s="18"/>
      <c r="AA528" s="18"/>
    </row>
    <row r="529">
      <c r="A529" s="112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2"/>
      <c r="Q529" s="112"/>
      <c r="R529" s="113"/>
      <c r="S529" s="113"/>
      <c r="T529" s="113"/>
      <c r="U529" s="113"/>
      <c r="V529" s="113"/>
      <c r="W529" s="113"/>
      <c r="X529" s="113"/>
      <c r="Y529" s="18"/>
      <c r="Z529" s="18"/>
      <c r="AA529" s="18"/>
    </row>
    <row r="530">
      <c r="A530" s="112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2"/>
      <c r="Q530" s="112"/>
      <c r="R530" s="113"/>
      <c r="S530" s="113"/>
      <c r="T530" s="113"/>
      <c r="U530" s="113"/>
      <c r="V530" s="113"/>
      <c r="W530" s="113"/>
      <c r="X530" s="113"/>
      <c r="Y530" s="18"/>
      <c r="Z530" s="18"/>
      <c r="AA530" s="18"/>
    </row>
    <row r="531">
      <c r="A531" s="112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2"/>
      <c r="Q531" s="112"/>
      <c r="R531" s="113"/>
      <c r="S531" s="113"/>
      <c r="T531" s="113"/>
      <c r="U531" s="113"/>
      <c r="V531" s="113"/>
      <c r="W531" s="113"/>
      <c r="X531" s="113"/>
      <c r="Y531" s="18"/>
      <c r="Z531" s="18"/>
      <c r="AA531" s="18"/>
    </row>
    <row r="532">
      <c r="A532" s="112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2"/>
      <c r="Q532" s="112"/>
      <c r="R532" s="113"/>
      <c r="S532" s="113"/>
      <c r="T532" s="113"/>
      <c r="U532" s="113"/>
      <c r="V532" s="113"/>
      <c r="W532" s="113"/>
      <c r="X532" s="113"/>
      <c r="Y532" s="18"/>
      <c r="Z532" s="18"/>
      <c r="AA532" s="18"/>
    </row>
    <row r="533">
      <c r="A533" s="112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2"/>
      <c r="Q533" s="112"/>
      <c r="R533" s="113"/>
      <c r="S533" s="113"/>
      <c r="T533" s="113"/>
      <c r="U533" s="113"/>
      <c r="V533" s="113"/>
      <c r="W533" s="113"/>
      <c r="X533" s="113"/>
      <c r="Y533" s="18"/>
      <c r="Z533" s="18"/>
      <c r="AA533" s="18"/>
    </row>
    <row r="534">
      <c r="A534" s="112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2"/>
      <c r="Q534" s="112"/>
      <c r="R534" s="113"/>
      <c r="S534" s="113"/>
      <c r="T534" s="113"/>
      <c r="U534" s="113"/>
      <c r="V534" s="113"/>
      <c r="W534" s="113"/>
      <c r="X534" s="113"/>
      <c r="Y534" s="18"/>
      <c r="Z534" s="18"/>
      <c r="AA534" s="18"/>
    </row>
    <row r="535">
      <c r="A535" s="112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2"/>
      <c r="Q535" s="112"/>
      <c r="R535" s="113"/>
      <c r="S535" s="113"/>
      <c r="T535" s="113"/>
      <c r="U535" s="113"/>
      <c r="V535" s="113"/>
      <c r="W535" s="113"/>
      <c r="X535" s="113"/>
      <c r="Y535" s="18"/>
      <c r="Z535" s="18"/>
      <c r="AA535" s="18"/>
    </row>
    <row r="536">
      <c r="A536" s="112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2"/>
      <c r="Q536" s="112"/>
      <c r="R536" s="113"/>
      <c r="S536" s="113"/>
      <c r="T536" s="113"/>
      <c r="U536" s="113"/>
      <c r="V536" s="113"/>
      <c r="W536" s="113"/>
      <c r="X536" s="113"/>
      <c r="Y536" s="18"/>
      <c r="Z536" s="18"/>
      <c r="AA536" s="18"/>
    </row>
    <row r="537">
      <c r="A537" s="112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2"/>
      <c r="Q537" s="112"/>
      <c r="R537" s="113"/>
      <c r="S537" s="113"/>
      <c r="T537" s="113"/>
      <c r="U537" s="113"/>
      <c r="V537" s="113"/>
      <c r="W537" s="113"/>
      <c r="X537" s="113"/>
      <c r="Y537" s="18"/>
      <c r="Z537" s="18"/>
      <c r="AA537" s="18"/>
    </row>
    <row r="538">
      <c r="A538" s="112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2"/>
      <c r="Q538" s="112"/>
      <c r="R538" s="113"/>
      <c r="S538" s="113"/>
      <c r="T538" s="113"/>
      <c r="U538" s="113"/>
      <c r="V538" s="113"/>
      <c r="W538" s="113"/>
      <c r="X538" s="113"/>
      <c r="Y538" s="18"/>
      <c r="Z538" s="18"/>
      <c r="AA538" s="18"/>
    </row>
    <row r="539">
      <c r="A539" s="112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2"/>
      <c r="Q539" s="112"/>
      <c r="R539" s="113"/>
      <c r="S539" s="113"/>
      <c r="T539" s="113"/>
      <c r="U539" s="113"/>
      <c r="V539" s="113"/>
      <c r="W539" s="113"/>
      <c r="X539" s="113"/>
      <c r="Y539" s="18"/>
      <c r="Z539" s="18"/>
      <c r="AA539" s="18"/>
    </row>
    <row r="540">
      <c r="A540" s="112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2"/>
      <c r="Q540" s="112"/>
      <c r="R540" s="113"/>
      <c r="S540" s="113"/>
      <c r="T540" s="113"/>
      <c r="U540" s="113"/>
      <c r="V540" s="113"/>
      <c r="W540" s="113"/>
      <c r="X540" s="113"/>
      <c r="Y540" s="18"/>
      <c r="Z540" s="18"/>
      <c r="AA540" s="18"/>
    </row>
    <row r="541">
      <c r="A541" s="112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2"/>
      <c r="Q541" s="112"/>
      <c r="R541" s="113"/>
      <c r="S541" s="113"/>
      <c r="T541" s="113"/>
      <c r="U541" s="113"/>
      <c r="V541" s="113"/>
      <c r="W541" s="113"/>
      <c r="X541" s="113"/>
      <c r="Y541" s="18"/>
      <c r="Z541" s="18"/>
      <c r="AA541" s="18"/>
    </row>
    <row r="542">
      <c r="A542" s="112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2"/>
      <c r="Q542" s="112"/>
      <c r="R542" s="113"/>
      <c r="S542" s="113"/>
      <c r="T542" s="113"/>
      <c r="U542" s="113"/>
      <c r="V542" s="113"/>
      <c r="W542" s="113"/>
      <c r="X542" s="113"/>
      <c r="Y542" s="18"/>
      <c r="Z542" s="18"/>
      <c r="AA542" s="18"/>
    </row>
    <row r="543">
      <c r="A543" s="112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2"/>
      <c r="Q543" s="112"/>
      <c r="R543" s="113"/>
      <c r="S543" s="113"/>
      <c r="T543" s="113"/>
      <c r="U543" s="113"/>
      <c r="V543" s="113"/>
      <c r="W543" s="113"/>
      <c r="X543" s="113"/>
      <c r="Y543" s="18"/>
      <c r="Z543" s="18"/>
      <c r="AA543" s="18"/>
    </row>
    <row r="544">
      <c r="A544" s="112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2"/>
      <c r="Q544" s="112"/>
      <c r="R544" s="113"/>
      <c r="S544" s="113"/>
      <c r="T544" s="113"/>
      <c r="U544" s="113"/>
      <c r="V544" s="113"/>
      <c r="W544" s="113"/>
      <c r="X544" s="113"/>
      <c r="Y544" s="18"/>
      <c r="Z544" s="18"/>
      <c r="AA544" s="18"/>
    </row>
    <row r="545">
      <c r="A545" s="112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2"/>
      <c r="Q545" s="112"/>
      <c r="R545" s="113"/>
      <c r="S545" s="113"/>
      <c r="T545" s="113"/>
      <c r="U545" s="113"/>
      <c r="V545" s="113"/>
      <c r="W545" s="113"/>
      <c r="X545" s="113"/>
      <c r="Y545" s="18"/>
      <c r="Z545" s="18"/>
      <c r="AA545" s="18"/>
    </row>
    <row r="546">
      <c r="A546" s="112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2"/>
      <c r="Q546" s="112"/>
      <c r="R546" s="113"/>
      <c r="S546" s="113"/>
      <c r="T546" s="113"/>
      <c r="U546" s="113"/>
      <c r="V546" s="113"/>
      <c r="W546" s="113"/>
      <c r="X546" s="113"/>
      <c r="Y546" s="18"/>
      <c r="Z546" s="18"/>
      <c r="AA546" s="18"/>
    </row>
    <row r="547">
      <c r="A547" s="112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2"/>
      <c r="Q547" s="112"/>
      <c r="R547" s="113"/>
      <c r="S547" s="113"/>
      <c r="T547" s="113"/>
      <c r="U547" s="113"/>
      <c r="V547" s="113"/>
      <c r="W547" s="113"/>
      <c r="X547" s="113"/>
      <c r="Y547" s="18"/>
      <c r="Z547" s="18"/>
      <c r="AA547" s="18"/>
    </row>
    <row r="548">
      <c r="A548" s="112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2"/>
      <c r="Q548" s="112"/>
      <c r="R548" s="113"/>
      <c r="S548" s="113"/>
      <c r="T548" s="113"/>
      <c r="U548" s="113"/>
      <c r="V548" s="113"/>
      <c r="W548" s="113"/>
      <c r="X548" s="113"/>
      <c r="Y548" s="18"/>
      <c r="Z548" s="18"/>
      <c r="AA548" s="18"/>
    </row>
    <row r="549">
      <c r="A549" s="112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2"/>
      <c r="Q549" s="112"/>
      <c r="R549" s="113"/>
      <c r="S549" s="113"/>
      <c r="T549" s="113"/>
      <c r="U549" s="113"/>
      <c r="V549" s="113"/>
      <c r="W549" s="113"/>
      <c r="X549" s="113"/>
      <c r="Y549" s="18"/>
      <c r="Z549" s="18"/>
      <c r="AA549" s="18"/>
    </row>
    <row r="550">
      <c r="A550" s="112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2"/>
      <c r="Q550" s="112"/>
      <c r="R550" s="113"/>
      <c r="S550" s="113"/>
      <c r="T550" s="113"/>
      <c r="U550" s="113"/>
      <c r="V550" s="113"/>
      <c r="W550" s="113"/>
      <c r="X550" s="113"/>
      <c r="Y550" s="18"/>
      <c r="Z550" s="18"/>
      <c r="AA550" s="18"/>
    </row>
    <row r="551">
      <c r="A551" s="112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2"/>
      <c r="Q551" s="112"/>
      <c r="R551" s="113"/>
      <c r="S551" s="113"/>
      <c r="T551" s="113"/>
      <c r="U551" s="113"/>
      <c r="V551" s="113"/>
      <c r="W551" s="113"/>
      <c r="X551" s="113"/>
      <c r="Y551" s="18"/>
      <c r="Z551" s="18"/>
      <c r="AA551" s="18"/>
    </row>
    <row r="552">
      <c r="A552" s="112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2"/>
      <c r="Q552" s="112"/>
      <c r="R552" s="113"/>
      <c r="S552" s="113"/>
      <c r="T552" s="113"/>
      <c r="U552" s="113"/>
      <c r="V552" s="113"/>
      <c r="W552" s="113"/>
      <c r="X552" s="113"/>
      <c r="Y552" s="18"/>
      <c r="Z552" s="18"/>
      <c r="AA552" s="18"/>
    </row>
    <row r="553">
      <c r="A553" s="112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2"/>
      <c r="Q553" s="112"/>
      <c r="R553" s="113"/>
      <c r="S553" s="113"/>
      <c r="T553" s="113"/>
      <c r="U553" s="113"/>
      <c r="V553" s="113"/>
      <c r="W553" s="113"/>
      <c r="X553" s="113"/>
      <c r="Y553" s="18"/>
      <c r="Z553" s="18"/>
      <c r="AA553" s="18"/>
    </row>
    <row r="554">
      <c r="A554" s="112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2"/>
      <c r="Q554" s="112"/>
      <c r="R554" s="113"/>
      <c r="S554" s="113"/>
      <c r="T554" s="113"/>
      <c r="U554" s="113"/>
      <c r="V554" s="113"/>
      <c r="W554" s="113"/>
      <c r="X554" s="113"/>
      <c r="Y554" s="18"/>
      <c r="Z554" s="18"/>
      <c r="AA554" s="18"/>
    </row>
    <row r="555">
      <c r="A555" s="112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2"/>
      <c r="Q555" s="112"/>
      <c r="R555" s="113"/>
      <c r="S555" s="113"/>
      <c r="T555" s="113"/>
      <c r="U555" s="113"/>
      <c r="V555" s="113"/>
      <c r="W555" s="113"/>
      <c r="X555" s="113"/>
      <c r="Y555" s="18"/>
      <c r="Z555" s="18"/>
      <c r="AA555" s="18"/>
    </row>
    <row r="556">
      <c r="A556" s="112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2"/>
      <c r="Q556" s="112"/>
      <c r="R556" s="113"/>
      <c r="S556" s="113"/>
      <c r="T556" s="113"/>
      <c r="U556" s="113"/>
      <c r="V556" s="113"/>
      <c r="W556" s="113"/>
      <c r="X556" s="113"/>
      <c r="Y556" s="18"/>
      <c r="Z556" s="18"/>
      <c r="AA556" s="18"/>
    </row>
    <row r="557">
      <c r="A557" s="112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2"/>
      <c r="Q557" s="112"/>
      <c r="R557" s="113"/>
      <c r="S557" s="113"/>
      <c r="T557" s="113"/>
      <c r="U557" s="113"/>
      <c r="V557" s="113"/>
      <c r="W557" s="113"/>
      <c r="X557" s="113"/>
      <c r="Y557" s="18"/>
      <c r="Z557" s="18"/>
      <c r="AA557" s="18"/>
    </row>
    <row r="558">
      <c r="A558" s="112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2"/>
      <c r="Q558" s="112"/>
      <c r="R558" s="113"/>
      <c r="S558" s="113"/>
      <c r="T558" s="113"/>
      <c r="U558" s="113"/>
      <c r="V558" s="113"/>
      <c r="W558" s="113"/>
      <c r="X558" s="113"/>
      <c r="Y558" s="18"/>
      <c r="Z558" s="18"/>
      <c r="AA558" s="18"/>
    </row>
    <row r="559">
      <c r="A559" s="112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2"/>
      <c r="Q559" s="112"/>
      <c r="R559" s="113"/>
      <c r="S559" s="113"/>
      <c r="T559" s="113"/>
      <c r="U559" s="113"/>
      <c r="V559" s="113"/>
      <c r="W559" s="113"/>
      <c r="X559" s="113"/>
      <c r="Y559" s="18"/>
      <c r="Z559" s="18"/>
      <c r="AA559" s="18"/>
    </row>
    <row r="560">
      <c r="A560" s="112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2"/>
      <c r="Q560" s="112"/>
      <c r="R560" s="113"/>
      <c r="S560" s="113"/>
      <c r="T560" s="113"/>
      <c r="U560" s="113"/>
      <c r="V560" s="113"/>
      <c r="W560" s="113"/>
      <c r="X560" s="113"/>
      <c r="Y560" s="18"/>
      <c r="Z560" s="18"/>
      <c r="AA560" s="18"/>
    </row>
    <row r="561">
      <c r="A561" s="112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2"/>
      <c r="Q561" s="112"/>
      <c r="R561" s="113"/>
      <c r="S561" s="113"/>
      <c r="T561" s="113"/>
      <c r="U561" s="113"/>
      <c r="V561" s="113"/>
      <c r="W561" s="113"/>
      <c r="X561" s="113"/>
      <c r="Y561" s="18"/>
      <c r="Z561" s="18"/>
      <c r="AA561" s="18"/>
    </row>
    <row r="562">
      <c r="A562" s="112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2"/>
      <c r="Q562" s="112"/>
      <c r="R562" s="113"/>
      <c r="S562" s="113"/>
      <c r="T562" s="113"/>
      <c r="U562" s="113"/>
      <c r="V562" s="113"/>
      <c r="W562" s="113"/>
      <c r="X562" s="113"/>
      <c r="Y562" s="18"/>
      <c r="Z562" s="18"/>
      <c r="AA562" s="18"/>
    </row>
    <row r="563">
      <c r="A563" s="112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2"/>
      <c r="Q563" s="112"/>
      <c r="R563" s="113"/>
      <c r="S563" s="113"/>
      <c r="T563" s="113"/>
      <c r="U563" s="113"/>
      <c r="V563" s="113"/>
      <c r="W563" s="113"/>
      <c r="X563" s="113"/>
      <c r="Y563" s="18"/>
      <c r="Z563" s="18"/>
      <c r="AA563" s="18"/>
    </row>
    <row r="564">
      <c r="A564" s="112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2"/>
      <c r="Q564" s="112"/>
      <c r="R564" s="113"/>
      <c r="S564" s="113"/>
      <c r="T564" s="113"/>
      <c r="U564" s="113"/>
      <c r="V564" s="113"/>
      <c r="W564" s="113"/>
      <c r="X564" s="113"/>
      <c r="Y564" s="18"/>
      <c r="Z564" s="18"/>
      <c r="AA564" s="18"/>
    </row>
    <row r="565">
      <c r="A565" s="112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2"/>
      <c r="Q565" s="112"/>
      <c r="R565" s="113"/>
      <c r="S565" s="113"/>
      <c r="T565" s="113"/>
      <c r="U565" s="113"/>
      <c r="V565" s="113"/>
      <c r="W565" s="113"/>
      <c r="X565" s="113"/>
      <c r="Y565" s="18"/>
      <c r="Z565" s="18"/>
      <c r="AA565" s="18"/>
    </row>
    <row r="566">
      <c r="A566" s="112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2"/>
      <c r="Q566" s="112"/>
      <c r="R566" s="113"/>
      <c r="S566" s="113"/>
      <c r="T566" s="113"/>
      <c r="U566" s="113"/>
      <c r="V566" s="113"/>
      <c r="W566" s="113"/>
      <c r="X566" s="113"/>
      <c r="Y566" s="18"/>
      <c r="Z566" s="18"/>
      <c r="AA566" s="18"/>
    </row>
    <row r="567">
      <c r="A567" s="112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2"/>
      <c r="Q567" s="112"/>
      <c r="R567" s="113"/>
      <c r="S567" s="113"/>
      <c r="T567" s="113"/>
      <c r="U567" s="113"/>
      <c r="V567" s="113"/>
      <c r="W567" s="113"/>
      <c r="X567" s="113"/>
      <c r="Y567" s="18"/>
      <c r="Z567" s="18"/>
      <c r="AA567" s="18"/>
    </row>
    <row r="568">
      <c r="A568" s="112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2"/>
      <c r="Q568" s="112"/>
      <c r="R568" s="113"/>
      <c r="S568" s="113"/>
      <c r="T568" s="113"/>
      <c r="U568" s="113"/>
      <c r="V568" s="113"/>
      <c r="W568" s="113"/>
      <c r="X568" s="113"/>
      <c r="Y568" s="18"/>
      <c r="Z568" s="18"/>
      <c r="AA568" s="18"/>
    </row>
    <row r="569">
      <c r="A569" s="112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2"/>
      <c r="Q569" s="112"/>
      <c r="R569" s="113"/>
      <c r="S569" s="113"/>
      <c r="T569" s="113"/>
      <c r="U569" s="113"/>
      <c r="V569" s="113"/>
      <c r="W569" s="113"/>
      <c r="X569" s="113"/>
      <c r="Y569" s="18"/>
      <c r="Z569" s="18"/>
      <c r="AA569" s="18"/>
    </row>
    <row r="570">
      <c r="A570" s="112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2"/>
      <c r="Q570" s="112"/>
      <c r="R570" s="113"/>
      <c r="S570" s="113"/>
      <c r="T570" s="113"/>
      <c r="U570" s="113"/>
      <c r="V570" s="113"/>
      <c r="W570" s="113"/>
      <c r="X570" s="113"/>
      <c r="Y570" s="18"/>
      <c r="Z570" s="18"/>
      <c r="AA570" s="18"/>
    </row>
    <row r="571">
      <c r="A571" s="112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2"/>
      <c r="Q571" s="112"/>
      <c r="R571" s="113"/>
      <c r="S571" s="113"/>
      <c r="T571" s="113"/>
      <c r="U571" s="113"/>
      <c r="V571" s="113"/>
      <c r="W571" s="113"/>
      <c r="X571" s="113"/>
      <c r="Y571" s="18"/>
      <c r="Z571" s="18"/>
      <c r="AA571" s="18"/>
    </row>
    <row r="572">
      <c r="A572" s="112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2"/>
      <c r="Q572" s="112"/>
      <c r="R572" s="113"/>
      <c r="S572" s="113"/>
      <c r="T572" s="113"/>
      <c r="U572" s="113"/>
      <c r="V572" s="113"/>
      <c r="W572" s="113"/>
      <c r="X572" s="113"/>
      <c r="Y572" s="18"/>
      <c r="Z572" s="18"/>
      <c r="AA572" s="18"/>
    </row>
    <row r="573">
      <c r="A573" s="112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2"/>
      <c r="Q573" s="112"/>
      <c r="R573" s="113"/>
      <c r="S573" s="113"/>
      <c r="T573" s="113"/>
      <c r="U573" s="113"/>
      <c r="V573" s="113"/>
      <c r="W573" s="113"/>
      <c r="X573" s="113"/>
      <c r="Y573" s="18"/>
      <c r="Z573" s="18"/>
      <c r="AA573" s="18"/>
    </row>
    <row r="574">
      <c r="A574" s="112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2"/>
      <c r="Q574" s="112"/>
      <c r="R574" s="113"/>
      <c r="S574" s="113"/>
      <c r="T574" s="113"/>
      <c r="U574" s="113"/>
      <c r="V574" s="113"/>
      <c r="W574" s="113"/>
      <c r="X574" s="113"/>
      <c r="Y574" s="18"/>
      <c r="Z574" s="18"/>
      <c r="AA574" s="18"/>
    </row>
    <row r="575">
      <c r="A575" s="112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2"/>
      <c r="Q575" s="112"/>
      <c r="R575" s="113"/>
      <c r="S575" s="113"/>
      <c r="T575" s="113"/>
      <c r="U575" s="113"/>
      <c r="V575" s="113"/>
      <c r="W575" s="113"/>
      <c r="X575" s="113"/>
      <c r="Y575" s="18"/>
      <c r="Z575" s="18"/>
      <c r="AA575" s="18"/>
    </row>
    <row r="576">
      <c r="A576" s="112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2"/>
      <c r="Q576" s="112"/>
      <c r="R576" s="113"/>
      <c r="S576" s="113"/>
      <c r="T576" s="113"/>
      <c r="U576" s="113"/>
      <c r="V576" s="113"/>
      <c r="W576" s="113"/>
      <c r="X576" s="113"/>
      <c r="Y576" s="18"/>
      <c r="Z576" s="18"/>
      <c r="AA576" s="18"/>
    </row>
    <row r="577">
      <c r="A577" s="112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2"/>
      <c r="Q577" s="112"/>
      <c r="R577" s="113"/>
      <c r="S577" s="113"/>
      <c r="T577" s="113"/>
      <c r="U577" s="113"/>
      <c r="V577" s="113"/>
      <c r="W577" s="113"/>
      <c r="X577" s="113"/>
      <c r="Y577" s="18"/>
      <c r="Z577" s="18"/>
      <c r="AA577" s="18"/>
    </row>
    <row r="578">
      <c r="A578" s="112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2"/>
      <c r="Q578" s="112"/>
      <c r="R578" s="113"/>
      <c r="S578" s="113"/>
      <c r="T578" s="113"/>
      <c r="U578" s="113"/>
      <c r="V578" s="113"/>
      <c r="W578" s="113"/>
      <c r="X578" s="113"/>
      <c r="Y578" s="18"/>
      <c r="Z578" s="18"/>
      <c r="AA578" s="18"/>
    </row>
    <row r="579">
      <c r="A579" s="112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2"/>
      <c r="Q579" s="112"/>
      <c r="R579" s="113"/>
      <c r="S579" s="113"/>
      <c r="T579" s="113"/>
      <c r="U579" s="113"/>
      <c r="V579" s="113"/>
      <c r="W579" s="113"/>
      <c r="X579" s="113"/>
      <c r="Y579" s="18"/>
      <c r="Z579" s="18"/>
      <c r="AA579" s="18"/>
    </row>
    <row r="580">
      <c r="A580" s="112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2"/>
      <c r="Q580" s="112"/>
      <c r="R580" s="113"/>
      <c r="S580" s="113"/>
      <c r="T580" s="113"/>
      <c r="U580" s="113"/>
      <c r="V580" s="113"/>
      <c r="W580" s="113"/>
      <c r="X580" s="113"/>
      <c r="Y580" s="18"/>
      <c r="Z580" s="18"/>
      <c r="AA580" s="18"/>
    </row>
    <row r="581">
      <c r="A581" s="112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2"/>
      <c r="Q581" s="112"/>
      <c r="R581" s="113"/>
      <c r="S581" s="113"/>
      <c r="T581" s="113"/>
      <c r="U581" s="113"/>
      <c r="V581" s="113"/>
      <c r="W581" s="113"/>
      <c r="X581" s="113"/>
      <c r="Y581" s="18"/>
      <c r="Z581" s="18"/>
      <c r="AA581" s="18"/>
    </row>
    <row r="582">
      <c r="A582" s="112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2"/>
      <c r="Q582" s="112"/>
      <c r="R582" s="113"/>
      <c r="S582" s="113"/>
      <c r="T582" s="113"/>
      <c r="U582" s="113"/>
      <c r="V582" s="113"/>
      <c r="W582" s="113"/>
      <c r="X582" s="113"/>
      <c r="Y582" s="18"/>
      <c r="Z582" s="18"/>
      <c r="AA582" s="18"/>
    </row>
    <row r="583">
      <c r="A583" s="112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2"/>
      <c r="Q583" s="112"/>
      <c r="R583" s="113"/>
      <c r="S583" s="113"/>
      <c r="T583" s="113"/>
      <c r="U583" s="113"/>
      <c r="V583" s="113"/>
      <c r="W583" s="113"/>
      <c r="X583" s="113"/>
      <c r="Y583" s="18"/>
      <c r="Z583" s="18"/>
      <c r="AA583" s="18"/>
    </row>
    <row r="584">
      <c r="A584" s="112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2"/>
      <c r="Q584" s="112"/>
      <c r="R584" s="113"/>
      <c r="S584" s="113"/>
      <c r="T584" s="113"/>
      <c r="U584" s="113"/>
      <c r="V584" s="113"/>
      <c r="W584" s="113"/>
      <c r="X584" s="113"/>
      <c r="Y584" s="18"/>
      <c r="Z584" s="18"/>
      <c r="AA584" s="18"/>
    </row>
    <row r="585">
      <c r="A585" s="112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2"/>
      <c r="Q585" s="112"/>
      <c r="R585" s="113"/>
      <c r="S585" s="113"/>
      <c r="T585" s="113"/>
      <c r="U585" s="113"/>
      <c r="V585" s="113"/>
      <c r="W585" s="113"/>
      <c r="X585" s="113"/>
      <c r="Y585" s="18"/>
      <c r="Z585" s="18"/>
      <c r="AA585" s="18"/>
    </row>
    <row r="586">
      <c r="A586" s="112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2"/>
      <c r="Q586" s="112"/>
      <c r="R586" s="113"/>
      <c r="S586" s="113"/>
      <c r="T586" s="113"/>
      <c r="U586" s="113"/>
      <c r="V586" s="113"/>
      <c r="W586" s="113"/>
      <c r="X586" s="113"/>
      <c r="Y586" s="18"/>
      <c r="Z586" s="18"/>
      <c r="AA586" s="18"/>
    </row>
    <row r="587">
      <c r="A587" s="112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2"/>
      <c r="Q587" s="112"/>
      <c r="R587" s="113"/>
      <c r="S587" s="113"/>
      <c r="T587" s="113"/>
      <c r="U587" s="113"/>
      <c r="V587" s="113"/>
      <c r="W587" s="113"/>
      <c r="X587" s="113"/>
      <c r="Y587" s="18"/>
      <c r="Z587" s="18"/>
      <c r="AA587" s="18"/>
    </row>
    <row r="588">
      <c r="A588" s="112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2"/>
      <c r="Q588" s="112"/>
      <c r="R588" s="113"/>
      <c r="S588" s="113"/>
      <c r="T588" s="113"/>
      <c r="U588" s="113"/>
      <c r="V588" s="113"/>
      <c r="W588" s="113"/>
      <c r="X588" s="113"/>
      <c r="Y588" s="18"/>
      <c r="Z588" s="18"/>
      <c r="AA588" s="18"/>
    </row>
    <row r="589">
      <c r="A589" s="112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2"/>
      <c r="Q589" s="112"/>
      <c r="R589" s="113"/>
      <c r="S589" s="113"/>
      <c r="T589" s="113"/>
      <c r="U589" s="113"/>
      <c r="V589" s="113"/>
      <c r="W589" s="113"/>
      <c r="X589" s="113"/>
      <c r="Y589" s="18"/>
      <c r="Z589" s="18"/>
      <c r="AA589" s="18"/>
    </row>
    <row r="590">
      <c r="A590" s="112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2"/>
      <c r="Q590" s="112"/>
      <c r="R590" s="113"/>
      <c r="S590" s="113"/>
      <c r="T590" s="113"/>
      <c r="U590" s="113"/>
      <c r="V590" s="113"/>
      <c r="W590" s="113"/>
      <c r="X590" s="113"/>
      <c r="Y590" s="18"/>
      <c r="Z590" s="18"/>
      <c r="AA590" s="18"/>
    </row>
    <row r="591">
      <c r="A591" s="112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2"/>
      <c r="Q591" s="112"/>
      <c r="R591" s="113"/>
      <c r="S591" s="113"/>
      <c r="T591" s="113"/>
      <c r="U591" s="113"/>
      <c r="V591" s="113"/>
      <c r="W591" s="113"/>
      <c r="X591" s="113"/>
      <c r="Y591" s="18"/>
      <c r="Z591" s="18"/>
      <c r="AA591" s="18"/>
    </row>
    <row r="592">
      <c r="A592" s="112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2"/>
      <c r="Q592" s="112"/>
      <c r="R592" s="113"/>
      <c r="S592" s="113"/>
      <c r="T592" s="113"/>
      <c r="U592" s="113"/>
      <c r="V592" s="113"/>
      <c r="W592" s="113"/>
      <c r="X592" s="113"/>
      <c r="Y592" s="18"/>
      <c r="Z592" s="18"/>
      <c r="AA592" s="18"/>
    </row>
    <row r="593">
      <c r="A593" s="112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2"/>
      <c r="Q593" s="112"/>
      <c r="R593" s="113"/>
      <c r="S593" s="113"/>
      <c r="T593" s="113"/>
      <c r="U593" s="113"/>
      <c r="V593" s="113"/>
      <c r="W593" s="113"/>
      <c r="X593" s="113"/>
      <c r="Y593" s="18"/>
      <c r="Z593" s="18"/>
      <c r="AA593" s="18"/>
    </row>
    <row r="594">
      <c r="A594" s="112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2"/>
      <c r="Q594" s="112"/>
      <c r="R594" s="113"/>
      <c r="S594" s="113"/>
      <c r="T594" s="113"/>
      <c r="U594" s="113"/>
      <c r="V594" s="113"/>
      <c r="W594" s="113"/>
      <c r="X594" s="113"/>
      <c r="Y594" s="18"/>
      <c r="Z594" s="18"/>
      <c r="AA594" s="18"/>
    </row>
    <row r="595">
      <c r="A595" s="112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2"/>
      <c r="Q595" s="112"/>
      <c r="R595" s="113"/>
      <c r="S595" s="113"/>
      <c r="T595" s="113"/>
      <c r="U595" s="113"/>
      <c r="V595" s="113"/>
      <c r="W595" s="113"/>
      <c r="X595" s="113"/>
      <c r="Y595" s="18"/>
      <c r="Z595" s="18"/>
      <c r="AA595" s="18"/>
    </row>
    <row r="596">
      <c r="A596" s="112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2"/>
      <c r="Q596" s="112"/>
      <c r="R596" s="113"/>
      <c r="S596" s="113"/>
      <c r="T596" s="113"/>
      <c r="U596" s="113"/>
      <c r="V596" s="113"/>
      <c r="W596" s="113"/>
      <c r="X596" s="113"/>
      <c r="Y596" s="18"/>
      <c r="Z596" s="18"/>
      <c r="AA596" s="18"/>
    </row>
    <row r="597">
      <c r="A597" s="112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2"/>
      <c r="Q597" s="112"/>
      <c r="R597" s="113"/>
      <c r="S597" s="113"/>
      <c r="T597" s="113"/>
      <c r="U597" s="113"/>
      <c r="V597" s="113"/>
      <c r="W597" s="113"/>
      <c r="X597" s="113"/>
      <c r="Y597" s="18"/>
      <c r="Z597" s="18"/>
      <c r="AA597" s="18"/>
    </row>
    <row r="598">
      <c r="A598" s="112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2"/>
      <c r="Q598" s="112"/>
      <c r="R598" s="113"/>
      <c r="S598" s="113"/>
      <c r="T598" s="113"/>
      <c r="U598" s="113"/>
      <c r="V598" s="113"/>
      <c r="W598" s="113"/>
      <c r="X598" s="113"/>
      <c r="Y598" s="18"/>
      <c r="Z598" s="18"/>
      <c r="AA598" s="18"/>
    </row>
    <row r="599">
      <c r="A599" s="112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2"/>
      <c r="Q599" s="112"/>
      <c r="R599" s="113"/>
      <c r="S599" s="113"/>
      <c r="T599" s="113"/>
      <c r="U599" s="113"/>
      <c r="V599" s="113"/>
      <c r="W599" s="113"/>
      <c r="X599" s="113"/>
      <c r="Y599" s="18"/>
      <c r="Z599" s="18"/>
      <c r="AA599" s="18"/>
    </row>
    <row r="600">
      <c r="A600" s="112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2"/>
      <c r="Q600" s="112"/>
      <c r="R600" s="113"/>
      <c r="S600" s="113"/>
      <c r="T600" s="113"/>
      <c r="U600" s="113"/>
      <c r="V600" s="113"/>
      <c r="W600" s="113"/>
      <c r="X600" s="113"/>
      <c r="Y600" s="18"/>
      <c r="Z600" s="18"/>
      <c r="AA600" s="18"/>
    </row>
    <row r="601">
      <c r="A601" s="112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2"/>
      <c r="Q601" s="112"/>
      <c r="R601" s="113"/>
      <c r="S601" s="113"/>
      <c r="T601" s="113"/>
      <c r="U601" s="113"/>
      <c r="V601" s="113"/>
      <c r="W601" s="113"/>
      <c r="X601" s="113"/>
      <c r="Y601" s="18"/>
      <c r="Z601" s="18"/>
      <c r="AA601" s="18"/>
    </row>
    <row r="602">
      <c r="A602" s="112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2"/>
      <c r="Q602" s="112"/>
      <c r="R602" s="113"/>
      <c r="S602" s="113"/>
      <c r="T602" s="113"/>
      <c r="U602" s="113"/>
      <c r="V602" s="113"/>
      <c r="W602" s="113"/>
      <c r="X602" s="113"/>
      <c r="Y602" s="18"/>
      <c r="Z602" s="18"/>
      <c r="AA602" s="18"/>
    </row>
    <row r="603">
      <c r="A603" s="112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2"/>
      <c r="Q603" s="112"/>
      <c r="R603" s="113"/>
      <c r="S603" s="113"/>
      <c r="T603" s="113"/>
      <c r="U603" s="113"/>
      <c r="V603" s="113"/>
      <c r="W603" s="113"/>
      <c r="X603" s="113"/>
      <c r="Y603" s="18"/>
      <c r="Z603" s="18"/>
      <c r="AA603" s="18"/>
    </row>
    <row r="604">
      <c r="A604" s="112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2"/>
      <c r="Q604" s="112"/>
      <c r="R604" s="113"/>
      <c r="S604" s="113"/>
      <c r="T604" s="113"/>
      <c r="U604" s="113"/>
      <c r="V604" s="113"/>
      <c r="W604" s="113"/>
      <c r="X604" s="113"/>
      <c r="Y604" s="18"/>
      <c r="Z604" s="18"/>
      <c r="AA604" s="18"/>
    </row>
    <row r="605">
      <c r="A605" s="112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2"/>
      <c r="Q605" s="112"/>
      <c r="R605" s="113"/>
      <c r="S605" s="113"/>
      <c r="T605" s="113"/>
      <c r="U605" s="113"/>
      <c r="V605" s="113"/>
      <c r="W605" s="113"/>
      <c r="X605" s="113"/>
      <c r="Y605" s="18"/>
      <c r="Z605" s="18"/>
      <c r="AA605" s="18"/>
    </row>
    <row r="606">
      <c r="A606" s="112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2"/>
      <c r="Q606" s="112"/>
      <c r="R606" s="113"/>
      <c r="S606" s="113"/>
      <c r="T606" s="113"/>
      <c r="U606" s="113"/>
      <c r="V606" s="113"/>
      <c r="W606" s="113"/>
      <c r="X606" s="113"/>
      <c r="Y606" s="18"/>
      <c r="Z606" s="18"/>
      <c r="AA606" s="18"/>
    </row>
    <row r="607">
      <c r="A607" s="112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2"/>
      <c r="Q607" s="112"/>
      <c r="R607" s="113"/>
      <c r="S607" s="113"/>
      <c r="T607" s="113"/>
      <c r="U607" s="113"/>
      <c r="V607" s="113"/>
      <c r="W607" s="113"/>
      <c r="X607" s="113"/>
      <c r="Y607" s="18"/>
      <c r="Z607" s="18"/>
      <c r="AA607" s="18"/>
    </row>
    <row r="608">
      <c r="A608" s="112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2"/>
      <c r="Q608" s="112"/>
      <c r="R608" s="113"/>
      <c r="S608" s="113"/>
      <c r="T608" s="113"/>
      <c r="U608" s="113"/>
      <c r="V608" s="113"/>
      <c r="W608" s="113"/>
      <c r="X608" s="113"/>
      <c r="Y608" s="18"/>
      <c r="Z608" s="18"/>
      <c r="AA608" s="18"/>
    </row>
    <row r="609">
      <c r="A609" s="112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2"/>
      <c r="Q609" s="112"/>
      <c r="R609" s="113"/>
      <c r="S609" s="113"/>
      <c r="T609" s="113"/>
      <c r="U609" s="113"/>
      <c r="V609" s="113"/>
      <c r="W609" s="113"/>
      <c r="X609" s="113"/>
      <c r="Y609" s="18"/>
      <c r="Z609" s="18"/>
      <c r="AA609" s="18"/>
    </row>
    <row r="610">
      <c r="A610" s="112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2"/>
      <c r="Q610" s="112"/>
      <c r="R610" s="113"/>
      <c r="S610" s="113"/>
      <c r="T610" s="113"/>
      <c r="U610" s="113"/>
      <c r="V610" s="113"/>
      <c r="W610" s="113"/>
      <c r="X610" s="113"/>
      <c r="Y610" s="18"/>
      <c r="Z610" s="18"/>
      <c r="AA610" s="18"/>
    </row>
    <row r="611">
      <c r="A611" s="112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2"/>
      <c r="Q611" s="112"/>
      <c r="R611" s="113"/>
      <c r="S611" s="113"/>
      <c r="T611" s="113"/>
      <c r="U611" s="113"/>
      <c r="V611" s="113"/>
      <c r="W611" s="113"/>
      <c r="X611" s="113"/>
      <c r="Y611" s="18"/>
      <c r="Z611" s="18"/>
      <c r="AA611" s="18"/>
    </row>
    <row r="612">
      <c r="A612" s="112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2"/>
      <c r="Q612" s="112"/>
      <c r="R612" s="113"/>
      <c r="S612" s="113"/>
      <c r="T612" s="113"/>
      <c r="U612" s="113"/>
      <c r="V612" s="113"/>
      <c r="W612" s="113"/>
      <c r="X612" s="113"/>
      <c r="Y612" s="18"/>
      <c r="Z612" s="18"/>
      <c r="AA612" s="18"/>
    </row>
    <row r="613">
      <c r="A613" s="112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2"/>
      <c r="Q613" s="112"/>
      <c r="R613" s="113"/>
      <c r="S613" s="113"/>
      <c r="T613" s="113"/>
      <c r="U613" s="113"/>
      <c r="V613" s="113"/>
      <c r="W613" s="113"/>
      <c r="X613" s="113"/>
      <c r="Y613" s="18"/>
      <c r="Z613" s="18"/>
      <c r="AA613" s="18"/>
    </row>
    <row r="614">
      <c r="A614" s="112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2"/>
      <c r="Q614" s="112"/>
      <c r="R614" s="113"/>
      <c r="S614" s="113"/>
      <c r="T614" s="113"/>
      <c r="U614" s="113"/>
      <c r="V614" s="113"/>
      <c r="W614" s="113"/>
      <c r="X614" s="113"/>
      <c r="Y614" s="18"/>
      <c r="Z614" s="18"/>
      <c r="AA614" s="18"/>
    </row>
    <row r="615">
      <c r="A615" s="112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2"/>
      <c r="Q615" s="112"/>
      <c r="R615" s="113"/>
      <c r="S615" s="113"/>
      <c r="T615" s="113"/>
      <c r="U615" s="113"/>
      <c r="V615" s="113"/>
      <c r="W615" s="113"/>
      <c r="X615" s="113"/>
      <c r="Y615" s="18"/>
      <c r="Z615" s="18"/>
      <c r="AA615" s="18"/>
    </row>
    <row r="616">
      <c r="A616" s="112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2"/>
      <c r="Q616" s="112"/>
      <c r="R616" s="113"/>
      <c r="S616" s="113"/>
      <c r="T616" s="113"/>
      <c r="U616" s="113"/>
      <c r="V616" s="113"/>
      <c r="W616" s="113"/>
      <c r="X616" s="113"/>
      <c r="Y616" s="18"/>
      <c r="Z616" s="18"/>
      <c r="AA616" s="18"/>
    </row>
    <row r="617">
      <c r="A617" s="112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2"/>
      <c r="Q617" s="112"/>
      <c r="R617" s="113"/>
      <c r="S617" s="113"/>
      <c r="T617" s="113"/>
      <c r="U617" s="113"/>
      <c r="V617" s="113"/>
      <c r="W617" s="113"/>
      <c r="X617" s="113"/>
      <c r="Y617" s="18"/>
      <c r="Z617" s="18"/>
      <c r="AA617" s="18"/>
    </row>
    <row r="618">
      <c r="A618" s="112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2"/>
      <c r="Q618" s="112"/>
      <c r="R618" s="113"/>
      <c r="S618" s="113"/>
      <c r="T618" s="113"/>
      <c r="U618" s="113"/>
      <c r="V618" s="113"/>
      <c r="W618" s="113"/>
      <c r="X618" s="113"/>
      <c r="Y618" s="18"/>
      <c r="Z618" s="18"/>
      <c r="AA618" s="18"/>
    </row>
    <row r="619">
      <c r="A619" s="112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2"/>
      <c r="Q619" s="112"/>
      <c r="R619" s="113"/>
      <c r="S619" s="113"/>
      <c r="T619" s="113"/>
      <c r="U619" s="113"/>
      <c r="V619" s="113"/>
      <c r="W619" s="113"/>
      <c r="X619" s="113"/>
      <c r="Y619" s="18"/>
      <c r="Z619" s="18"/>
      <c r="AA619" s="18"/>
    </row>
    <row r="620">
      <c r="A620" s="112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2"/>
      <c r="Q620" s="112"/>
      <c r="R620" s="113"/>
      <c r="S620" s="113"/>
      <c r="T620" s="113"/>
      <c r="U620" s="113"/>
      <c r="V620" s="113"/>
      <c r="W620" s="113"/>
      <c r="X620" s="113"/>
      <c r="Y620" s="18"/>
      <c r="Z620" s="18"/>
      <c r="AA620" s="18"/>
    </row>
    <row r="621">
      <c r="A621" s="112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2"/>
      <c r="Q621" s="112"/>
      <c r="R621" s="113"/>
      <c r="S621" s="113"/>
      <c r="T621" s="113"/>
      <c r="U621" s="113"/>
      <c r="V621" s="113"/>
      <c r="W621" s="113"/>
      <c r="X621" s="113"/>
      <c r="Y621" s="18"/>
      <c r="Z621" s="18"/>
      <c r="AA621" s="18"/>
    </row>
    <row r="622">
      <c r="A622" s="112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2"/>
      <c r="Q622" s="112"/>
      <c r="R622" s="113"/>
      <c r="S622" s="113"/>
      <c r="T622" s="113"/>
      <c r="U622" s="113"/>
      <c r="V622" s="113"/>
      <c r="W622" s="113"/>
      <c r="X622" s="113"/>
      <c r="Y622" s="18"/>
      <c r="Z622" s="18"/>
      <c r="AA622" s="18"/>
    </row>
    <row r="623">
      <c r="A623" s="112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2"/>
      <c r="Q623" s="112"/>
      <c r="R623" s="113"/>
      <c r="S623" s="113"/>
      <c r="T623" s="113"/>
      <c r="U623" s="113"/>
      <c r="V623" s="113"/>
      <c r="W623" s="113"/>
      <c r="X623" s="113"/>
      <c r="Y623" s="18"/>
      <c r="Z623" s="18"/>
      <c r="AA623" s="18"/>
    </row>
    <row r="624">
      <c r="A624" s="112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2"/>
      <c r="Q624" s="112"/>
      <c r="R624" s="113"/>
      <c r="S624" s="113"/>
      <c r="T624" s="113"/>
      <c r="U624" s="113"/>
      <c r="V624" s="113"/>
      <c r="W624" s="113"/>
      <c r="X624" s="113"/>
      <c r="Y624" s="18"/>
      <c r="Z624" s="18"/>
      <c r="AA624" s="18"/>
    </row>
    <row r="625">
      <c r="A625" s="112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2"/>
      <c r="Q625" s="112"/>
      <c r="R625" s="113"/>
      <c r="S625" s="113"/>
      <c r="T625" s="113"/>
      <c r="U625" s="113"/>
      <c r="V625" s="113"/>
      <c r="W625" s="113"/>
      <c r="X625" s="113"/>
      <c r="Y625" s="18"/>
      <c r="Z625" s="18"/>
      <c r="AA625" s="18"/>
    </row>
    <row r="626">
      <c r="A626" s="112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2"/>
      <c r="Q626" s="112"/>
      <c r="R626" s="113"/>
      <c r="S626" s="113"/>
      <c r="T626" s="113"/>
      <c r="U626" s="113"/>
      <c r="V626" s="113"/>
      <c r="W626" s="113"/>
      <c r="X626" s="113"/>
      <c r="Y626" s="18"/>
      <c r="Z626" s="18"/>
      <c r="AA626" s="18"/>
    </row>
    <row r="627">
      <c r="A627" s="112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2"/>
      <c r="Q627" s="112"/>
      <c r="R627" s="113"/>
      <c r="S627" s="113"/>
      <c r="T627" s="113"/>
      <c r="U627" s="113"/>
      <c r="V627" s="113"/>
      <c r="W627" s="113"/>
      <c r="X627" s="113"/>
      <c r="Y627" s="18"/>
      <c r="Z627" s="18"/>
      <c r="AA627" s="18"/>
    </row>
    <row r="628">
      <c r="A628" s="112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2"/>
      <c r="Q628" s="112"/>
      <c r="R628" s="113"/>
      <c r="S628" s="113"/>
      <c r="T628" s="113"/>
      <c r="U628" s="113"/>
      <c r="V628" s="113"/>
      <c r="W628" s="113"/>
      <c r="X628" s="113"/>
      <c r="Y628" s="18"/>
      <c r="Z628" s="18"/>
      <c r="AA628" s="18"/>
    </row>
    <row r="629">
      <c r="A629" s="112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2"/>
      <c r="Q629" s="112"/>
      <c r="R629" s="113"/>
      <c r="S629" s="113"/>
      <c r="T629" s="113"/>
      <c r="U629" s="113"/>
      <c r="V629" s="113"/>
      <c r="W629" s="113"/>
      <c r="X629" s="113"/>
      <c r="Y629" s="18"/>
      <c r="Z629" s="18"/>
      <c r="AA629" s="18"/>
    </row>
    <row r="630">
      <c r="A630" s="112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2"/>
      <c r="Q630" s="112"/>
      <c r="R630" s="113"/>
      <c r="S630" s="113"/>
      <c r="T630" s="113"/>
      <c r="U630" s="113"/>
      <c r="V630" s="113"/>
      <c r="W630" s="113"/>
      <c r="X630" s="113"/>
      <c r="Y630" s="18"/>
      <c r="Z630" s="18"/>
      <c r="AA630" s="18"/>
    </row>
    <row r="631">
      <c r="A631" s="112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2"/>
      <c r="Q631" s="112"/>
      <c r="R631" s="113"/>
      <c r="S631" s="113"/>
      <c r="T631" s="113"/>
      <c r="U631" s="113"/>
      <c r="V631" s="113"/>
      <c r="W631" s="113"/>
      <c r="X631" s="113"/>
      <c r="Y631" s="18"/>
      <c r="Z631" s="18"/>
      <c r="AA631" s="18"/>
    </row>
    <row r="632">
      <c r="A632" s="112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2"/>
      <c r="Q632" s="112"/>
      <c r="R632" s="113"/>
      <c r="S632" s="113"/>
      <c r="T632" s="113"/>
      <c r="U632" s="113"/>
      <c r="V632" s="113"/>
      <c r="W632" s="113"/>
      <c r="X632" s="113"/>
      <c r="Y632" s="18"/>
      <c r="Z632" s="18"/>
      <c r="AA632" s="18"/>
    </row>
    <row r="633">
      <c r="A633" s="112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2"/>
      <c r="Q633" s="112"/>
      <c r="R633" s="113"/>
      <c r="S633" s="113"/>
      <c r="T633" s="113"/>
      <c r="U633" s="113"/>
      <c r="V633" s="113"/>
      <c r="W633" s="113"/>
      <c r="X633" s="113"/>
      <c r="Y633" s="18"/>
      <c r="Z633" s="18"/>
      <c r="AA633" s="18"/>
    </row>
    <row r="634">
      <c r="A634" s="112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2"/>
      <c r="Q634" s="112"/>
      <c r="R634" s="113"/>
      <c r="S634" s="113"/>
      <c r="T634" s="113"/>
      <c r="U634" s="113"/>
      <c r="V634" s="113"/>
      <c r="W634" s="113"/>
      <c r="X634" s="113"/>
      <c r="Y634" s="18"/>
      <c r="Z634" s="18"/>
      <c r="AA634" s="18"/>
    </row>
    <row r="635">
      <c r="A635" s="112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2"/>
      <c r="Q635" s="112"/>
      <c r="R635" s="113"/>
      <c r="S635" s="113"/>
      <c r="T635" s="113"/>
      <c r="U635" s="113"/>
      <c r="V635" s="113"/>
      <c r="W635" s="113"/>
      <c r="X635" s="113"/>
      <c r="Y635" s="18"/>
      <c r="Z635" s="18"/>
      <c r="AA635" s="18"/>
    </row>
    <row r="636">
      <c r="A636" s="112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2"/>
      <c r="Q636" s="112"/>
      <c r="R636" s="113"/>
      <c r="S636" s="113"/>
      <c r="T636" s="113"/>
      <c r="U636" s="113"/>
      <c r="V636" s="113"/>
      <c r="W636" s="113"/>
      <c r="X636" s="113"/>
      <c r="Y636" s="18"/>
      <c r="Z636" s="18"/>
      <c r="AA636" s="18"/>
    </row>
    <row r="637">
      <c r="A637" s="112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2"/>
      <c r="Q637" s="112"/>
      <c r="R637" s="113"/>
      <c r="S637" s="113"/>
      <c r="T637" s="113"/>
      <c r="U637" s="113"/>
      <c r="V637" s="113"/>
      <c r="W637" s="113"/>
      <c r="X637" s="113"/>
      <c r="Y637" s="18"/>
      <c r="Z637" s="18"/>
      <c r="AA637" s="18"/>
    </row>
    <row r="638">
      <c r="A638" s="112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2"/>
      <c r="Q638" s="112"/>
      <c r="R638" s="113"/>
      <c r="S638" s="113"/>
      <c r="T638" s="113"/>
      <c r="U638" s="113"/>
      <c r="V638" s="113"/>
      <c r="W638" s="113"/>
      <c r="X638" s="113"/>
      <c r="Y638" s="18"/>
      <c r="Z638" s="18"/>
      <c r="AA638" s="18"/>
    </row>
    <row r="639">
      <c r="A639" s="112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2"/>
      <c r="Q639" s="112"/>
      <c r="R639" s="113"/>
      <c r="S639" s="113"/>
      <c r="T639" s="113"/>
      <c r="U639" s="113"/>
      <c r="V639" s="113"/>
      <c r="W639" s="113"/>
      <c r="X639" s="113"/>
      <c r="Y639" s="18"/>
      <c r="Z639" s="18"/>
      <c r="AA639" s="18"/>
    </row>
    <row r="640">
      <c r="A640" s="112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2"/>
      <c r="Q640" s="112"/>
      <c r="R640" s="113"/>
      <c r="S640" s="113"/>
      <c r="T640" s="113"/>
      <c r="U640" s="113"/>
      <c r="V640" s="113"/>
      <c r="W640" s="113"/>
      <c r="X640" s="113"/>
      <c r="Y640" s="18"/>
      <c r="Z640" s="18"/>
      <c r="AA640" s="18"/>
    </row>
    <row r="641">
      <c r="A641" s="112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2"/>
      <c r="Q641" s="112"/>
      <c r="R641" s="113"/>
      <c r="S641" s="113"/>
      <c r="T641" s="113"/>
      <c r="U641" s="113"/>
      <c r="V641" s="113"/>
      <c r="W641" s="113"/>
      <c r="X641" s="113"/>
      <c r="Y641" s="18"/>
      <c r="Z641" s="18"/>
      <c r="AA641" s="18"/>
    </row>
    <row r="642">
      <c r="A642" s="112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2"/>
      <c r="Q642" s="112"/>
      <c r="R642" s="113"/>
      <c r="S642" s="113"/>
      <c r="T642" s="113"/>
      <c r="U642" s="113"/>
      <c r="V642" s="113"/>
      <c r="W642" s="113"/>
      <c r="X642" s="113"/>
      <c r="Y642" s="18"/>
      <c r="Z642" s="18"/>
      <c r="AA642" s="18"/>
    </row>
    <row r="643">
      <c r="A643" s="112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2"/>
      <c r="Q643" s="112"/>
      <c r="R643" s="113"/>
      <c r="S643" s="113"/>
      <c r="T643" s="113"/>
      <c r="U643" s="113"/>
      <c r="V643" s="113"/>
      <c r="W643" s="113"/>
      <c r="X643" s="113"/>
      <c r="Y643" s="18"/>
      <c r="Z643" s="18"/>
      <c r="AA643" s="18"/>
    </row>
    <row r="644">
      <c r="A644" s="112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2"/>
      <c r="Q644" s="112"/>
      <c r="R644" s="113"/>
      <c r="S644" s="113"/>
      <c r="T644" s="113"/>
      <c r="U644" s="113"/>
      <c r="V644" s="113"/>
      <c r="W644" s="113"/>
      <c r="X644" s="113"/>
      <c r="Y644" s="18"/>
      <c r="Z644" s="18"/>
      <c r="AA644" s="18"/>
    </row>
    <row r="645">
      <c r="A645" s="112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2"/>
      <c r="Q645" s="112"/>
      <c r="R645" s="113"/>
      <c r="S645" s="113"/>
      <c r="T645" s="113"/>
      <c r="U645" s="113"/>
      <c r="V645" s="113"/>
      <c r="W645" s="113"/>
      <c r="X645" s="113"/>
      <c r="Y645" s="18"/>
      <c r="Z645" s="18"/>
      <c r="AA645" s="18"/>
    </row>
    <row r="646">
      <c r="A646" s="112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2"/>
      <c r="Q646" s="112"/>
      <c r="R646" s="113"/>
      <c r="S646" s="113"/>
      <c r="T646" s="113"/>
      <c r="U646" s="113"/>
      <c r="V646" s="113"/>
      <c r="W646" s="113"/>
      <c r="X646" s="113"/>
      <c r="Y646" s="18"/>
      <c r="Z646" s="18"/>
      <c r="AA646" s="18"/>
    </row>
    <row r="647">
      <c r="A647" s="112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2"/>
      <c r="Q647" s="112"/>
      <c r="R647" s="113"/>
      <c r="S647" s="113"/>
      <c r="T647" s="113"/>
      <c r="U647" s="113"/>
      <c r="V647" s="113"/>
      <c r="W647" s="113"/>
      <c r="X647" s="113"/>
      <c r="Y647" s="18"/>
      <c r="Z647" s="18"/>
      <c r="AA647" s="18"/>
    </row>
    <row r="648">
      <c r="A648" s="112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2"/>
      <c r="Q648" s="112"/>
      <c r="R648" s="113"/>
      <c r="S648" s="113"/>
      <c r="T648" s="113"/>
      <c r="U648" s="113"/>
      <c r="V648" s="113"/>
      <c r="W648" s="113"/>
      <c r="X648" s="113"/>
      <c r="Y648" s="18"/>
      <c r="Z648" s="18"/>
      <c r="AA648" s="18"/>
    </row>
    <row r="649">
      <c r="A649" s="112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2"/>
      <c r="Q649" s="112"/>
      <c r="R649" s="113"/>
      <c r="S649" s="113"/>
      <c r="T649" s="113"/>
      <c r="U649" s="113"/>
      <c r="V649" s="113"/>
      <c r="W649" s="113"/>
      <c r="X649" s="113"/>
      <c r="Y649" s="18"/>
      <c r="Z649" s="18"/>
      <c r="AA649" s="18"/>
    </row>
    <row r="650">
      <c r="A650" s="112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2"/>
      <c r="Q650" s="112"/>
      <c r="R650" s="113"/>
      <c r="S650" s="113"/>
      <c r="T650" s="113"/>
      <c r="U650" s="113"/>
      <c r="V650" s="113"/>
      <c r="W650" s="113"/>
      <c r="X650" s="113"/>
      <c r="Y650" s="18"/>
      <c r="Z650" s="18"/>
      <c r="AA650" s="18"/>
    </row>
    <row r="651">
      <c r="A651" s="112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2"/>
      <c r="Q651" s="112"/>
      <c r="R651" s="113"/>
      <c r="S651" s="113"/>
      <c r="T651" s="113"/>
      <c r="U651" s="113"/>
      <c r="V651" s="113"/>
      <c r="W651" s="113"/>
      <c r="X651" s="113"/>
      <c r="Y651" s="18"/>
      <c r="Z651" s="18"/>
      <c r="AA651" s="18"/>
    </row>
    <row r="652">
      <c r="A652" s="112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2"/>
      <c r="Q652" s="112"/>
      <c r="R652" s="113"/>
      <c r="S652" s="113"/>
      <c r="T652" s="113"/>
      <c r="U652" s="113"/>
      <c r="V652" s="113"/>
      <c r="W652" s="113"/>
      <c r="X652" s="113"/>
      <c r="Y652" s="18"/>
      <c r="Z652" s="18"/>
      <c r="AA652" s="18"/>
    </row>
    <row r="653">
      <c r="A653" s="112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2"/>
      <c r="Q653" s="112"/>
      <c r="R653" s="113"/>
      <c r="S653" s="113"/>
      <c r="T653" s="113"/>
      <c r="U653" s="113"/>
      <c r="V653" s="113"/>
      <c r="W653" s="113"/>
      <c r="X653" s="113"/>
      <c r="Y653" s="18"/>
      <c r="Z653" s="18"/>
      <c r="AA653" s="18"/>
    </row>
    <row r="654">
      <c r="A654" s="112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2"/>
      <c r="Q654" s="112"/>
      <c r="R654" s="113"/>
      <c r="S654" s="113"/>
      <c r="T654" s="113"/>
      <c r="U654" s="113"/>
      <c r="V654" s="113"/>
      <c r="W654" s="113"/>
      <c r="X654" s="113"/>
      <c r="Y654" s="18"/>
      <c r="Z654" s="18"/>
      <c r="AA654" s="18"/>
    </row>
    <row r="655">
      <c r="A655" s="112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2"/>
      <c r="Q655" s="112"/>
      <c r="R655" s="113"/>
      <c r="S655" s="113"/>
      <c r="T655" s="113"/>
      <c r="U655" s="113"/>
      <c r="V655" s="113"/>
      <c r="W655" s="113"/>
      <c r="X655" s="113"/>
      <c r="Y655" s="18"/>
      <c r="Z655" s="18"/>
      <c r="AA655" s="18"/>
    </row>
    <row r="656">
      <c r="A656" s="112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2"/>
      <c r="Q656" s="112"/>
      <c r="R656" s="113"/>
      <c r="S656" s="113"/>
      <c r="T656" s="113"/>
      <c r="U656" s="113"/>
      <c r="V656" s="113"/>
      <c r="W656" s="113"/>
      <c r="X656" s="113"/>
      <c r="Y656" s="18"/>
      <c r="Z656" s="18"/>
      <c r="AA656" s="18"/>
    </row>
    <row r="657">
      <c r="A657" s="112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2"/>
      <c r="Q657" s="112"/>
      <c r="R657" s="113"/>
      <c r="S657" s="113"/>
      <c r="T657" s="113"/>
      <c r="U657" s="113"/>
      <c r="V657" s="113"/>
      <c r="W657" s="113"/>
      <c r="X657" s="113"/>
      <c r="Y657" s="18"/>
      <c r="Z657" s="18"/>
      <c r="AA657" s="18"/>
    </row>
    <row r="658">
      <c r="A658" s="112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2"/>
      <c r="Q658" s="112"/>
      <c r="R658" s="113"/>
      <c r="S658" s="113"/>
      <c r="T658" s="113"/>
      <c r="U658" s="113"/>
      <c r="V658" s="113"/>
      <c r="W658" s="113"/>
      <c r="X658" s="113"/>
      <c r="Y658" s="18"/>
      <c r="Z658" s="18"/>
      <c r="AA658" s="18"/>
    </row>
    <row r="659">
      <c r="A659" s="112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2"/>
      <c r="Q659" s="112"/>
      <c r="R659" s="113"/>
      <c r="S659" s="113"/>
      <c r="T659" s="113"/>
      <c r="U659" s="113"/>
      <c r="V659" s="113"/>
      <c r="W659" s="113"/>
      <c r="X659" s="113"/>
      <c r="Y659" s="18"/>
      <c r="Z659" s="18"/>
      <c r="AA659" s="18"/>
    </row>
    <row r="660">
      <c r="A660" s="112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2"/>
      <c r="Q660" s="112"/>
      <c r="R660" s="113"/>
      <c r="S660" s="113"/>
      <c r="T660" s="113"/>
      <c r="U660" s="113"/>
      <c r="V660" s="113"/>
      <c r="W660" s="113"/>
      <c r="X660" s="113"/>
      <c r="Y660" s="18"/>
      <c r="Z660" s="18"/>
      <c r="AA660" s="18"/>
    </row>
    <row r="661">
      <c r="A661" s="112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2"/>
      <c r="Q661" s="112"/>
      <c r="R661" s="113"/>
      <c r="S661" s="113"/>
      <c r="T661" s="113"/>
      <c r="U661" s="113"/>
      <c r="V661" s="113"/>
      <c r="W661" s="113"/>
      <c r="X661" s="113"/>
      <c r="Y661" s="18"/>
      <c r="Z661" s="18"/>
      <c r="AA661" s="18"/>
    </row>
    <row r="662">
      <c r="A662" s="112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2"/>
      <c r="Q662" s="112"/>
      <c r="R662" s="113"/>
      <c r="S662" s="113"/>
      <c r="T662" s="113"/>
      <c r="U662" s="113"/>
      <c r="V662" s="113"/>
      <c r="W662" s="113"/>
      <c r="X662" s="113"/>
      <c r="Y662" s="18"/>
      <c r="Z662" s="18"/>
      <c r="AA662" s="18"/>
    </row>
    <row r="663">
      <c r="A663" s="112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2"/>
      <c r="Q663" s="112"/>
      <c r="R663" s="113"/>
      <c r="S663" s="113"/>
      <c r="T663" s="113"/>
      <c r="U663" s="113"/>
      <c r="V663" s="113"/>
      <c r="W663" s="113"/>
      <c r="X663" s="113"/>
      <c r="Y663" s="18"/>
      <c r="Z663" s="18"/>
      <c r="AA663" s="18"/>
    </row>
    <row r="664">
      <c r="A664" s="112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2"/>
      <c r="Q664" s="112"/>
      <c r="R664" s="113"/>
      <c r="S664" s="113"/>
      <c r="T664" s="113"/>
      <c r="U664" s="113"/>
      <c r="V664" s="113"/>
      <c r="W664" s="113"/>
      <c r="X664" s="113"/>
      <c r="Y664" s="18"/>
      <c r="Z664" s="18"/>
      <c r="AA664" s="18"/>
    </row>
    <row r="665">
      <c r="A665" s="112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2"/>
      <c r="Q665" s="112"/>
      <c r="R665" s="113"/>
      <c r="S665" s="113"/>
      <c r="T665" s="113"/>
      <c r="U665" s="113"/>
      <c r="V665" s="113"/>
      <c r="W665" s="113"/>
      <c r="X665" s="113"/>
      <c r="Y665" s="18"/>
      <c r="Z665" s="18"/>
      <c r="AA665" s="18"/>
    </row>
    <row r="666">
      <c r="A666" s="112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2"/>
      <c r="Q666" s="112"/>
      <c r="R666" s="113"/>
      <c r="S666" s="113"/>
      <c r="T666" s="113"/>
      <c r="U666" s="113"/>
      <c r="V666" s="113"/>
      <c r="W666" s="113"/>
      <c r="X666" s="113"/>
      <c r="Y666" s="18"/>
      <c r="Z666" s="18"/>
      <c r="AA666" s="18"/>
    </row>
    <row r="667">
      <c r="A667" s="112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2"/>
      <c r="Q667" s="112"/>
      <c r="R667" s="113"/>
      <c r="S667" s="113"/>
      <c r="T667" s="113"/>
      <c r="U667" s="113"/>
      <c r="V667" s="113"/>
      <c r="W667" s="113"/>
      <c r="X667" s="113"/>
      <c r="Y667" s="18"/>
      <c r="Z667" s="18"/>
      <c r="AA667" s="18"/>
    </row>
    <row r="668">
      <c r="A668" s="112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2"/>
      <c r="Q668" s="112"/>
      <c r="R668" s="113"/>
      <c r="S668" s="113"/>
      <c r="T668" s="113"/>
      <c r="U668" s="113"/>
      <c r="V668" s="113"/>
      <c r="W668" s="113"/>
      <c r="X668" s="113"/>
      <c r="Y668" s="18"/>
      <c r="Z668" s="18"/>
      <c r="AA668" s="18"/>
    </row>
    <row r="669">
      <c r="A669" s="112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2"/>
      <c r="Q669" s="112"/>
      <c r="R669" s="113"/>
      <c r="S669" s="113"/>
      <c r="T669" s="113"/>
      <c r="U669" s="113"/>
      <c r="V669" s="113"/>
      <c r="W669" s="113"/>
      <c r="X669" s="113"/>
      <c r="Y669" s="18"/>
      <c r="Z669" s="18"/>
      <c r="AA669" s="18"/>
    </row>
    <row r="670">
      <c r="A670" s="112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2"/>
      <c r="Q670" s="112"/>
      <c r="R670" s="113"/>
      <c r="S670" s="113"/>
      <c r="T670" s="113"/>
      <c r="U670" s="113"/>
      <c r="V670" s="113"/>
      <c r="W670" s="113"/>
      <c r="X670" s="113"/>
      <c r="Y670" s="18"/>
      <c r="Z670" s="18"/>
      <c r="AA670" s="18"/>
    </row>
    <row r="671">
      <c r="A671" s="112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2"/>
      <c r="Q671" s="112"/>
      <c r="R671" s="113"/>
      <c r="S671" s="113"/>
      <c r="T671" s="113"/>
      <c r="U671" s="113"/>
      <c r="V671" s="113"/>
      <c r="W671" s="113"/>
      <c r="X671" s="113"/>
      <c r="Y671" s="18"/>
      <c r="Z671" s="18"/>
      <c r="AA671" s="18"/>
    </row>
    <row r="672">
      <c r="A672" s="112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2"/>
      <c r="Q672" s="112"/>
      <c r="R672" s="113"/>
      <c r="S672" s="113"/>
      <c r="T672" s="113"/>
      <c r="U672" s="113"/>
      <c r="V672" s="113"/>
      <c r="W672" s="113"/>
      <c r="X672" s="113"/>
      <c r="Y672" s="18"/>
      <c r="Z672" s="18"/>
      <c r="AA672" s="18"/>
    </row>
    <row r="673">
      <c r="A673" s="112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2"/>
      <c r="Q673" s="112"/>
      <c r="R673" s="113"/>
      <c r="S673" s="113"/>
      <c r="T673" s="113"/>
      <c r="U673" s="113"/>
      <c r="V673" s="113"/>
      <c r="W673" s="113"/>
      <c r="X673" s="113"/>
      <c r="Y673" s="18"/>
      <c r="Z673" s="18"/>
      <c r="AA673" s="18"/>
    </row>
    <row r="674">
      <c r="A674" s="112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2"/>
      <c r="Q674" s="112"/>
      <c r="R674" s="113"/>
      <c r="S674" s="113"/>
      <c r="T674" s="113"/>
      <c r="U674" s="113"/>
      <c r="V674" s="113"/>
      <c r="W674" s="113"/>
      <c r="X674" s="113"/>
      <c r="Y674" s="18"/>
      <c r="Z674" s="18"/>
      <c r="AA674" s="18"/>
    </row>
    <row r="675">
      <c r="A675" s="112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2"/>
      <c r="Q675" s="112"/>
      <c r="R675" s="113"/>
      <c r="S675" s="113"/>
      <c r="T675" s="113"/>
      <c r="U675" s="113"/>
      <c r="V675" s="113"/>
      <c r="W675" s="113"/>
      <c r="X675" s="113"/>
      <c r="Y675" s="18"/>
      <c r="Z675" s="18"/>
      <c r="AA675" s="18"/>
    </row>
    <row r="676">
      <c r="A676" s="112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2"/>
      <c r="Q676" s="112"/>
      <c r="R676" s="113"/>
      <c r="S676" s="113"/>
      <c r="T676" s="113"/>
      <c r="U676" s="113"/>
      <c r="V676" s="113"/>
      <c r="W676" s="113"/>
      <c r="X676" s="113"/>
      <c r="Y676" s="18"/>
      <c r="Z676" s="18"/>
      <c r="AA676" s="18"/>
    </row>
    <row r="677">
      <c r="A677" s="112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2"/>
      <c r="Q677" s="112"/>
      <c r="R677" s="113"/>
      <c r="S677" s="113"/>
      <c r="T677" s="113"/>
      <c r="U677" s="113"/>
      <c r="V677" s="113"/>
      <c r="W677" s="113"/>
      <c r="X677" s="113"/>
      <c r="Y677" s="18"/>
      <c r="Z677" s="18"/>
      <c r="AA677" s="18"/>
    </row>
    <row r="678">
      <c r="A678" s="112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2"/>
      <c r="Q678" s="112"/>
      <c r="R678" s="113"/>
      <c r="S678" s="113"/>
      <c r="T678" s="113"/>
      <c r="U678" s="113"/>
      <c r="V678" s="113"/>
      <c r="W678" s="113"/>
      <c r="X678" s="113"/>
      <c r="Y678" s="18"/>
      <c r="Z678" s="18"/>
      <c r="AA678" s="18"/>
    </row>
    <row r="679">
      <c r="A679" s="112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2"/>
      <c r="Q679" s="112"/>
      <c r="R679" s="113"/>
      <c r="S679" s="113"/>
      <c r="T679" s="113"/>
      <c r="U679" s="113"/>
      <c r="V679" s="113"/>
      <c r="W679" s="113"/>
      <c r="X679" s="113"/>
      <c r="Y679" s="18"/>
      <c r="Z679" s="18"/>
      <c r="AA679" s="18"/>
    </row>
    <row r="680">
      <c r="A680" s="112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2"/>
      <c r="Q680" s="112"/>
      <c r="R680" s="113"/>
      <c r="S680" s="113"/>
      <c r="T680" s="113"/>
      <c r="U680" s="113"/>
      <c r="V680" s="113"/>
      <c r="W680" s="113"/>
      <c r="X680" s="113"/>
      <c r="Y680" s="18"/>
      <c r="Z680" s="18"/>
      <c r="AA680" s="18"/>
    </row>
    <row r="681">
      <c r="A681" s="112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2"/>
      <c r="Q681" s="112"/>
      <c r="R681" s="113"/>
      <c r="S681" s="113"/>
      <c r="T681" s="113"/>
      <c r="U681" s="113"/>
      <c r="V681" s="113"/>
      <c r="W681" s="113"/>
      <c r="X681" s="113"/>
      <c r="Y681" s="18"/>
      <c r="Z681" s="18"/>
      <c r="AA681" s="18"/>
    </row>
    <row r="682">
      <c r="A682" s="112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2"/>
      <c r="Q682" s="112"/>
      <c r="R682" s="113"/>
      <c r="S682" s="113"/>
      <c r="T682" s="113"/>
      <c r="U682" s="113"/>
      <c r="V682" s="113"/>
      <c r="W682" s="113"/>
      <c r="X682" s="113"/>
      <c r="Y682" s="18"/>
      <c r="Z682" s="18"/>
      <c r="AA682" s="18"/>
    </row>
    <row r="683">
      <c r="A683" s="112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2"/>
      <c r="Q683" s="112"/>
      <c r="R683" s="113"/>
      <c r="S683" s="113"/>
      <c r="T683" s="113"/>
      <c r="U683" s="113"/>
      <c r="V683" s="113"/>
      <c r="W683" s="113"/>
      <c r="X683" s="113"/>
      <c r="Y683" s="18"/>
      <c r="Z683" s="18"/>
      <c r="AA683" s="18"/>
    </row>
    <row r="684">
      <c r="A684" s="112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2"/>
      <c r="Q684" s="112"/>
      <c r="R684" s="113"/>
      <c r="S684" s="113"/>
      <c r="T684" s="113"/>
      <c r="U684" s="113"/>
      <c r="V684" s="113"/>
      <c r="W684" s="113"/>
      <c r="X684" s="113"/>
      <c r="Y684" s="18"/>
      <c r="Z684" s="18"/>
      <c r="AA684" s="18"/>
    </row>
    <row r="685">
      <c r="A685" s="112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2"/>
      <c r="Q685" s="112"/>
      <c r="R685" s="113"/>
      <c r="S685" s="113"/>
      <c r="T685" s="113"/>
      <c r="U685" s="113"/>
      <c r="V685" s="113"/>
      <c r="W685" s="113"/>
      <c r="X685" s="113"/>
      <c r="Y685" s="18"/>
      <c r="Z685" s="18"/>
      <c r="AA685" s="18"/>
    </row>
    <row r="686">
      <c r="A686" s="112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2"/>
      <c r="Q686" s="112"/>
      <c r="R686" s="113"/>
      <c r="S686" s="113"/>
      <c r="T686" s="113"/>
      <c r="U686" s="113"/>
      <c r="V686" s="113"/>
      <c r="W686" s="113"/>
      <c r="X686" s="113"/>
      <c r="Y686" s="18"/>
      <c r="Z686" s="18"/>
      <c r="AA686" s="18"/>
    </row>
    <row r="687">
      <c r="A687" s="112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2"/>
      <c r="Q687" s="112"/>
      <c r="R687" s="113"/>
      <c r="S687" s="113"/>
      <c r="T687" s="113"/>
      <c r="U687" s="113"/>
      <c r="V687" s="113"/>
      <c r="W687" s="113"/>
      <c r="X687" s="113"/>
      <c r="Y687" s="18"/>
      <c r="Z687" s="18"/>
      <c r="AA687" s="18"/>
    </row>
    <row r="688">
      <c r="A688" s="112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2"/>
      <c r="Q688" s="112"/>
      <c r="R688" s="113"/>
      <c r="S688" s="113"/>
      <c r="T688" s="113"/>
      <c r="U688" s="113"/>
      <c r="V688" s="113"/>
      <c r="W688" s="113"/>
      <c r="X688" s="113"/>
      <c r="Y688" s="18"/>
      <c r="Z688" s="18"/>
      <c r="AA688" s="18"/>
    </row>
    <row r="689">
      <c r="A689" s="112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2"/>
      <c r="Q689" s="112"/>
      <c r="R689" s="113"/>
      <c r="S689" s="113"/>
      <c r="T689" s="113"/>
      <c r="U689" s="113"/>
      <c r="V689" s="113"/>
      <c r="W689" s="113"/>
      <c r="X689" s="113"/>
      <c r="Y689" s="18"/>
      <c r="Z689" s="18"/>
      <c r="AA689" s="18"/>
    </row>
    <row r="690">
      <c r="A690" s="112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2"/>
      <c r="Q690" s="112"/>
      <c r="R690" s="113"/>
      <c r="S690" s="113"/>
      <c r="T690" s="113"/>
      <c r="U690" s="113"/>
      <c r="V690" s="113"/>
      <c r="W690" s="113"/>
      <c r="X690" s="113"/>
      <c r="Y690" s="18"/>
      <c r="Z690" s="18"/>
      <c r="AA690" s="18"/>
    </row>
    <row r="691">
      <c r="A691" s="112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2"/>
      <c r="Q691" s="112"/>
      <c r="R691" s="113"/>
      <c r="S691" s="113"/>
      <c r="T691" s="113"/>
      <c r="U691" s="113"/>
      <c r="V691" s="113"/>
      <c r="W691" s="113"/>
      <c r="X691" s="113"/>
      <c r="Y691" s="18"/>
      <c r="Z691" s="18"/>
      <c r="AA691" s="18"/>
    </row>
    <row r="692">
      <c r="A692" s="112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2"/>
      <c r="Q692" s="112"/>
      <c r="R692" s="113"/>
      <c r="S692" s="113"/>
      <c r="T692" s="113"/>
      <c r="U692" s="113"/>
      <c r="V692" s="113"/>
      <c r="W692" s="113"/>
      <c r="X692" s="113"/>
      <c r="Y692" s="18"/>
      <c r="Z692" s="18"/>
      <c r="AA692" s="18"/>
    </row>
    <row r="693">
      <c r="A693" s="112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2"/>
      <c r="Q693" s="112"/>
      <c r="R693" s="113"/>
      <c r="S693" s="113"/>
      <c r="T693" s="113"/>
      <c r="U693" s="113"/>
      <c r="V693" s="113"/>
      <c r="W693" s="113"/>
      <c r="X693" s="113"/>
      <c r="Y693" s="18"/>
      <c r="Z693" s="18"/>
      <c r="AA693" s="18"/>
    </row>
    <row r="694">
      <c r="A694" s="112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2"/>
      <c r="Q694" s="112"/>
      <c r="R694" s="113"/>
      <c r="S694" s="113"/>
      <c r="T694" s="113"/>
      <c r="U694" s="113"/>
      <c r="V694" s="113"/>
      <c r="W694" s="113"/>
      <c r="X694" s="113"/>
      <c r="Y694" s="18"/>
      <c r="Z694" s="18"/>
      <c r="AA694" s="18"/>
    </row>
    <row r="695">
      <c r="A695" s="112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2"/>
      <c r="Q695" s="112"/>
      <c r="R695" s="113"/>
      <c r="S695" s="113"/>
      <c r="T695" s="113"/>
      <c r="U695" s="113"/>
      <c r="V695" s="113"/>
      <c r="W695" s="113"/>
      <c r="X695" s="113"/>
      <c r="Y695" s="18"/>
      <c r="Z695" s="18"/>
      <c r="AA695" s="18"/>
    </row>
    <row r="696">
      <c r="A696" s="112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2"/>
      <c r="Q696" s="112"/>
      <c r="R696" s="113"/>
      <c r="S696" s="113"/>
      <c r="T696" s="113"/>
      <c r="U696" s="113"/>
      <c r="V696" s="113"/>
      <c r="W696" s="113"/>
      <c r="X696" s="113"/>
      <c r="Y696" s="18"/>
      <c r="Z696" s="18"/>
      <c r="AA696" s="18"/>
    </row>
    <row r="697">
      <c r="A697" s="112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2"/>
      <c r="Q697" s="112"/>
      <c r="R697" s="113"/>
      <c r="S697" s="113"/>
      <c r="T697" s="113"/>
      <c r="U697" s="113"/>
      <c r="V697" s="113"/>
      <c r="W697" s="113"/>
      <c r="X697" s="113"/>
      <c r="Y697" s="18"/>
      <c r="Z697" s="18"/>
      <c r="AA697" s="18"/>
    </row>
    <row r="698">
      <c r="A698" s="112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2"/>
      <c r="Q698" s="112"/>
      <c r="R698" s="113"/>
      <c r="S698" s="113"/>
      <c r="T698" s="113"/>
      <c r="U698" s="113"/>
      <c r="V698" s="113"/>
      <c r="W698" s="113"/>
      <c r="X698" s="113"/>
      <c r="Y698" s="18"/>
      <c r="Z698" s="18"/>
      <c r="AA698" s="18"/>
    </row>
    <row r="699">
      <c r="A699" s="112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2"/>
      <c r="Q699" s="112"/>
      <c r="R699" s="113"/>
      <c r="S699" s="113"/>
      <c r="T699" s="113"/>
      <c r="U699" s="113"/>
      <c r="V699" s="113"/>
      <c r="W699" s="113"/>
      <c r="X699" s="113"/>
      <c r="Y699" s="18"/>
      <c r="Z699" s="18"/>
      <c r="AA699" s="18"/>
    </row>
    <row r="700">
      <c r="A700" s="112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2"/>
      <c r="Q700" s="112"/>
      <c r="R700" s="113"/>
      <c r="S700" s="113"/>
      <c r="T700" s="113"/>
      <c r="U700" s="113"/>
      <c r="V700" s="113"/>
      <c r="W700" s="113"/>
      <c r="X700" s="113"/>
      <c r="Y700" s="18"/>
      <c r="Z700" s="18"/>
      <c r="AA700" s="18"/>
    </row>
    <row r="701">
      <c r="A701" s="112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2"/>
      <c r="Q701" s="112"/>
      <c r="R701" s="113"/>
      <c r="S701" s="113"/>
      <c r="T701" s="113"/>
      <c r="U701" s="113"/>
      <c r="V701" s="113"/>
      <c r="W701" s="113"/>
      <c r="X701" s="113"/>
      <c r="Y701" s="18"/>
      <c r="Z701" s="18"/>
      <c r="AA701" s="18"/>
    </row>
    <row r="702">
      <c r="A702" s="112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2"/>
      <c r="Q702" s="112"/>
      <c r="R702" s="113"/>
      <c r="S702" s="113"/>
      <c r="T702" s="113"/>
      <c r="U702" s="113"/>
      <c r="V702" s="113"/>
      <c r="W702" s="113"/>
      <c r="X702" s="113"/>
      <c r="Y702" s="18"/>
      <c r="Z702" s="18"/>
      <c r="AA702" s="18"/>
    </row>
    <row r="703">
      <c r="A703" s="112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2"/>
      <c r="Q703" s="112"/>
      <c r="R703" s="113"/>
      <c r="S703" s="113"/>
      <c r="T703" s="113"/>
      <c r="U703" s="113"/>
      <c r="V703" s="113"/>
      <c r="W703" s="113"/>
      <c r="X703" s="113"/>
      <c r="Y703" s="18"/>
      <c r="Z703" s="18"/>
      <c r="AA703" s="18"/>
    </row>
    <row r="704">
      <c r="A704" s="112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2"/>
      <c r="Q704" s="112"/>
      <c r="R704" s="113"/>
      <c r="S704" s="113"/>
      <c r="T704" s="113"/>
      <c r="U704" s="113"/>
      <c r="V704" s="113"/>
      <c r="W704" s="113"/>
      <c r="X704" s="113"/>
      <c r="Y704" s="18"/>
      <c r="Z704" s="18"/>
      <c r="AA704" s="18"/>
    </row>
    <row r="705">
      <c r="A705" s="112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2"/>
      <c r="Q705" s="112"/>
      <c r="R705" s="113"/>
      <c r="S705" s="113"/>
      <c r="T705" s="113"/>
      <c r="U705" s="113"/>
      <c r="V705" s="113"/>
      <c r="W705" s="113"/>
      <c r="X705" s="113"/>
      <c r="Y705" s="18"/>
      <c r="Z705" s="18"/>
      <c r="AA705" s="18"/>
    </row>
    <row r="706">
      <c r="A706" s="112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2"/>
      <c r="Q706" s="112"/>
      <c r="R706" s="113"/>
      <c r="S706" s="113"/>
      <c r="T706" s="113"/>
      <c r="U706" s="113"/>
      <c r="V706" s="113"/>
      <c r="W706" s="113"/>
      <c r="X706" s="113"/>
      <c r="Y706" s="18"/>
      <c r="Z706" s="18"/>
      <c r="AA706" s="18"/>
    </row>
    <row r="707">
      <c r="A707" s="112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2"/>
      <c r="Q707" s="112"/>
      <c r="R707" s="113"/>
      <c r="S707" s="113"/>
      <c r="T707" s="113"/>
      <c r="U707" s="113"/>
      <c r="V707" s="113"/>
      <c r="W707" s="113"/>
      <c r="X707" s="113"/>
      <c r="Y707" s="18"/>
      <c r="Z707" s="18"/>
      <c r="AA707" s="18"/>
    </row>
    <row r="708">
      <c r="A708" s="112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2"/>
      <c r="Q708" s="112"/>
      <c r="R708" s="113"/>
      <c r="S708" s="113"/>
      <c r="T708" s="113"/>
      <c r="U708" s="113"/>
      <c r="V708" s="113"/>
      <c r="W708" s="113"/>
      <c r="X708" s="113"/>
      <c r="Y708" s="18"/>
      <c r="Z708" s="18"/>
      <c r="AA708" s="18"/>
    </row>
    <row r="709">
      <c r="A709" s="112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2"/>
      <c r="Q709" s="112"/>
      <c r="R709" s="113"/>
      <c r="S709" s="113"/>
      <c r="T709" s="113"/>
      <c r="U709" s="113"/>
      <c r="V709" s="113"/>
      <c r="W709" s="113"/>
      <c r="X709" s="113"/>
      <c r="Y709" s="18"/>
      <c r="Z709" s="18"/>
      <c r="AA709" s="18"/>
    </row>
    <row r="710">
      <c r="A710" s="112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2"/>
      <c r="Q710" s="112"/>
      <c r="R710" s="113"/>
      <c r="S710" s="113"/>
      <c r="T710" s="113"/>
      <c r="U710" s="113"/>
      <c r="V710" s="113"/>
      <c r="W710" s="113"/>
      <c r="X710" s="113"/>
      <c r="Y710" s="18"/>
      <c r="Z710" s="18"/>
      <c r="AA710" s="18"/>
    </row>
    <row r="711">
      <c r="A711" s="112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2"/>
      <c r="Q711" s="112"/>
      <c r="R711" s="113"/>
      <c r="S711" s="113"/>
      <c r="T711" s="113"/>
      <c r="U711" s="113"/>
      <c r="V711" s="113"/>
      <c r="W711" s="113"/>
      <c r="X711" s="113"/>
      <c r="Y711" s="18"/>
      <c r="Z711" s="18"/>
      <c r="AA711" s="18"/>
    </row>
    <row r="712">
      <c r="A712" s="112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2"/>
      <c r="Q712" s="112"/>
      <c r="R712" s="113"/>
      <c r="S712" s="113"/>
      <c r="T712" s="113"/>
      <c r="U712" s="113"/>
      <c r="V712" s="113"/>
      <c r="W712" s="113"/>
      <c r="X712" s="113"/>
      <c r="Y712" s="18"/>
      <c r="Z712" s="18"/>
      <c r="AA712" s="18"/>
    </row>
    <row r="713">
      <c r="A713" s="112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2"/>
      <c r="Q713" s="112"/>
      <c r="R713" s="113"/>
      <c r="S713" s="113"/>
      <c r="T713" s="113"/>
      <c r="U713" s="113"/>
      <c r="V713" s="113"/>
      <c r="W713" s="113"/>
      <c r="X713" s="113"/>
      <c r="Y713" s="18"/>
      <c r="Z713" s="18"/>
      <c r="AA713" s="18"/>
    </row>
    <row r="714">
      <c r="A714" s="112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2"/>
      <c r="Q714" s="112"/>
      <c r="R714" s="113"/>
      <c r="S714" s="113"/>
      <c r="T714" s="113"/>
      <c r="U714" s="113"/>
      <c r="V714" s="113"/>
      <c r="W714" s="113"/>
      <c r="X714" s="113"/>
      <c r="Y714" s="18"/>
      <c r="Z714" s="18"/>
      <c r="AA714" s="18"/>
    </row>
    <row r="715">
      <c r="A715" s="112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2"/>
      <c r="Q715" s="112"/>
      <c r="R715" s="113"/>
      <c r="S715" s="113"/>
      <c r="T715" s="113"/>
      <c r="U715" s="113"/>
      <c r="V715" s="113"/>
      <c r="W715" s="113"/>
      <c r="X715" s="113"/>
      <c r="Y715" s="18"/>
      <c r="Z715" s="18"/>
      <c r="AA715" s="18"/>
    </row>
    <row r="716">
      <c r="A716" s="112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2"/>
      <c r="Q716" s="112"/>
      <c r="R716" s="113"/>
      <c r="S716" s="113"/>
      <c r="T716" s="113"/>
      <c r="U716" s="113"/>
      <c r="V716" s="113"/>
      <c r="W716" s="113"/>
      <c r="X716" s="113"/>
      <c r="Y716" s="18"/>
      <c r="Z716" s="18"/>
      <c r="AA716" s="18"/>
    </row>
    <row r="717">
      <c r="A717" s="112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2"/>
      <c r="Q717" s="112"/>
      <c r="R717" s="113"/>
      <c r="S717" s="113"/>
      <c r="T717" s="113"/>
      <c r="U717" s="113"/>
      <c r="V717" s="113"/>
      <c r="W717" s="113"/>
      <c r="X717" s="113"/>
      <c r="Y717" s="18"/>
      <c r="Z717" s="18"/>
      <c r="AA717" s="18"/>
    </row>
    <row r="718">
      <c r="A718" s="112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2"/>
      <c r="Q718" s="112"/>
      <c r="R718" s="113"/>
      <c r="S718" s="113"/>
      <c r="T718" s="113"/>
      <c r="U718" s="113"/>
      <c r="V718" s="113"/>
      <c r="W718" s="113"/>
      <c r="X718" s="113"/>
      <c r="Y718" s="18"/>
      <c r="Z718" s="18"/>
      <c r="AA718" s="18"/>
    </row>
    <row r="719">
      <c r="A719" s="112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2"/>
      <c r="Q719" s="112"/>
      <c r="R719" s="113"/>
      <c r="S719" s="113"/>
      <c r="T719" s="113"/>
      <c r="U719" s="113"/>
      <c r="V719" s="113"/>
      <c r="W719" s="113"/>
      <c r="X719" s="113"/>
      <c r="Y719" s="18"/>
      <c r="Z719" s="18"/>
      <c r="AA719" s="18"/>
    </row>
    <row r="720">
      <c r="A720" s="112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2"/>
      <c r="Q720" s="112"/>
      <c r="R720" s="113"/>
      <c r="S720" s="113"/>
      <c r="T720" s="113"/>
      <c r="U720" s="113"/>
      <c r="V720" s="113"/>
      <c r="W720" s="113"/>
      <c r="X720" s="113"/>
      <c r="Y720" s="18"/>
      <c r="Z720" s="18"/>
      <c r="AA720" s="18"/>
    </row>
    <row r="721">
      <c r="A721" s="112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2"/>
      <c r="Q721" s="112"/>
      <c r="R721" s="113"/>
      <c r="S721" s="113"/>
      <c r="T721" s="113"/>
      <c r="U721" s="113"/>
      <c r="V721" s="113"/>
      <c r="W721" s="113"/>
      <c r="X721" s="113"/>
      <c r="Y721" s="18"/>
      <c r="Z721" s="18"/>
      <c r="AA721" s="18"/>
    </row>
    <row r="722">
      <c r="A722" s="112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2"/>
      <c r="Q722" s="112"/>
      <c r="R722" s="113"/>
      <c r="S722" s="113"/>
      <c r="T722" s="113"/>
      <c r="U722" s="113"/>
      <c r="V722" s="113"/>
      <c r="W722" s="113"/>
      <c r="X722" s="113"/>
      <c r="Y722" s="18"/>
      <c r="Z722" s="18"/>
      <c r="AA722" s="18"/>
    </row>
    <row r="723">
      <c r="A723" s="112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2"/>
      <c r="Q723" s="112"/>
      <c r="R723" s="113"/>
      <c r="S723" s="113"/>
      <c r="T723" s="113"/>
      <c r="U723" s="113"/>
      <c r="V723" s="113"/>
      <c r="W723" s="113"/>
      <c r="X723" s="113"/>
      <c r="Y723" s="18"/>
      <c r="Z723" s="18"/>
      <c r="AA723" s="18"/>
    </row>
    <row r="724">
      <c r="A724" s="112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2"/>
      <c r="Q724" s="112"/>
      <c r="R724" s="113"/>
      <c r="S724" s="113"/>
      <c r="T724" s="113"/>
      <c r="U724" s="113"/>
      <c r="V724" s="113"/>
      <c r="W724" s="113"/>
      <c r="X724" s="113"/>
      <c r="Y724" s="18"/>
      <c r="Z724" s="18"/>
      <c r="AA724" s="18"/>
    </row>
    <row r="725">
      <c r="A725" s="112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2"/>
      <c r="Q725" s="112"/>
      <c r="R725" s="113"/>
      <c r="S725" s="113"/>
      <c r="T725" s="113"/>
      <c r="U725" s="113"/>
      <c r="V725" s="113"/>
      <c r="W725" s="113"/>
      <c r="X725" s="113"/>
      <c r="Y725" s="18"/>
      <c r="Z725" s="18"/>
      <c r="AA725" s="18"/>
    </row>
    <row r="726">
      <c r="A726" s="112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2"/>
      <c r="Q726" s="112"/>
      <c r="R726" s="113"/>
      <c r="S726" s="113"/>
      <c r="T726" s="113"/>
      <c r="U726" s="113"/>
      <c r="V726" s="113"/>
      <c r="W726" s="113"/>
      <c r="X726" s="113"/>
      <c r="Y726" s="18"/>
      <c r="Z726" s="18"/>
      <c r="AA726" s="18"/>
    </row>
    <row r="727">
      <c r="A727" s="112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2"/>
      <c r="Q727" s="112"/>
      <c r="R727" s="113"/>
      <c r="S727" s="113"/>
      <c r="T727" s="113"/>
      <c r="U727" s="113"/>
      <c r="V727" s="113"/>
      <c r="W727" s="113"/>
      <c r="X727" s="113"/>
      <c r="Y727" s="18"/>
      <c r="Z727" s="18"/>
      <c r="AA727" s="18"/>
    </row>
    <row r="728">
      <c r="A728" s="112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2"/>
      <c r="Q728" s="112"/>
      <c r="R728" s="113"/>
      <c r="S728" s="113"/>
      <c r="T728" s="113"/>
      <c r="U728" s="113"/>
      <c r="V728" s="113"/>
      <c r="W728" s="113"/>
      <c r="X728" s="113"/>
      <c r="Y728" s="18"/>
      <c r="Z728" s="18"/>
      <c r="AA728" s="18"/>
    </row>
    <row r="729">
      <c r="A729" s="112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2"/>
      <c r="Q729" s="112"/>
      <c r="R729" s="113"/>
      <c r="S729" s="113"/>
      <c r="T729" s="113"/>
      <c r="U729" s="113"/>
      <c r="V729" s="113"/>
      <c r="W729" s="113"/>
      <c r="X729" s="113"/>
      <c r="Y729" s="18"/>
      <c r="Z729" s="18"/>
      <c r="AA729" s="18"/>
    </row>
    <row r="730">
      <c r="A730" s="112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2"/>
      <c r="Q730" s="112"/>
      <c r="R730" s="113"/>
      <c r="S730" s="113"/>
      <c r="T730" s="113"/>
      <c r="U730" s="113"/>
      <c r="V730" s="113"/>
      <c r="W730" s="113"/>
      <c r="X730" s="113"/>
      <c r="Y730" s="18"/>
      <c r="Z730" s="18"/>
      <c r="AA730" s="18"/>
    </row>
    <row r="731">
      <c r="A731" s="112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2"/>
      <c r="Q731" s="112"/>
      <c r="R731" s="113"/>
      <c r="S731" s="113"/>
      <c r="T731" s="113"/>
      <c r="U731" s="113"/>
      <c r="V731" s="113"/>
      <c r="W731" s="113"/>
      <c r="X731" s="113"/>
      <c r="Y731" s="18"/>
      <c r="Z731" s="18"/>
      <c r="AA731" s="18"/>
    </row>
    <row r="732">
      <c r="A732" s="112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2"/>
      <c r="Q732" s="112"/>
      <c r="R732" s="113"/>
      <c r="S732" s="113"/>
      <c r="T732" s="113"/>
      <c r="U732" s="113"/>
      <c r="V732" s="113"/>
      <c r="W732" s="113"/>
      <c r="X732" s="113"/>
      <c r="Y732" s="18"/>
      <c r="Z732" s="18"/>
      <c r="AA732" s="18"/>
    </row>
    <row r="733">
      <c r="A733" s="112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2"/>
      <c r="Q733" s="112"/>
      <c r="R733" s="113"/>
      <c r="S733" s="113"/>
      <c r="T733" s="113"/>
      <c r="U733" s="113"/>
      <c r="V733" s="113"/>
      <c r="W733" s="113"/>
      <c r="X733" s="113"/>
      <c r="Y733" s="18"/>
      <c r="Z733" s="18"/>
      <c r="AA733" s="18"/>
    </row>
    <row r="734">
      <c r="A734" s="112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2"/>
      <c r="Q734" s="112"/>
      <c r="R734" s="113"/>
      <c r="S734" s="113"/>
      <c r="T734" s="113"/>
      <c r="U734" s="113"/>
      <c r="V734" s="113"/>
      <c r="W734" s="113"/>
      <c r="X734" s="113"/>
      <c r="Y734" s="18"/>
      <c r="Z734" s="18"/>
      <c r="AA734" s="18"/>
    </row>
    <row r="735">
      <c r="A735" s="112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2"/>
      <c r="Q735" s="112"/>
      <c r="R735" s="113"/>
      <c r="S735" s="113"/>
      <c r="T735" s="113"/>
      <c r="U735" s="113"/>
      <c r="V735" s="113"/>
      <c r="W735" s="113"/>
      <c r="X735" s="113"/>
      <c r="Y735" s="18"/>
      <c r="Z735" s="18"/>
      <c r="AA735" s="18"/>
    </row>
    <row r="736">
      <c r="A736" s="112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2"/>
      <c r="Q736" s="112"/>
      <c r="R736" s="113"/>
      <c r="S736" s="113"/>
      <c r="T736" s="113"/>
      <c r="U736" s="113"/>
      <c r="V736" s="113"/>
      <c r="W736" s="113"/>
      <c r="X736" s="113"/>
      <c r="Y736" s="18"/>
      <c r="Z736" s="18"/>
      <c r="AA736" s="18"/>
    </row>
    <row r="737">
      <c r="A737" s="112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2"/>
      <c r="Q737" s="112"/>
      <c r="R737" s="113"/>
      <c r="S737" s="113"/>
      <c r="T737" s="113"/>
      <c r="U737" s="113"/>
      <c r="V737" s="113"/>
      <c r="W737" s="113"/>
      <c r="X737" s="113"/>
      <c r="Y737" s="18"/>
      <c r="Z737" s="18"/>
      <c r="AA737" s="18"/>
    </row>
    <row r="738">
      <c r="A738" s="112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2"/>
      <c r="Q738" s="112"/>
      <c r="R738" s="113"/>
      <c r="S738" s="113"/>
      <c r="T738" s="113"/>
      <c r="U738" s="113"/>
      <c r="V738" s="113"/>
      <c r="W738" s="113"/>
      <c r="X738" s="113"/>
      <c r="Y738" s="18"/>
      <c r="Z738" s="18"/>
      <c r="AA738" s="18"/>
    </row>
    <row r="739">
      <c r="A739" s="112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2"/>
      <c r="Q739" s="112"/>
      <c r="R739" s="113"/>
      <c r="S739" s="113"/>
      <c r="T739" s="113"/>
      <c r="U739" s="113"/>
      <c r="V739" s="113"/>
      <c r="W739" s="113"/>
      <c r="X739" s="113"/>
      <c r="Y739" s="18"/>
      <c r="Z739" s="18"/>
      <c r="AA739" s="18"/>
    </row>
    <row r="740">
      <c r="A740" s="112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2"/>
      <c r="Q740" s="112"/>
      <c r="R740" s="113"/>
      <c r="S740" s="113"/>
      <c r="T740" s="113"/>
      <c r="U740" s="113"/>
      <c r="V740" s="113"/>
      <c r="W740" s="113"/>
      <c r="X740" s="113"/>
      <c r="Y740" s="18"/>
      <c r="Z740" s="18"/>
      <c r="AA740" s="18"/>
    </row>
    <row r="741">
      <c r="A741" s="112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2"/>
      <c r="Q741" s="112"/>
      <c r="R741" s="113"/>
      <c r="S741" s="113"/>
      <c r="T741" s="113"/>
      <c r="U741" s="113"/>
      <c r="V741" s="113"/>
      <c r="W741" s="113"/>
      <c r="X741" s="113"/>
      <c r="Y741" s="18"/>
      <c r="Z741" s="18"/>
      <c r="AA741" s="18"/>
    </row>
    <row r="742">
      <c r="A742" s="112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2"/>
      <c r="Q742" s="112"/>
      <c r="R742" s="113"/>
      <c r="S742" s="113"/>
      <c r="T742" s="113"/>
      <c r="U742" s="113"/>
      <c r="V742" s="113"/>
      <c r="W742" s="113"/>
      <c r="X742" s="113"/>
      <c r="Y742" s="18"/>
      <c r="Z742" s="18"/>
      <c r="AA742" s="18"/>
    </row>
    <row r="743">
      <c r="A743" s="112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2"/>
      <c r="Q743" s="112"/>
      <c r="R743" s="113"/>
      <c r="S743" s="113"/>
      <c r="T743" s="113"/>
      <c r="U743" s="113"/>
      <c r="V743" s="113"/>
      <c r="W743" s="113"/>
      <c r="X743" s="113"/>
      <c r="Y743" s="18"/>
      <c r="Z743" s="18"/>
      <c r="AA743" s="18"/>
    </row>
    <row r="744">
      <c r="A744" s="112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2"/>
      <c r="Q744" s="112"/>
      <c r="R744" s="113"/>
      <c r="S744" s="113"/>
      <c r="T744" s="113"/>
      <c r="U744" s="113"/>
      <c r="V744" s="113"/>
      <c r="W744" s="113"/>
      <c r="X744" s="113"/>
      <c r="Y744" s="18"/>
      <c r="Z744" s="18"/>
      <c r="AA744" s="18"/>
    </row>
    <row r="745">
      <c r="A745" s="112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2"/>
      <c r="Q745" s="112"/>
      <c r="R745" s="113"/>
      <c r="S745" s="113"/>
      <c r="T745" s="113"/>
      <c r="U745" s="113"/>
      <c r="V745" s="113"/>
      <c r="W745" s="113"/>
      <c r="X745" s="113"/>
      <c r="Y745" s="18"/>
      <c r="Z745" s="18"/>
      <c r="AA745" s="18"/>
    </row>
    <row r="746">
      <c r="A746" s="112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2"/>
      <c r="Q746" s="112"/>
      <c r="R746" s="113"/>
      <c r="S746" s="113"/>
      <c r="T746" s="113"/>
      <c r="U746" s="113"/>
      <c r="V746" s="113"/>
      <c r="W746" s="113"/>
      <c r="X746" s="113"/>
      <c r="Y746" s="18"/>
      <c r="Z746" s="18"/>
      <c r="AA746" s="18"/>
    </row>
    <row r="747">
      <c r="A747" s="112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2"/>
      <c r="Q747" s="112"/>
      <c r="R747" s="113"/>
      <c r="S747" s="113"/>
      <c r="T747" s="113"/>
      <c r="U747" s="113"/>
      <c r="V747" s="113"/>
      <c r="W747" s="113"/>
      <c r="X747" s="113"/>
      <c r="Y747" s="18"/>
      <c r="Z747" s="18"/>
      <c r="AA747" s="18"/>
    </row>
    <row r="748">
      <c r="A748" s="112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2"/>
      <c r="Q748" s="112"/>
      <c r="R748" s="113"/>
      <c r="S748" s="113"/>
      <c r="T748" s="113"/>
      <c r="U748" s="113"/>
      <c r="V748" s="113"/>
      <c r="W748" s="113"/>
      <c r="X748" s="113"/>
      <c r="Y748" s="18"/>
      <c r="Z748" s="18"/>
      <c r="AA748" s="18"/>
    </row>
    <row r="749">
      <c r="A749" s="112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2"/>
      <c r="Q749" s="112"/>
      <c r="R749" s="113"/>
      <c r="S749" s="113"/>
      <c r="T749" s="113"/>
      <c r="U749" s="113"/>
      <c r="V749" s="113"/>
      <c r="W749" s="113"/>
      <c r="X749" s="113"/>
      <c r="Y749" s="18"/>
      <c r="Z749" s="18"/>
      <c r="AA749" s="18"/>
    </row>
    <row r="750">
      <c r="A750" s="112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2"/>
      <c r="Q750" s="112"/>
      <c r="R750" s="113"/>
      <c r="S750" s="113"/>
      <c r="T750" s="113"/>
      <c r="U750" s="113"/>
      <c r="V750" s="113"/>
      <c r="W750" s="113"/>
      <c r="X750" s="113"/>
      <c r="Y750" s="18"/>
      <c r="Z750" s="18"/>
      <c r="AA750" s="18"/>
    </row>
    <row r="751">
      <c r="A751" s="112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2"/>
      <c r="Q751" s="112"/>
      <c r="R751" s="113"/>
      <c r="S751" s="113"/>
      <c r="T751" s="113"/>
      <c r="U751" s="113"/>
      <c r="V751" s="113"/>
      <c r="W751" s="113"/>
      <c r="X751" s="113"/>
      <c r="Y751" s="18"/>
      <c r="Z751" s="18"/>
      <c r="AA751" s="18"/>
    </row>
    <row r="752">
      <c r="A752" s="112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2"/>
      <c r="Q752" s="112"/>
      <c r="R752" s="113"/>
      <c r="S752" s="113"/>
      <c r="T752" s="113"/>
      <c r="U752" s="113"/>
      <c r="V752" s="113"/>
      <c r="W752" s="113"/>
      <c r="X752" s="113"/>
      <c r="Y752" s="18"/>
      <c r="Z752" s="18"/>
      <c r="AA752" s="18"/>
    </row>
    <row r="753">
      <c r="A753" s="112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2"/>
      <c r="Q753" s="112"/>
      <c r="R753" s="113"/>
      <c r="S753" s="113"/>
      <c r="T753" s="113"/>
      <c r="U753" s="113"/>
      <c r="V753" s="113"/>
      <c r="W753" s="113"/>
      <c r="X753" s="113"/>
      <c r="Y753" s="18"/>
      <c r="Z753" s="18"/>
      <c r="AA753" s="18"/>
    </row>
    <row r="754">
      <c r="A754" s="112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2"/>
      <c r="Q754" s="112"/>
      <c r="R754" s="113"/>
      <c r="S754" s="113"/>
      <c r="T754" s="113"/>
      <c r="U754" s="113"/>
      <c r="V754" s="113"/>
      <c r="W754" s="113"/>
      <c r="X754" s="113"/>
      <c r="Y754" s="18"/>
      <c r="Z754" s="18"/>
      <c r="AA754" s="18"/>
    </row>
    <row r="755">
      <c r="A755" s="112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2"/>
      <c r="Q755" s="112"/>
      <c r="R755" s="113"/>
      <c r="S755" s="113"/>
      <c r="T755" s="113"/>
      <c r="U755" s="113"/>
      <c r="V755" s="113"/>
      <c r="W755" s="113"/>
      <c r="X755" s="113"/>
      <c r="Y755" s="18"/>
      <c r="Z755" s="18"/>
      <c r="AA755" s="18"/>
    </row>
    <row r="756">
      <c r="A756" s="112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2"/>
      <c r="Q756" s="112"/>
      <c r="R756" s="113"/>
      <c r="S756" s="113"/>
      <c r="T756" s="113"/>
      <c r="U756" s="113"/>
      <c r="V756" s="113"/>
      <c r="W756" s="113"/>
      <c r="X756" s="113"/>
      <c r="Y756" s="18"/>
      <c r="Z756" s="18"/>
      <c r="AA756" s="18"/>
    </row>
    <row r="757">
      <c r="A757" s="112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2"/>
      <c r="Q757" s="112"/>
      <c r="R757" s="113"/>
      <c r="S757" s="113"/>
      <c r="T757" s="113"/>
      <c r="U757" s="113"/>
      <c r="V757" s="113"/>
      <c r="W757" s="113"/>
      <c r="X757" s="113"/>
      <c r="Y757" s="18"/>
      <c r="Z757" s="18"/>
      <c r="AA757" s="18"/>
    </row>
    <row r="758">
      <c r="A758" s="112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2"/>
      <c r="Q758" s="112"/>
      <c r="R758" s="113"/>
      <c r="S758" s="113"/>
      <c r="T758" s="113"/>
      <c r="U758" s="113"/>
      <c r="V758" s="113"/>
      <c r="W758" s="113"/>
      <c r="X758" s="113"/>
      <c r="Y758" s="18"/>
      <c r="Z758" s="18"/>
      <c r="AA758" s="18"/>
    </row>
    <row r="759">
      <c r="A759" s="112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2"/>
      <c r="Q759" s="112"/>
      <c r="R759" s="113"/>
      <c r="S759" s="113"/>
      <c r="T759" s="113"/>
      <c r="U759" s="113"/>
      <c r="V759" s="113"/>
      <c r="W759" s="113"/>
      <c r="X759" s="113"/>
      <c r="Y759" s="18"/>
      <c r="Z759" s="18"/>
      <c r="AA759" s="18"/>
    </row>
    <row r="760">
      <c r="A760" s="112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2"/>
      <c r="Q760" s="112"/>
      <c r="R760" s="113"/>
      <c r="S760" s="113"/>
      <c r="T760" s="113"/>
      <c r="U760" s="113"/>
      <c r="V760" s="113"/>
      <c r="W760" s="113"/>
      <c r="X760" s="113"/>
      <c r="Y760" s="18"/>
      <c r="Z760" s="18"/>
      <c r="AA760" s="18"/>
    </row>
    <row r="761">
      <c r="A761" s="112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2"/>
      <c r="Q761" s="112"/>
      <c r="R761" s="113"/>
      <c r="S761" s="113"/>
      <c r="T761" s="113"/>
      <c r="U761" s="113"/>
      <c r="V761" s="113"/>
      <c r="W761" s="113"/>
      <c r="X761" s="113"/>
      <c r="Y761" s="18"/>
      <c r="Z761" s="18"/>
      <c r="AA761" s="18"/>
    </row>
    <row r="762">
      <c r="A762" s="112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2"/>
      <c r="Q762" s="112"/>
      <c r="R762" s="113"/>
      <c r="S762" s="113"/>
      <c r="T762" s="113"/>
      <c r="U762" s="113"/>
      <c r="V762" s="113"/>
      <c r="W762" s="113"/>
      <c r="X762" s="113"/>
      <c r="Y762" s="18"/>
      <c r="Z762" s="18"/>
      <c r="AA762" s="18"/>
    </row>
    <row r="763">
      <c r="A763" s="112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2"/>
      <c r="Q763" s="112"/>
      <c r="R763" s="113"/>
      <c r="S763" s="113"/>
      <c r="T763" s="113"/>
      <c r="U763" s="113"/>
      <c r="V763" s="113"/>
      <c r="W763" s="113"/>
      <c r="X763" s="113"/>
      <c r="Y763" s="18"/>
      <c r="Z763" s="18"/>
      <c r="AA763" s="18"/>
    </row>
    <row r="764">
      <c r="A764" s="112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2"/>
      <c r="Q764" s="112"/>
      <c r="R764" s="113"/>
      <c r="S764" s="113"/>
      <c r="T764" s="113"/>
      <c r="U764" s="113"/>
      <c r="V764" s="113"/>
      <c r="W764" s="113"/>
      <c r="X764" s="113"/>
      <c r="Y764" s="18"/>
      <c r="Z764" s="18"/>
      <c r="AA764" s="18"/>
    </row>
    <row r="765">
      <c r="A765" s="112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2"/>
      <c r="Q765" s="112"/>
      <c r="R765" s="113"/>
      <c r="S765" s="113"/>
      <c r="T765" s="113"/>
      <c r="U765" s="113"/>
      <c r="V765" s="113"/>
      <c r="W765" s="113"/>
      <c r="X765" s="113"/>
      <c r="Y765" s="18"/>
      <c r="Z765" s="18"/>
      <c r="AA765" s="18"/>
    </row>
    <row r="766">
      <c r="A766" s="112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2"/>
      <c r="Q766" s="112"/>
      <c r="R766" s="113"/>
      <c r="S766" s="113"/>
      <c r="T766" s="113"/>
      <c r="U766" s="113"/>
      <c r="V766" s="113"/>
      <c r="W766" s="113"/>
      <c r="X766" s="113"/>
      <c r="Y766" s="18"/>
      <c r="Z766" s="18"/>
      <c r="AA766" s="18"/>
    </row>
    <row r="767">
      <c r="A767" s="112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2"/>
      <c r="Q767" s="112"/>
      <c r="R767" s="113"/>
      <c r="S767" s="113"/>
      <c r="T767" s="113"/>
      <c r="U767" s="113"/>
      <c r="V767" s="113"/>
      <c r="W767" s="113"/>
      <c r="X767" s="113"/>
      <c r="Y767" s="18"/>
      <c r="Z767" s="18"/>
      <c r="AA767" s="18"/>
    </row>
    <row r="768">
      <c r="A768" s="112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2"/>
      <c r="Q768" s="112"/>
      <c r="R768" s="113"/>
      <c r="S768" s="113"/>
      <c r="T768" s="113"/>
      <c r="U768" s="113"/>
      <c r="V768" s="113"/>
      <c r="W768" s="113"/>
      <c r="X768" s="113"/>
      <c r="Y768" s="18"/>
      <c r="Z768" s="18"/>
      <c r="AA768" s="18"/>
    </row>
    <row r="769">
      <c r="A769" s="112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2"/>
      <c r="Q769" s="112"/>
      <c r="R769" s="113"/>
      <c r="S769" s="113"/>
      <c r="T769" s="113"/>
      <c r="U769" s="113"/>
      <c r="V769" s="113"/>
      <c r="W769" s="113"/>
      <c r="X769" s="113"/>
      <c r="Y769" s="18"/>
      <c r="Z769" s="18"/>
      <c r="AA769" s="18"/>
    </row>
    <row r="770">
      <c r="A770" s="112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2"/>
      <c r="Q770" s="112"/>
      <c r="R770" s="113"/>
      <c r="S770" s="113"/>
      <c r="T770" s="113"/>
      <c r="U770" s="113"/>
      <c r="V770" s="113"/>
      <c r="W770" s="113"/>
      <c r="X770" s="113"/>
      <c r="Y770" s="18"/>
      <c r="Z770" s="18"/>
      <c r="AA770" s="18"/>
    </row>
    <row r="771">
      <c r="A771" s="112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2"/>
      <c r="Q771" s="112"/>
      <c r="R771" s="113"/>
      <c r="S771" s="113"/>
      <c r="T771" s="113"/>
      <c r="U771" s="113"/>
      <c r="V771" s="113"/>
      <c r="W771" s="113"/>
      <c r="X771" s="113"/>
      <c r="Y771" s="18"/>
      <c r="Z771" s="18"/>
      <c r="AA771" s="18"/>
    </row>
    <row r="772">
      <c r="A772" s="112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2"/>
      <c r="Q772" s="112"/>
      <c r="R772" s="113"/>
      <c r="S772" s="113"/>
      <c r="T772" s="113"/>
      <c r="U772" s="113"/>
      <c r="V772" s="113"/>
      <c r="W772" s="113"/>
      <c r="X772" s="113"/>
      <c r="Y772" s="18"/>
      <c r="Z772" s="18"/>
      <c r="AA772" s="18"/>
    </row>
    <row r="773">
      <c r="A773" s="112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2"/>
      <c r="Q773" s="112"/>
      <c r="R773" s="113"/>
      <c r="S773" s="113"/>
      <c r="T773" s="113"/>
      <c r="U773" s="113"/>
      <c r="V773" s="113"/>
      <c r="W773" s="113"/>
      <c r="X773" s="113"/>
      <c r="Y773" s="18"/>
      <c r="Z773" s="18"/>
      <c r="AA773" s="18"/>
    </row>
    <row r="774">
      <c r="A774" s="112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2"/>
      <c r="Q774" s="112"/>
      <c r="R774" s="113"/>
      <c r="S774" s="113"/>
      <c r="T774" s="113"/>
      <c r="U774" s="113"/>
      <c r="V774" s="113"/>
      <c r="W774" s="113"/>
      <c r="X774" s="113"/>
      <c r="Y774" s="18"/>
      <c r="Z774" s="18"/>
      <c r="AA774" s="18"/>
    </row>
    <row r="775">
      <c r="A775" s="112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2"/>
      <c r="Q775" s="112"/>
      <c r="R775" s="113"/>
      <c r="S775" s="113"/>
      <c r="T775" s="113"/>
      <c r="U775" s="113"/>
      <c r="V775" s="113"/>
      <c r="W775" s="113"/>
      <c r="X775" s="113"/>
      <c r="Y775" s="18"/>
      <c r="Z775" s="18"/>
      <c r="AA775" s="18"/>
    </row>
    <row r="776">
      <c r="A776" s="112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2"/>
      <c r="Q776" s="112"/>
      <c r="R776" s="113"/>
      <c r="S776" s="113"/>
      <c r="T776" s="113"/>
      <c r="U776" s="113"/>
      <c r="V776" s="113"/>
      <c r="W776" s="113"/>
      <c r="X776" s="113"/>
      <c r="Y776" s="18"/>
      <c r="Z776" s="18"/>
      <c r="AA776" s="18"/>
    </row>
    <row r="777">
      <c r="A777" s="112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2"/>
      <c r="Q777" s="112"/>
      <c r="R777" s="113"/>
      <c r="S777" s="113"/>
      <c r="T777" s="113"/>
      <c r="U777" s="113"/>
      <c r="V777" s="113"/>
      <c r="W777" s="113"/>
      <c r="X777" s="113"/>
      <c r="Y777" s="18"/>
      <c r="Z777" s="18"/>
      <c r="AA777" s="18"/>
    </row>
    <row r="778">
      <c r="A778" s="112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2"/>
      <c r="Q778" s="112"/>
      <c r="R778" s="113"/>
      <c r="S778" s="113"/>
      <c r="T778" s="113"/>
      <c r="U778" s="113"/>
      <c r="V778" s="113"/>
      <c r="W778" s="113"/>
      <c r="X778" s="113"/>
      <c r="Y778" s="18"/>
      <c r="Z778" s="18"/>
      <c r="AA778" s="18"/>
    </row>
    <row r="779">
      <c r="A779" s="112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2"/>
      <c r="Q779" s="112"/>
      <c r="R779" s="113"/>
      <c r="S779" s="113"/>
      <c r="T779" s="113"/>
      <c r="U779" s="113"/>
      <c r="V779" s="113"/>
      <c r="W779" s="113"/>
      <c r="X779" s="113"/>
      <c r="Y779" s="18"/>
      <c r="Z779" s="18"/>
      <c r="AA779" s="18"/>
    </row>
    <row r="780">
      <c r="A780" s="112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2"/>
      <c r="Q780" s="112"/>
      <c r="R780" s="113"/>
      <c r="S780" s="113"/>
      <c r="T780" s="113"/>
      <c r="U780" s="113"/>
      <c r="V780" s="113"/>
      <c r="W780" s="113"/>
      <c r="X780" s="113"/>
      <c r="Y780" s="18"/>
      <c r="Z780" s="18"/>
      <c r="AA780" s="18"/>
    </row>
    <row r="781">
      <c r="A781" s="112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2"/>
      <c r="Q781" s="112"/>
      <c r="R781" s="113"/>
      <c r="S781" s="113"/>
      <c r="T781" s="113"/>
      <c r="U781" s="113"/>
      <c r="V781" s="113"/>
      <c r="W781" s="113"/>
      <c r="X781" s="113"/>
      <c r="Y781" s="18"/>
      <c r="Z781" s="18"/>
      <c r="AA781" s="18"/>
    </row>
    <row r="782">
      <c r="A782" s="112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2"/>
      <c r="Q782" s="112"/>
      <c r="R782" s="113"/>
      <c r="S782" s="113"/>
      <c r="T782" s="113"/>
      <c r="U782" s="113"/>
      <c r="V782" s="113"/>
      <c r="W782" s="113"/>
      <c r="X782" s="113"/>
      <c r="Y782" s="18"/>
      <c r="Z782" s="18"/>
      <c r="AA782" s="18"/>
    </row>
    <row r="783">
      <c r="A783" s="112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2"/>
      <c r="Q783" s="112"/>
      <c r="R783" s="113"/>
      <c r="S783" s="113"/>
      <c r="T783" s="113"/>
      <c r="U783" s="113"/>
      <c r="V783" s="113"/>
      <c r="W783" s="113"/>
      <c r="X783" s="113"/>
      <c r="Y783" s="18"/>
      <c r="Z783" s="18"/>
      <c r="AA783" s="18"/>
    </row>
    <row r="784">
      <c r="A784" s="112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2"/>
      <c r="Q784" s="112"/>
      <c r="R784" s="113"/>
      <c r="S784" s="113"/>
      <c r="T784" s="113"/>
      <c r="U784" s="113"/>
      <c r="V784" s="113"/>
      <c r="W784" s="113"/>
      <c r="X784" s="113"/>
      <c r="Y784" s="18"/>
      <c r="Z784" s="18"/>
      <c r="AA784" s="18"/>
    </row>
    <row r="785">
      <c r="A785" s="112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2"/>
      <c r="Q785" s="112"/>
      <c r="R785" s="113"/>
      <c r="S785" s="113"/>
      <c r="T785" s="113"/>
      <c r="U785" s="113"/>
      <c r="V785" s="113"/>
      <c r="W785" s="113"/>
      <c r="X785" s="113"/>
      <c r="Y785" s="18"/>
      <c r="Z785" s="18"/>
      <c r="AA785" s="18"/>
    </row>
    <row r="786">
      <c r="A786" s="112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2"/>
      <c r="Q786" s="112"/>
      <c r="R786" s="113"/>
      <c r="S786" s="113"/>
      <c r="T786" s="113"/>
      <c r="U786" s="113"/>
      <c r="V786" s="113"/>
      <c r="W786" s="113"/>
      <c r="X786" s="113"/>
      <c r="Y786" s="18"/>
      <c r="Z786" s="18"/>
      <c r="AA786" s="18"/>
    </row>
    <row r="787">
      <c r="A787" s="112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2"/>
      <c r="Q787" s="112"/>
      <c r="R787" s="113"/>
      <c r="S787" s="113"/>
      <c r="T787" s="113"/>
      <c r="U787" s="113"/>
      <c r="V787" s="113"/>
      <c r="W787" s="113"/>
      <c r="X787" s="113"/>
      <c r="Y787" s="18"/>
      <c r="Z787" s="18"/>
      <c r="AA787" s="18"/>
    </row>
    <row r="788">
      <c r="A788" s="112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2"/>
      <c r="Q788" s="112"/>
      <c r="R788" s="113"/>
      <c r="S788" s="113"/>
      <c r="T788" s="113"/>
      <c r="U788" s="113"/>
      <c r="V788" s="113"/>
      <c r="W788" s="113"/>
      <c r="X788" s="113"/>
      <c r="Y788" s="18"/>
      <c r="Z788" s="18"/>
      <c r="AA788" s="18"/>
    </row>
    <row r="789">
      <c r="A789" s="112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2"/>
      <c r="Q789" s="112"/>
      <c r="R789" s="113"/>
      <c r="S789" s="113"/>
      <c r="T789" s="113"/>
      <c r="U789" s="113"/>
      <c r="V789" s="113"/>
      <c r="W789" s="113"/>
      <c r="X789" s="113"/>
      <c r="Y789" s="18"/>
      <c r="Z789" s="18"/>
      <c r="AA789" s="18"/>
    </row>
    <row r="790">
      <c r="A790" s="112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2"/>
      <c r="Q790" s="112"/>
      <c r="R790" s="113"/>
      <c r="S790" s="113"/>
      <c r="T790" s="113"/>
      <c r="U790" s="113"/>
      <c r="V790" s="113"/>
      <c r="W790" s="113"/>
      <c r="X790" s="113"/>
      <c r="Y790" s="18"/>
      <c r="Z790" s="18"/>
      <c r="AA790" s="18"/>
    </row>
    <row r="791">
      <c r="A791" s="112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2"/>
      <c r="Q791" s="112"/>
      <c r="R791" s="113"/>
      <c r="S791" s="113"/>
      <c r="T791" s="113"/>
      <c r="U791" s="113"/>
      <c r="V791" s="113"/>
      <c r="W791" s="113"/>
      <c r="X791" s="113"/>
      <c r="Y791" s="18"/>
      <c r="Z791" s="18"/>
      <c r="AA791" s="18"/>
    </row>
    <row r="792">
      <c r="A792" s="112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2"/>
      <c r="Q792" s="112"/>
      <c r="R792" s="113"/>
      <c r="S792" s="113"/>
      <c r="T792" s="113"/>
      <c r="U792" s="113"/>
      <c r="V792" s="113"/>
      <c r="W792" s="113"/>
      <c r="X792" s="113"/>
      <c r="Y792" s="18"/>
      <c r="Z792" s="18"/>
      <c r="AA792" s="18"/>
    </row>
    <row r="793">
      <c r="A793" s="112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2"/>
      <c r="Q793" s="112"/>
      <c r="R793" s="113"/>
      <c r="S793" s="113"/>
      <c r="T793" s="113"/>
      <c r="U793" s="113"/>
      <c r="V793" s="113"/>
      <c r="W793" s="113"/>
      <c r="X793" s="113"/>
      <c r="Y793" s="18"/>
      <c r="Z793" s="18"/>
      <c r="AA793" s="18"/>
    </row>
    <row r="794">
      <c r="A794" s="112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2"/>
      <c r="Q794" s="112"/>
      <c r="R794" s="113"/>
      <c r="S794" s="113"/>
      <c r="T794" s="113"/>
      <c r="U794" s="113"/>
      <c r="V794" s="113"/>
      <c r="W794" s="113"/>
      <c r="X794" s="113"/>
      <c r="Y794" s="18"/>
      <c r="Z794" s="18"/>
      <c r="AA794" s="18"/>
    </row>
    <row r="795">
      <c r="A795" s="112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2"/>
      <c r="Q795" s="112"/>
      <c r="R795" s="113"/>
      <c r="S795" s="113"/>
      <c r="T795" s="113"/>
      <c r="U795" s="113"/>
      <c r="V795" s="113"/>
      <c r="W795" s="113"/>
      <c r="X795" s="113"/>
      <c r="Y795" s="18"/>
      <c r="Z795" s="18"/>
      <c r="AA795" s="18"/>
    </row>
    <row r="796">
      <c r="A796" s="112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2"/>
      <c r="Q796" s="112"/>
      <c r="R796" s="113"/>
      <c r="S796" s="113"/>
      <c r="T796" s="113"/>
      <c r="U796" s="113"/>
      <c r="V796" s="113"/>
      <c r="W796" s="113"/>
      <c r="X796" s="113"/>
      <c r="Y796" s="18"/>
      <c r="Z796" s="18"/>
      <c r="AA796" s="18"/>
    </row>
    <row r="797">
      <c r="A797" s="112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2"/>
      <c r="Q797" s="112"/>
      <c r="R797" s="113"/>
      <c r="S797" s="113"/>
      <c r="T797" s="113"/>
      <c r="U797" s="113"/>
      <c r="V797" s="113"/>
      <c r="W797" s="113"/>
      <c r="X797" s="113"/>
      <c r="Y797" s="18"/>
      <c r="Z797" s="18"/>
      <c r="AA797" s="18"/>
    </row>
    <row r="798">
      <c r="A798" s="112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2"/>
      <c r="Q798" s="112"/>
      <c r="R798" s="113"/>
      <c r="S798" s="113"/>
      <c r="T798" s="113"/>
      <c r="U798" s="113"/>
      <c r="V798" s="113"/>
      <c r="W798" s="113"/>
      <c r="X798" s="113"/>
      <c r="Y798" s="18"/>
      <c r="Z798" s="18"/>
      <c r="AA798" s="18"/>
    </row>
    <row r="799">
      <c r="A799" s="112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2"/>
      <c r="Q799" s="112"/>
      <c r="R799" s="113"/>
      <c r="S799" s="113"/>
      <c r="T799" s="113"/>
      <c r="U799" s="113"/>
      <c r="V799" s="113"/>
      <c r="W799" s="113"/>
      <c r="X799" s="113"/>
      <c r="Y799" s="18"/>
      <c r="Z799" s="18"/>
      <c r="AA799" s="18"/>
    </row>
    <row r="800">
      <c r="A800" s="112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2"/>
      <c r="Q800" s="112"/>
      <c r="R800" s="113"/>
      <c r="S800" s="113"/>
      <c r="T800" s="113"/>
      <c r="U800" s="113"/>
      <c r="V800" s="113"/>
      <c r="W800" s="113"/>
      <c r="X800" s="113"/>
      <c r="Y800" s="18"/>
      <c r="Z800" s="18"/>
      <c r="AA800" s="18"/>
    </row>
    <row r="801">
      <c r="A801" s="112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2"/>
      <c r="Q801" s="112"/>
      <c r="R801" s="113"/>
      <c r="S801" s="113"/>
      <c r="T801" s="113"/>
      <c r="U801" s="113"/>
      <c r="V801" s="113"/>
      <c r="W801" s="113"/>
      <c r="X801" s="113"/>
      <c r="Y801" s="18"/>
      <c r="Z801" s="18"/>
      <c r="AA801" s="18"/>
    </row>
    <row r="802">
      <c r="A802" s="112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2"/>
      <c r="Q802" s="112"/>
      <c r="R802" s="113"/>
      <c r="S802" s="113"/>
      <c r="T802" s="113"/>
      <c r="U802" s="113"/>
      <c r="V802" s="113"/>
      <c r="W802" s="113"/>
      <c r="X802" s="113"/>
      <c r="Y802" s="18"/>
      <c r="Z802" s="18"/>
      <c r="AA802" s="18"/>
    </row>
    <row r="803">
      <c r="A803" s="112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2"/>
      <c r="Q803" s="112"/>
      <c r="R803" s="113"/>
      <c r="S803" s="113"/>
      <c r="T803" s="113"/>
      <c r="U803" s="113"/>
      <c r="V803" s="113"/>
      <c r="W803" s="113"/>
      <c r="X803" s="113"/>
      <c r="Y803" s="18"/>
      <c r="Z803" s="18"/>
      <c r="AA803" s="18"/>
    </row>
    <row r="804">
      <c r="A804" s="112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2"/>
      <c r="Q804" s="112"/>
      <c r="R804" s="113"/>
      <c r="S804" s="113"/>
      <c r="T804" s="113"/>
      <c r="U804" s="113"/>
      <c r="V804" s="113"/>
      <c r="W804" s="113"/>
      <c r="X804" s="113"/>
      <c r="Y804" s="18"/>
      <c r="Z804" s="18"/>
      <c r="AA804" s="18"/>
    </row>
    <row r="805">
      <c r="A805" s="112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2"/>
      <c r="Q805" s="112"/>
      <c r="R805" s="113"/>
      <c r="S805" s="113"/>
      <c r="T805" s="113"/>
      <c r="U805" s="113"/>
      <c r="V805" s="113"/>
      <c r="W805" s="113"/>
      <c r="X805" s="113"/>
      <c r="Y805" s="18"/>
      <c r="Z805" s="18"/>
      <c r="AA805" s="18"/>
    </row>
    <row r="806">
      <c r="A806" s="112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2"/>
      <c r="Q806" s="112"/>
      <c r="R806" s="113"/>
      <c r="S806" s="113"/>
      <c r="T806" s="113"/>
      <c r="U806" s="113"/>
      <c r="V806" s="113"/>
      <c r="W806" s="113"/>
      <c r="X806" s="113"/>
      <c r="Y806" s="18"/>
      <c r="Z806" s="18"/>
      <c r="AA806" s="18"/>
    </row>
    <row r="807">
      <c r="A807" s="112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2"/>
      <c r="Q807" s="112"/>
      <c r="R807" s="113"/>
      <c r="S807" s="113"/>
      <c r="T807" s="113"/>
      <c r="U807" s="113"/>
      <c r="V807" s="113"/>
      <c r="W807" s="113"/>
      <c r="X807" s="113"/>
      <c r="Y807" s="18"/>
      <c r="Z807" s="18"/>
      <c r="AA807" s="18"/>
    </row>
    <row r="808">
      <c r="A808" s="112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2"/>
      <c r="Q808" s="112"/>
      <c r="R808" s="113"/>
      <c r="S808" s="113"/>
      <c r="T808" s="113"/>
      <c r="U808" s="113"/>
      <c r="V808" s="113"/>
      <c r="W808" s="113"/>
      <c r="X808" s="113"/>
      <c r="Y808" s="18"/>
      <c r="Z808" s="18"/>
      <c r="AA808" s="18"/>
    </row>
    <row r="809">
      <c r="A809" s="112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2"/>
      <c r="Q809" s="112"/>
      <c r="R809" s="113"/>
      <c r="S809" s="113"/>
      <c r="T809" s="113"/>
      <c r="U809" s="113"/>
      <c r="V809" s="113"/>
      <c r="W809" s="113"/>
      <c r="X809" s="113"/>
      <c r="Y809" s="18"/>
      <c r="Z809" s="18"/>
      <c r="AA809" s="18"/>
    </row>
    <row r="810">
      <c r="A810" s="112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2"/>
      <c r="Q810" s="112"/>
      <c r="R810" s="113"/>
      <c r="S810" s="113"/>
      <c r="T810" s="113"/>
      <c r="U810" s="113"/>
      <c r="V810" s="113"/>
      <c r="W810" s="113"/>
      <c r="X810" s="113"/>
      <c r="Y810" s="18"/>
      <c r="Z810" s="18"/>
      <c r="AA810" s="18"/>
    </row>
    <row r="811">
      <c r="A811" s="112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2"/>
      <c r="Q811" s="112"/>
      <c r="R811" s="113"/>
      <c r="S811" s="113"/>
      <c r="T811" s="113"/>
      <c r="U811" s="113"/>
      <c r="V811" s="113"/>
      <c r="W811" s="113"/>
      <c r="X811" s="113"/>
      <c r="Y811" s="18"/>
      <c r="Z811" s="18"/>
      <c r="AA811" s="18"/>
    </row>
    <row r="812">
      <c r="A812" s="112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2"/>
      <c r="Q812" s="112"/>
      <c r="R812" s="113"/>
      <c r="S812" s="113"/>
      <c r="T812" s="113"/>
      <c r="U812" s="113"/>
      <c r="V812" s="113"/>
      <c r="W812" s="113"/>
      <c r="X812" s="113"/>
      <c r="Y812" s="18"/>
      <c r="Z812" s="18"/>
      <c r="AA812" s="18"/>
    </row>
    <row r="813">
      <c r="A813" s="112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2"/>
      <c r="Q813" s="112"/>
      <c r="R813" s="113"/>
      <c r="S813" s="113"/>
      <c r="T813" s="113"/>
      <c r="U813" s="113"/>
      <c r="V813" s="113"/>
      <c r="W813" s="113"/>
      <c r="X813" s="113"/>
      <c r="Y813" s="18"/>
      <c r="Z813" s="18"/>
      <c r="AA813" s="18"/>
    </row>
    <row r="814">
      <c r="A814" s="112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2"/>
      <c r="Q814" s="112"/>
      <c r="R814" s="113"/>
      <c r="S814" s="113"/>
      <c r="T814" s="113"/>
      <c r="U814" s="113"/>
      <c r="V814" s="113"/>
      <c r="W814" s="113"/>
      <c r="X814" s="113"/>
      <c r="Y814" s="18"/>
      <c r="Z814" s="18"/>
      <c r="AA814" s="18"/>
    </row>
    <row r="815">
      <c r="A815" s="112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2"/>
      <c r="Q815" s="112"/>
      <c r="R815" s="113"/>
      <c r="S815" s="113"/>
      <c r="T815" s="113"/>
      <c r="U815" s="113"/>
      <c r="V815" s="113"/>
      <c r="W815" s="113"/>
      <c r="X815" s="113"/>
      <c r="Y815" s="18"/>
      <c r="Z815" s="18"/>
      <c r="AA815" s="18"/>
    </row>
    <row r="816">
      <c r="A816" s="112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2"/>
      <c r="Q816" s="112"/>
      <c r="R816" s="113"/>
      <c r="S816" s="113"/>
      <c r="T816" s="113"/>
      <c r="U816" s="113"/>
      <c r="V816" s="113"/>
      <c r="W816" s="113"/>
      <c r="X816" s="113"/>
      <c r="Y816" s="18"/>
      <c r="Z816" s="18"/>
      <c r="AA816" s="18"/>
    </row>
    <row r="817">
      <c r="A817" s="112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2"/>
      <c r="Q817" s="112"/>
      <c r="R817" s="113"/>
      <c r="S817" s="113"/>
      <c r="T817" s="113"/>
      <c r="U817" s="113"/>
      <c r="V817" s="113"/>
      <c r="W817" s="113"/>
      <c r="X817" s="113"/>
      <c r="Y817" s="18"/>
      <c r="Z817" s="18"/>
      <c r="AA817" s="18"/>
    </row>
    <row r="818">
      <c r="A818" s="112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2"/>
      <c r="Q818" s="112"/>
      <c r="R818" s="113"/>
      <c r="S818" s="113"/>
      <c r="T818" s="113"/>
      <c r="U818" s="113"/>
      <c r="V818" s="113"/>
      <c r="W818" s="113"/>
      <c r="X818" s="113"/>
      <c r="Y818" s="18"/>
      <c r="Z818" s="18"/>
      <c r="AA818" s="18"/>
    </row>
    <row r="819">
      <c r="A819" s="112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2"/>
      <c r="Q819" s="112"/>
      <c r="R819" s="113"/>
      <c r="S819" s="113"/>
      <c r="T819" s="113"/>
      <c r="U819" s="113"/>
      <c r="V819" s="113"/>
      <c r="W819" s="113"/>
      <c r="X819" s="113"/>
      <c r="Y819" s="18"/>
      <c r="Z819" s="18"/>
      <c r="AA819" s="18"/>
    </row>
    <row r="820">
      <c r="A820" s="112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2"/>
      <c r="Q820" s="112"/>
      <c r="R820" s="113"/>
      <c r="S820" s="113"/>
      <c r="T820" s="113"/>
      <c r="U820" s="113"/>
      <c r="V820" s="113"/>
      <c r="W820" s="113"/>
      <c r="X820" s="113"/>
      <c r="Y820" s="18"/>
      <c r="Z820" s="18"/>
      <c r="AA820" s="18"/>
    </row>
    <row r="821">
      <c r="A821" s="112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2"/>
      <c r="Q821" s="112"/>
      <c r="R821" s="113"/>
      <c r="S821" s="113"/>
      <c r="T821" s="113"/>
      <c r="U821" s="113"/>
      <c r="V821" s="113"/>
      <c r="W821" s="113"/>
      <c r="X821" s="113"/>
      <c r="Y821" s="18"/>
      <c r="Z821" s="18"/>
      <c r="AA821" s="18"/>
    </row>
    <row r="822">
      <c r="A822" s="112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2"/>
      <c r="Q822" s="112"/>
      <c r="R822" s="113"/>
      <c r="S822" s="113"/>
      <c r="T822" s="113"/>
      <c r="U822" s="113"/>
      <c r="V822" s="113"/>
      <c r="W822" s="113"/>
      <c r="X822" s="113"/>
      <c r="Y822" s="18"/>
      <c r="Z822" s="18"/>
      <c r="AA822" s="18"/>
    </row>
    <row r="823">
      <c r="A823" s="112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2"/>
      <c r="Q823" s="112"/>
      <c r="R823" s="113"/>
      <c r="S823" s="113"/>
      <c r="T823" s="113"/>
      <c r="U823" s="113"/>
      <c r="V823" s="113"/>
      <c r="W823" s="113"/>
      <c r="X823" s="113"/>
      <c r="Y823" s="18"/>
      <c r="Z823" s="18"/>
      <c r="AA823" s="18"/>
    </row>
    <row r="824">
      <c r="A824" s="112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2"/>
      <c r="Q824" s="112"/>
      <c r="R824" s="113"/>
      <c r="S824" s="113"/>
      <c r="T824" s="113"/>
      <c r="U824" s="113"/>
      <c r="V824" s="113"/>
      <c r="W824" s="113"/>
      <c r="X824" s="113"/>
      <c r="Y824" s="18"/>
      <c r="Z824" s="18"/>
      <c r="AA824" s="18"/>
    </row>
    <row r="825">
      <c r="A825" s="112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2"/>
      <c r="Q825" s="112"/>
      <c r="R825" s="113"/>
      <c r="S825" s="113"/>
      <c r="T825" s="113"/>
      <c r="U825" s="113"/>
      <c r="V825" s="113"/>
      <c r="W825" s="113"/>
      <c r="X825" s="113"/>
      <c r="Y825" s="18"/>
      <c r="Z825" s="18"/>
      <c r="AA825" s="18"/>
    </row>
    <row r="826">
      <c r="A826" s="112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2"/>
      <c r="Q826" s="112"/>
      <c r="R826" s="113"/>
      <c r="S826" s="113"/>
      <c r="T826" s="113"/>
      <c r="U826" s="113"/>
      <c r="V826" s="113"/>
      <c r="W826" s="113"/>
      <c r="X826" s="113"/>
      <c r="Y826" s="18"/>
      <c r="Z826" s="18"/>
      <c r="AA826" s="18"/>
    </row>
    <row r="827">
      <c r="A827" s="112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2"/>
      <c r="Q827" s="112"/>
      <c r="R827" s="113"/>
      <c r="S827" s="113"/>
      <c r="T827" s="113"/>
      <c r="U827" s="113"/>
      <c r="V827" s="113"/>
      <c r="W827" s="113"/>
      <c r="X827" s="113"/>
      <c r="Y827" s="18"/>
      <c r="Z827" s="18"/>
      <c r="AA827" s="18"/>
    </row>
    <row r="828">
      <c r="A828" s="112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2"/>
      <c r="Q828" s="112"/>
      <c r="R828" s="113"/>
      <c r="S828" s="113"/>
      <c r="T828" s="113"/>
      <c r="U828" s="113"/>
      <c r="V828" s="113"/>
      <c r="W828" s="113"/>
      <c r="X828" s="113"/>
      <c r="Y828" s="18"/>
      <c r="Z828" s="18"/>
      <c r="AA828" s="18"/>
    </row>
    <row r="829">
      <c r="A829" s="112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2"/>
      <c r="Q829" s="112"/>
      <c r="R829" s="113"/>
      <c r="S829" s="113"/>
      <c r="T829" s="113"/>
      <c r="U829" s="113"/>
      <c r="V829" s="113"/>
      <c r="W829" s="113"/>
      <c r="X829" s="113"/>
      <c r="Y829" s="18"/>
      <c r="Z829" s="18"/>
      <c r="AA829" s="18"/>
    </row>
    <row r="830">
      <c r="A830" s="112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2"/>
      <c r="Q830" s="112"/>
      <c r="R830" s="113"/>
      <c r="S830" s="113"/>
      <c r="T830" s="113"/>
      <c r="U830" s="113"/>
      <c r="V830" s="113"/>
      <c r="W830" s="113"/>
      <c r="X830" s="113"/>
      <c r="Y830" s="18"/>
      <c r="Z830" s="18"/>
      <c r="AA830" s="18"/>
    </row>
    <row r="831">
      <c r="A831" s="112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2"/>
      <c r="Q831" s="112"/>
      <c r="R831" s="113"/>
      <c r="S831" s="113"/>
      <c r="T831" s="113"/>
      <c r="U831" s="113"/>
      <c r="V831" s="113"/>
      <c r="W831" s="113"/>
      <c r="X831" s="113"/>
      <c r="Y831" s="18"/>
      <c r="Z831" s="18"/>
      <c r="AA831" s="18"/>
    </row>
    <row r="832">
      <c r="A832" s="112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2"/>
      <c r="Q832" s="112"/>
      <c r="R832" s="113"/>
      <c r="S832" s="113"/>
      <c r="T832" s="113"/>
      <c r="U832" s="113"/>
      <c r="V832" s="113"/>
      <c r="W832" s="113"/>
      <c r="X832" s="113"/>
      <c r="Y832" s="18"/>
      <c r="Z832" s="18"/>
      <c r="AA832" s="18"/>
    </row>
    <row r="833">
      <c r="A833" s="112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2"/>
      <c r="Q833" s="112"/>
      <c r="R833" s="113"/>
      <c r="S833" s="113"/>
      <c r="T833" s="113"/>
      <c r="U833" s="113"/>
      <c r="V833" s="113"/>
      <c r="W833" s="113"/>
      <c r="X833" s="113"/>
      <c r="Y833" s="18"/>
      <c r="Z833" s="18"/>
      <c r="AA833" s="18"/>
    </row>
    <row r="834">
      <c r="A834" s="112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2"/>
      <c r="Q834" s="112"/>
      <c r="R834" s="113"/>
      <c r="S834" s="113"/>
      <c r="T834" s="113"/>
      <c r="U834" s="113"/>
      <c r="V834" s="113"/>
      <c r="W834" s="113"/>
      <c r="X834" s="113"/>
      <c r="Y834" s="18"/>
      <c r="Z834" s="18"/>
      <c r="AA834" s="18"/>
    </row>
    <row r="835">
      <c r="A835" s="112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2"/>
      <c r="Q835" s="112"/>
      <c r="R835" s="113"/>
      <c r="S835" s="113"/>
      <c r="T835" s="113"/>
      <c r="U835" s="113"/>
      <c r="V835" s="113"/>
      <c r="W835" s="113"/>
      <c r="X835" s="113"/>
      <c r="Y835" s="18"/>
      <c r="Z835" s="18"/>
      <c r="AA835" s="18"/>
    </row>
    <row r="836">
      <c r="A836" s="112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2"/>
      <c r="Q836" s="112"/>
      <c r="R836" s="113"/>
      <c r="S836" s="113"/>
      <c r="T836" s="113"/>
      <c r="U836" s="113"/>
      <c r="V836" s="113"/>
      <c r="W836" s="113"/>
      <c r="X836" s="113"/>
      <c r="Y836" s="18"/>
      <c r="Z836" s="18"/>
      <c r="AA836" s="18"/>
    </row>
    <row r="837">
      <c r="A837" s="112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2"/>
      <c r="Q837" s="112"/>
      <c r="R837" s="113"/>
      <c r="S837" s="113"/>
      <c r="T837" s="113"/>
      <c r="U837" s="113"/>
      <c r="V837" s="113"/>
      <c r="W837" s="113"/>
      <c r="X837" s="113"/>
      <c r="Y837" s="18"/>
      <c r="Z837" s="18"/>
      <c r="AA837" s="18"/>
    </row>
    <row r="838">
      <c r="A838" s="112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2"/>
      <c r="Q838" s="112"/>
      <c r="R838" s="113"/>
      <c r="S838" s="113"/>
      <c r="T838" s="113"/>
      <c r="U838" s="113"/>
      <c r="V838" s="113"/>
      <c r="W838" s="113"/>
      <c r="X838" s="113"/>
      <c r="Y838" s="18"/>
      <c r="Z838" s="18"/>
      <c r="AA838" s="18"/>
    </row>
    <row r="839">
      <c r="A839" s="112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2"/>
      <c r="Q839" s="112"/>
      <c r="R839" s="113"/>
      <c r="S839" s="113"/>
      <c r="T839" s="113"/>
      <c r="U839" s="113"/>
      <c r="V839" s="113"/>
      <c r="W839" s="113"/>
      <c r="X839" s="113"/>
      <c r="Y839" s="18"/>
      <c r="Z839" s="18"/>
      <c r="AA839" s="18"/>
    </row>
    <row r="840">
      <c r="A840" s="112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2"/>
      <c r="Q840" s="112"/>
      <c r="R840" s="113"/>
      <c r="S840" s="113"/>
      <c r="T840" s="113"/>
      <c r="U840" s="113"/>
      <c r="V840" s="113"/>
      <c r="W840" s="113"/>
      <c r="X840" s="113"/>
      <c r="Y840" s="18"/>
      <c r="Z840" s="18"/>
      <c r="AA840" s="18"/>
    </row>
    <row r="841">
      <c r="A841" s="112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2"/>
      <c r="Q841" s="112"/>
      <c r="R841" s="113"/>
      <c r="S841" s="113"/>
      <c r="T841" s="113"/>
      <c r="U841" s="113"/>
      <c r="V841" s="113"/>
      <c r="W841" s="113"/>
      <c r="X841" s="113"/>
      <c r="Y841" s="18"/>
      <c r="Z841" s="18"/>
      <c r="AA841" s="18"/>
    </row>
    <row r="842">
      <c r="A842" s="112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2"/>
      <c r="Q842" s="112"/>
      <c r="R842" s="113"/>
      <c r="S842" s="113"/>
      <c r="T842" s="113"/>
      <c r="U842" s="113"/>
      <c r="V842" s="113"/>
      <c r="W842" s="113"/>
      <c r="X842" s="113"/>
      <c r="Y842" s="18"/>
      <c r="Z842" s="18"/>
      <c r="AA842" s="18"/>
    </row>
    <row r="843">
      <c r="A843" s="112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2"/>
      <c r="Q843" s="112"/>
      <c r="R843" s="113"/>
      <c r="S843" s="113"/>
      <c r="T843" s="113"/>
      <c r="U843" s="113"/>
      <c r="V843" s="113"/>
      <c r="W843" s="113"/>
      <c r="X843" s="113"/>
      <c r="Y843" s="18"/>
      <c r="Z843" s="18"/>
      <c r="AA843" s="18"/>
    </row>
    <row r="844">
      <c r="A844" s="112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2"/>
      <c r="Q844" s="112"/>
      <c r="R844" s="113"/>
      <c r="S844" s="113"/>
      <c r="T844" s="113"/>
      <c r="U844" s="113"/>
      <c r="V844" s="113"/>
      <c r="W844" s="113"/>
      <c r="X844" s="113"/>
      <c r="Y844" s="18"/>
      <c r="Z844" s="18"/>
      <c r="AA844" s="18"/>
    </row>
    <row r="845">
      <c r="A845" s="112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2"/>
      <c r="Q845" s="112"/>
      <c r="R845" s="113"/>
      <c r="S845" s="113"/>
      <c r="T845" s="113"/>
      <c r="U845" s="113"/>
      <c r="V845" s="113"/>
      <c r="W845" s="113"/>
      <c r="X845" s="113"/>
      <c r="Y845" s="18"/>
      <c r="Z845" s="18"/>
      <c r="AA845" s="18"/>
    </row>
    <row r="846">
      <c r="A846" s="112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2"/>
      <c r="Q846" s="112"/>
      <c r="R846" s="113"/>
      <c r="S846" s="113"/>
      <c r="T846" s="113"/>
      <c r="U846" s="113"/>
      <c r="V846" s="113"/>
      <c r="W846" s="113"/>
      <c r="X846" s="113"/>
      <c r="Y846" s="18"/>
      <c r="Z846" s="18"/>
      <c r="AA846" s="18"/>
    </row>
    <row r="847">
      <c r="A847" s="112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2"/>
      <c r="Q847" s="112"/>
      <c r="R847" s="113"/>
      <c r="S847" s="113"/>
      <c r="T847" s="113"/>
      <c r="U847" s="113"/>
      <c r="V847" s="113"/>
      <c r="W847" s="113"/>
      <c r="X847" s="113"/>
      <c r="Y847" s="18"/>
      <c r="Z847" s="18"/>
      <c r="AA847" s="18"/>
    </row>
    <row r="848">
      <c r="A848" s="112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2"/>
      <c r="Q848" s="112"/>
      <c r="R848" s="113"/>
      <c r="S848" s="113"/>
      <c r="T848" s="113"/>
      <c r="U848" s="113"/>
      <c r="V848" s="113"/>
      <c r="W848" s="113"/>
      <c r="X848" s="113"/>
      <c r="Y848" s="18"/>
      <c r="Z848" s="18"/>
      <c r="AA848" s="18"/>
    </row>
    <row r="849">
      <c r="A849" s="112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2"/>
      <c r="Q849" s="112"/>
      <c r="R849" s="113"/>
      <c r="S849" s="113"/>
      <c r="T849" s="113"/>
      <c r="U849" s="113"/>
      <c r="V849" s="113"/>
      <c r="W849" s="113"/>
      <c r="X849" s="113"/>
      <c r="Y849" s="18"/>
      <c r="Z849" s="18"/>
      <c r="AA849" s="18"/>
    </row>
    <row r="850">
      <c r="A850" s="112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2"/>
      <c r="Q850" s="112"/>
      <c r="R850" s="113"/>
      <c r="S850" s="113"/>
      <c r="T850" s="113"/>
      <c r="U850" s="113"/>
      <c r="V850" s="113"/>
      <c r="W850" s="113"/>
      <c r="X850" s="113"/>
      <c r="Y850" s="18"/>
      <c r="Z850" s="18"/>
      <c r="AA850" s="18"/>
    </row>
    <row r="851">
      <c r="A851" s="112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2"/>
      <c r="Q851" s="112"/>
      <c r="R851" s="113"/>
      <c r="S851" s="113"/>
      <c r="T851" s="113"/>
      <c r="U851" s="113"/>
      <c r="V851" s="113"/>
      <c r="W851" s="113"/>
      <c r="X851" s="113"/>
      <c r="Y851" s="18"/>
      <c r="Z851" s="18"/>
      <c r="AA851" s="18"/>
    </row>
    <row r="852">
      <c r="A852" s="112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2"/>
      <c r="Q852" s="112"/>
      <c r="R852" s="113"/>
      <c r="S852" s="113"/>
      <c r="T852" s="113"/>
      <c r="U852" s="113"/>
      <c r="V852" s="113"/>
      <c r="W852" s="113"/>
      <c r="X852" s="113"/>
      <c r="Y852" s="18"/>
      <c r="Z852" s="18"/>
      <c r="AA852" s="18"/>
    </row>
    <row r="853">
      <c r="A853" s="112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2"/>
      <c r="Q853" s="112"/>
      <c r="R853" s="113"/>
      <c r="S853" s="113"/>
      <c r="T853" s="113"/>
      <c r="U853" s="113"/>
      <c r="V853" s="113"/>
      <c r="W853" s="113"/>
      <c r="X853" s="113"/>
      <c r="Y853" s="18"/>
      <c r="Z853" s="18"/>
      <c r="AA853" s="18"/>
    </row>
    <row r="854">
      <c r="A854" s="112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2"/>
      <c r="Q854" s="112"/>
      <c r="R854" s="113"/>
      <c r="S854" s="113"/>
      <c r="T854" s="113"/>
      <c r="U854" s="113"/>
      <c r="V854" s="113"/>
      <c r="W854" s="113"/>
      <c r="X854" s="113"/>
      <c r="Y854" s="18"/>
      <c r="Z854" s="18"/>
      <c r="AA854" s="18"/>
    </row>
    <row r="855">
      <c r="A855" s="112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2"/>
      <c r="Q855" s="112"/>
      <c r="R855" s="113"/>
      <c r="S855" s="113"/>
      <c r="T855" s="113"/>
      <c r="U855" s="113"/>
      <c r="V855" s="113"/>
      <c r="W855" s="113"/>
      <c r="X855" s="113"/>
      <c r="Y855" s="18"/>
      <c r="Z855" s="18"/>
      <c r="AA855" s="18"/>
    </row>
    <row r="856">
      <c r="A856" s="112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2"/>
      <c r="Q856" s="112"/>
      <c r="R856" s="113"/>
      <c r="S856" s="113"/>
      <c r="T856" s="113"/>
      <c r="U856" s="113"/>
      <c r="V856" s="113"/>
      <c r="W856" s="113"/>
      <c r="X856" s="113"/>
      <c r="Y856" s="18"/>
      <c r="Z856" s="18"/>
      <c r="AA856" s="18"/>
    </row>
    <row r="857">
      <c r="A857" s="112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2"/>
      <c r="Q857" s="112"/>
      <c r="R857" s="113"/>
      <c r="S857" s="113"/>
      <c r="T857" s="113"/>
      <c r="U857" s="113"/>
      <c r="V857" s="113"/>
      <c r="W857" s="113"/>
      <c r="X857" s="113"/>
      <c r="Y857" s="18"/>
      <c r="Z857" s="18"/>
      <c r="AA857" s="18"/>
    </row>
    <row r="858">
      <c r="A858" s="112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2"/>
      <c r="Q858" s="112"/>
      <c r="R858" s="113"/>
      <c r="S858" s="113"/>
      <c r="T858" s="113"/>
      <c r="U858" s="113"/>
      <c r="V858" s="113"/>
      <c r="W858" s="113"/>
      <c r="X858" s="113"/>
      <c r="Y858" s="18"/>
      <c r="Z858" s="18"/>
      <c r="AA858" s="18"/>
    </row>
    <row r="859">
      <c r="A859" s="112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2"/>
      <c r="Q859" s="112"/>
      <c r="R859" s="113"/>
      <c r="S859" s="113"/>
      <c r="T859" s="113"/>
      <c r="U859" s="113"/>
      <c r="V859" s="113"/>
      <c r="W859" s="113"/>
      <c r="X859" s="113"/>
      <c r="Y859" s="18"/>
      <c r="Z859" s="18"/>
      <c r="AA859" s="18"/>
    </row>
    <row r="860">
      <c r="A860" s="112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2"/>
      <c r="Q860" s="112"/>
      <c r="R860" s="113"/>
      <c r="S860" s="113"/>
      <c r="T860" s="113"/>
      <c r="U860" s="113"/>
      <c r="V860" s="113"/>
      <c r="W860" s="113"/>
      <c r="X860" s="113"/>
      <c r="Y860" s="18"/>
      <c r="Z860" s="18"/>
      <c r="AA860" s="18"/>
    </row>
    <row r="861">
      <c r="A861" s="112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2"/>
      <c r="Q861" s="112"/>
      <c r="R861" s="113"/>
      <c r="S861" s="113"/>
      <c r="T861" s="113"/>
      <c r="U861" s="113"/>
      <c r="V861" s="113"/>
      <c r="W861" s="113"/>
      <c r="X861" s="113"/>
      <c r="Y861" s="18"/>
      <c r="Z861" s="18"/>
      <c r="AA861" s="18"/>
    </row>
    <row r="862">
      <c r="A862" s="112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2"/>
      <c r="Q862" s="112"/>
      <c r="R862" s="113"/>
      <c r="S862" s="113"/>
      <c r="T862" s="113"/>
      <c r="U862" s="113"/>
      <c r="V862" s="113"/>
      <c r="W862" s="113"/>
      <c r="X862" s="113"/>
      <c r="Y862" s="18"/>
      <c r="Z862" s="18"/>
      <c r="AA862" s="18"/>
    </row>
    <row r="863">
      <c r="A863" s="112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2"/>
      <c r="Q863" s="112"/>
      <c r="R863" s="113"/>
      <c r="S863" s="113"/>
      <c r="T863" s="113"/>
      <c r="U863" s="113"/>
      <c r="V863" s="113"/>
      <c r="W863" s="113"/>
      <c r="X863" s="113"/>
      <c r="Y863" s="18"/>
      <c r="Z863" s="18"/>
      <c r="AA863" s="18"/>
    </row>
    <row r="864">
      <c r="A864" s="112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2"/>
      <c r="Q864" s="112"/>
      <c r="R864" s="113"/>
      <c r="S864" s="113"/>
      <c r="T864" s="113"/>
      <c r="U864" s="113"/>
      <c r="V864" s="113"/>
      <c r="W864" s="113"/>
      <c r="X864" s="113"/>
      <c r="Y864" s="18"/>
      <c r="Z864" s="18"/>
      <c r="AA864" s="18"/>
    </row>
    <row r="865">
      <c r="A865" s="112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2"/>
      <c r="Q865" s="112"/>
      <c r="R865" s="113"/>
      <c r="S865" s="113"/>
      <c r="T865" s="113"/>
      <c r="U865" s="113"/>
      <c r="V865" s="113"/>
      <c r="W865" s="113"/>
      <c r="X865" s="113"/>
      <c r="Y865" s="18"/>
      <c r="Z865" s="18"/>
      <c r="AA865" s="18"/>
    </row>
    <row r="866">
      <c r="A866" s="112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2"/>
      <c r="Q866" s="112"/>
      <c r="R866" s="113"/>
      <c r="S866" s="113"/>
      <c r="T866" s="113"/>
      <c r="U866" s="113"/>
      <c r="V866" s="113"/>
      <c r="W866" s="113"/>
      <c r="X866" s="113"/>
      <c r="Y866" s="18"/>
      <c r="Z866" s="18"/>
      <c r="AA866" s="18"/>
    </row>
    <row r="867">
      <c r="A867" s="112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2"/>
      <c r="Q867" s="112"/>
      <c r="R867" s="113"/>
      <c r="S867" s="113"/>
      <c r="T867" s="113"/>
      <c r="U867" s="113"/>
      <c r="V867" s="113"/>
      <c r="W867" s="113"/>
      <c r="X867" s="113"/>
      <c r="Y867" s="18"/>
      <c r="Z867" s="18"/>
      <c r="AA867" s="18"/>
    </row>
    <row r="868">
      <c r="A868" s="112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2"/>
      <c r="Q868" s="112"/>
      <c r="R868" s="113"/>
      <c r="S868" s="113"/>
      <c r="T868" s="113"/>
      <c r="U868" s="113"/>
      <c r="V868" s="113"/>
      <c r="W868" s="113"/>
      <c r="X868" s="113"/>
      <c r="Y868" s="18"/>
      <c r="Z868" s="18"/>
      <c r="AA868" s="18"/>
    </row>
    <row r="869">
      <c r="A869" s="112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2"/>
      <c r="Q869" s="112"/>
      <c r="R869" s="113"/>
      <c r="S869" s="113"/>
      <c r="T869" s="113"/>
      <c r="U869" s="113"/>
      <c r="V869" s="113"/>
      <c r="W869" s="113"/>
      <c r="X869" s="113"/>
      <c r="Y869" s="18"/>
      <c r="Z869" s="18"/>
      <c r="AA869" s="18"/>
    </row>
    <row r="870">
      <c r="A870" s="112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2"/>
      <c r="Q870" s="112"/>
      <c r="R870" s="113"/>
      <c r="S870" s="113"/>
      <c r="T870" s="113"/>
      <c r="U870" s="113"/>
      <c r="V870" s="113"/>
      <c r="W870" s="113"/>
      <c r="X870" s="113"/>
      <c r="Y870" s="18"/>
      <c r="Z870" s="18"/>
      <c r="AA870" s="18"/>
    </row>
    <row r="871">
      <c r="A871" s="112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2"/>
      <c r="Q871" s="112"/>
      <c r="R871" s="113"/>
      <c r="S871" s="113"/>
      <c r="T871" s="113"/>
      <c r="U871" s="113"/>
      <c r="V871" s="113"/>
      <c r="W871" s="113"/>
      <c r="X871" s="113"/>
      <c r="Y871" s="18"/>
      <c r="Z871" s="18"/>
      <c r="AA871" s="18"/>
    </row>
    <row r="872">
      <c r="A872" s="112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2"/>
      <c r="Q872" s="112"/>
      <c r="R872" s="113"/>
      <c r="S872" s="113"/>
      <c r="T872" s="113"/>
      <c r="U872" s="113"/>
      <c r="V872" s="113"/>
      <c r="W872" s="113"/>
      <c r="X872" s="113"/>
      <c r="Y872" s="18"/>
      <c r="Z872" s="18"/>
      <c r="AA872" s="18"/>
    </row>
    <row r="873">
      <c r="A873" s="112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2"/>
      <c r="Q873" s="112"/>
      <c r="R873" s="113"/>
      <c r="S873" s="113"/>
      <c r="T873" s="113"/>
      <c r="U873" s="113"/>
      <c r="V873" s="113"/>
      <c r="W873" s="113"/>
      <c r="X873" s="113"/>
      <c r="Y873" s="18"/>
      <c r="Z873" s="18"/>
      <c r="AA873" s="18"/>
    </row>
    <row r="874">
      <c r="A874" s="112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2"/>
      <c r="Q874" s="112"/>
      <c r="R874" s="113"/>
      <c r="S874" s="113"/>
      <c r="T874" s="113"/>
      <c r="U874" s="113"/>
      <c r="V874" s="113"/>
      <c r="W874" s="113"/>
      <c r="X874" s="113"/>
      <c r="Y874" s="18"/>
      <c r="Z874" s="18"/>
      <c r="AA874" s="18"/>
    </row>
    <row r="875">
      <c r="A875" s="112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2"/>
      <c r="Q875" s="112"/>
      <c r="R875" s="113"/>
      <c r="S875" s="113"/>
      <c r="T875" s="113"/>
      <c r="U875" s="113"/>
      <c r="V875" s="113"/>
      <c r="W875" s="113"/>
      <c r="X875" s="113"/>
      <c r="Y875" s="18"/>
      <c r="Z875" s="18"/>
      <c r="AA875" s="18"/>
    </row>
    <row r="876">
      <c r="A876" s="112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2"/>
      <c r="Q876" s="112"/>
      <c r="R876" s="113"/>
      <c r="S876" s="113"/>
      <c r="T876" s="113"/>
      <c r="U876" s="113"/>
      <c r="V876" s="113"/>
      <c r="W876" s="113"/>
      <c r="X876" s="113"/>
      <c r="Y876" s="18"/>
      <c r="Z876" s="18"/>
      <c r="AA876" s="18"/>
    </row>
    <row r="877">
      <c r="A877" s="112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2"/>
      <c r="Q877" s="112"/>
      <c r="R877" s="113"/>
      <c r="S877" s="113"/>
      <c r="T877" s="113"/>
      <c r="U877" s="113"/>
      <c r="V877" s="113"/>
      <c r="W877" s="113"/>
      <c r="X877" s="113"/>
      <c r="Y877" s="18"/>
      <c r="Z877" s="18"/>
      <c r="AA877" s="18"/>
    </row>
    <row r="878">
      <c r="A878" s="112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2"/>
      <c r="Q878" s="112"/>
      <c r="R878" s="113"/>
      <c r="S878" s="113"/>
      <c r="T878" s="113"/>
      <c r="U878" s="113"/>
      <c r="V878" s="113"/>
      <c r="W878" s="113"/>
      <c r="X878" s="113"/>
      <c r="Y878" s="18"/>
      <c r="Z878" s="18"/>
      <c r="AA878" s="18"/>
    </row>
    <row r="879">
      <c r="A879" s="112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2"/>
      <c r="Q879" s="112"/>
      <c r="R879" s="113"/>
      <c r="S879" s="113"/>
      <c r="T879" s="113"/>
      <c r="U879" s="113"/>
      <c r="V879" s="113"/>
      <c r="W879" s="113"/>
      <c r="X879" s="113"/>
      <c r="Y879" s="18"/>
      <c r="Z879" s="18"/>
      <c r="AA879" s="18"/>
    </row>
    <row r="880">
      <c r="A880" s="112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2"/>
      <c r="Q880" s="112"/>
      <c r="R880" s="113"/>
      <c r="S880" s="113"/>
      <c r="T880" s="113"/>
      <c r="U880" s="113"/>
      <c r="V880" s="113"/>
      <c r="W880" s="113"/>
      <c r="X880" s="113"/>
      <c r="Y880" s="18"/>
      <c r="Z880" s="18"/>
      <c r="AA880" s="18"/>
    </row>
    <row r="881">
      <c r="A881" s="112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2"/>
      <c r="Q881" s="112"/>
      <c r="R881" s="113"/>
      <c r="S881" s="113"/>
      <c r="T881" s="113"/>
      <c r="U881" s="113"/>
      <c r="V881" s="113"/>
      <c r="W881" s="113"/>
      <c r="X881" s="113"/>
      <c r="Y881" s="18"/>
      <c r="Z881" s="18"/>
      <c r="AA881" s="18"/>
    </row>
    <row r="882">
      <c r="A882" s="112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2"/>
      <c r="Q882" s="112"/>
      <c r="R882" s="113"/>
      <c r="S882" s="113"/>
      <c r="T882" s="113"/>
      <c r="U882" s="113"/>
      <c r="V882" s="113"/>
      <c r="W882" s="113"/>
      <c r="X882" s="113"/>
      <c r="Y882" s="18"/>
      <c r="Z882" s="18"/>
      <c r="AA882" s="18"/>
    </row>
    <row r="883">
      <c r="A883" s="112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2"/>
      <c r="Q883" s="112"/>
      <c r="R883" s="113"/>
      <c r="S883" s="113"/>
      <c r="T883" s="113"/>
      <c r="U883" s="113"/>
      <c r="V883" s="113"/>
      <c r="W883" s="113"/>
      <c r="X883" s="113"/>
      <c r="Y883" s="18"/>
      <c r="Z883" s="18"/>
      <c r="AA883" s="18"/>
    </row>
    <row r="884">
      <c r="A884" s="112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2"/>
      <c r="Q884" s="112"/>
      <c r="R884" s="113"/>
      <c r="S884" s="113"/>
      <c r="T884" s="113"/>
      <c r="U884" s="113"/>
      <c r="V884" s="113"/>
      <c r="W884" s="113"/>
      <c r="X884" s="113"/>
      <c r="Y884" s="18"/>
      <c r="Z884" s="18"/>
      <c r="AA884" s="18"/>
    </row>
    <row r="885">
      <c r="A885" s="112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2"/>
      <c r="Q885" s="112"/>
      <c r="R885" s="113"/>
      <c r="S885" s="113"/>
      <c r="T885" s="113"/>
      <c r="U885" s="113"/>
      <c r="V885" s="113"/>
      <c r="W885" s="113"/>
      <c r="X885" s="113"/>
      <c r="Y885" s="18"/>
      <c r="Z885" s="18"/>
      <c r="AA885" s="18"/>
    </row>
    <row r="886">
      <c r="A886" s="112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2"/>
      <c r="Q886" s="112"/>
      <c r="R886" s="113"/>
      <c r="S886" s="113"/>
      <c r="T886" s="113"/>
      <c r="U886" s="113"/>
      <c r="V886" s="113"/>
      <c r="W886" s="113"/>
      <c r="X886" s="113"/>
      <c r="Y886" s="18"/>
      <c r="Z886" s="18"/>
      <c r="AA886" s="18"/>
    </row>
    <row r="887">
      <c r="A887" s="112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2"/>
      <c r="Q887" s="112"/>
      <c r="R887" s="113"/>
      <c r="S887" s="113"/>
      <c r="T887" s="113"/>
      <c r="U887" s="113"/>
      <c r="V887" s="113"/>
      <c r="W887" s="113"/>
      <c r="X887" s="113"/>
      <c r="Y887" s="18"/>
      <c r="Z887" s="18"/>
      <c r="AA887" s="18"/>
    </row>
    <row r="888">
      <c r="A888" s="112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2"/>
      <c r="Q888" s="112"/>
      <c r="R888" s="113"/>
      <c r="S888" s="113"/>
      <c r="T888" s="113"/>
      <c r="U888" s="113"/>
      <c r="V888" s="113"/>
      <c r="W888" s="113"/>
      <c r="X888" s="113"/>
      <c r="Y888" s="18"/>
      <c r="Z888" s="18"/>
      <c r="AA888" s="18"/>
    </row>
    <row r="889">
      <c r="A889" s="112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2"/>
      <c r="Q889" s="112"/>
      <c r="R889" s="113"/>
      <c r="S889" s="113"/>
      <c r="T889" s="113"/>
      <c r="U889" s="113"/>
      <c r="V889" s="113"/>
      <c r="W889" s="113"/>
      <c r="X889" s="113"/>
      <c r="Y889" s="18"/>
      <c r="Z889" s="18"/>
      <c r="AA889" s="18"/>
    </row>
    <row r="890">
      <c r="A890" s="112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2"/>
      <c r="Q890" s="112"/>
      <c r="R890" s="113"/>
      <c r="S890" s="113"/>
      <c r="T890" s="113"/>
      <c r="U890" s="113"/>
      <c r="V890" s="113"/>
      <c r="W890" s="113"/>
      <c r="X890" s="113"/>
      <c r="Y890" s="18"/>
      <c r="Z890" s="18"/>
      <c r="AA890" s="18"/>
    </row>
    <row r="891">
      <c r="A891" s="112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2"/>
      <c r="Q891" s="112"/>
      <c r="R891" s="113"/>
      <c r="S891" s="113"/>
      <c r="T891" s="113"/>
      <c r="U891" s="113"/>
      <c r="V891" s="113"/>
      <c r="W891" s="113"/>
      <c r="X891" s="113"/>
      <c r="Y891" s="18"/>
      <c r="Z891" s="18"/>
      <c r="AA891" s="18"/>
    </row>
    <row r="892">
      <c r="A892" s="112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2"/>
      <c r="Q892" s="112"/>
      <c r="R892" s="113"/>
      <c r="S892" s="113"/>
      <c r="T892" s="113"/>
      <c r="U892" s="113"/>
      <c r="V892" s="113"/>
      <c r="W892" s="113"/>
      <c r="X892" s="113"/>
      <c r="Y892" s="18"/>
      <c r="Z892" s="18"/>
      <c r="AA892" s="18"/>
    </row>
    <row r="893">
      <c r="A893" s="112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2"/>
      <c r="Q893" s="112"/>
      <c r="R893" s="113"/>
      <c r="S893" s="113"/>
      <c r="T893" s="113"/>
      <c r="U893" s="113"/>
      <c r="V893" s="113"/>
      <c r="W893" s="113"/>
      <c r="X893" s="113"/>
      <c r="Y893" s="18"/>
      <c r="Z893" s="18"/>
      <c r="AA893" s="18"/>
    </row>
    <row r="894">
      <c r="A894" s="112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2"/>
      <c r="Q894" s="112"/>
      <c r="R894" s="113"/>
      <c r="S894" s="113"/>
      <c r="T894" s="113"/>
      <c r="U894" s="113"/>
      <c r="V894" s="113"/>
      <c r="W894" s="113"/>
      <c r="X894" s="113"/>
      <c r="Y894" s="18"/>
      <c r="Z894" s="18"/>
      <c r="AA894" s="18"/>
    </row>
    <row r="895">
      <c r="A895" s="112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2"/>
      <c r="Q895" s="112"/>
      <c r="R895" s="113"/>
      <c r="S895" s="113"/>
      <c r="T895" s="113"/>
      <c r="U895" s="113"/>
      <c r="V895" s="113"/>
      <c r="W895" s="113"/>
      <c r="X895" s="113"/>
      <c r="Y895" s="18"/>
      <c r="Z895" s="18"/>
      <c r="AA895" s="18"/>
    </row>
    <row r="896">
      <c r="A896" s="112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2"/>
      <c r="Q896" s="112"/>
      <c r="R896" s="113"/>
      <c r="S896" s="113"/>
      <c r="T896" s="113"/>
      <c r="U896" s="113"/>
      <c r="V896" s="113"/>
      <c r="W896" s="113"/>
      <c r="X896" s="113"/>
      <c r="Y896" s="18"/>
      <c r="Z896" s="18"/>
      <c r="AA896" s="18"/>
    </row>
    <row r="897">
      <c r="A897" s="112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2"/>
      <c r="Q897" s="112"/>
      <c r="R897" s="113"/>
      <c r="S897" s="113"/>
      <c r="T897" s="113"/>
      <c r="U897" s="113"/>
      <c r="V897" s="113"/>
      <c r="W897" s="113"/>
      <c r="X897" s="113"/>
      <c r="Y897" s="18"/>
      <c r="Z897" s="18"/>
      <c r="AA897" s="18"/>
    </row>
    <row r="898">
      <c r="A898" s="112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2"/>
      <c r="Q898" s="112"/>
      <c r="R898" s="113"/>
      <c r="S898" s="113"/>
      <c r="T898" s="113"/>
      <c r="U898" s="113"/>
      <c r="V898" s="113"/>
      <c r="W898" s="113"/>
      <c r="X898" s="113"/>
      <c r="Y898" s="18"/>
      <c r="Z898" s="18"/>
      <c r="AA898" s="18"/>
    </row>
    <row r="899">
      <c r="A899" s="112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2"/>
      <c r="Q899" s="112"/>
      <c r="R899" s="113"/>
      <c r="S899" s="113"/>
      <c r="T899" s="113"/>
      <c r="U899" s="113"/>
      <c r="V899" s="113"/>
      <c r="W899" s="113"/>
      <c r="X899" s="113"/>
      <c r="Y899" s="18"/>
      <c r="Z899" s="18"/>
      <c r="AA899" s="18"/>
    </row>
    <row r="900">
      <c r="A900" s="112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2"/>
      <c r="Q900" s="112"/>
      <c r="R900" s="113"/>
      <c r="S900" s="113"/>
      <c r="T900" s="113"/>
      <c r="U900" s="113"/>
      <c r="V900" s="113"/>
      <c r="W900" s="113"/>
      <c r="X900" s="113"/>
      <c r="Y900" s="18"/>
      <c r="Z900" s="18"/>
      <c r="AA900" s="18"/>
    </row>
    <row r="901">
      <c r="A901" s="112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2"/>
      <c r="Q901" s="112"/>
      <c r="R901" s="113"/>
      <c r="S901" s="113"/>
      <c r="T901" s="113"/>
      <c r="U901" s="113"/>
      <c r="V901" s="113"/>
      <c r="W901" s="113"/>
      <c r="X901" s="113"/>
      <c r="Y901" s="18"/>
      <c r="Z901" s="18"/>
      <c r="AA901" s="18"/>
    </row>
    <row r="902">
      <c r="A902" s="112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2"/>
      <c r="Q902" s="112"/>
      <c r="R902" s="113"/>
      <c r="S902" s="113"/>
      <c r="T902" s="113"/>
      <c r="U902" s="113"/>
      <c r="V902" s="113"/>
      <c r="W902" s="113"/>
      <c r="X902" s="113"/>
      <c r="Y902" s="18"/>
      <c r="Z902" s="18"/>
      <c r="AA902" s="18"/>
    </row>
    <row r="903">
      <c r="A903" s="112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2"/>
      <c r="Q903" s="112"/>
      <c r="R903" s="113"/>
      <c r="S903" s="113"/>
      <c r="T903" s="113"/>
      <c r="U903" s="113"/>
      <c r="V903" s="113"/>
      <c r="W903" s="113"/>
      <c r="X903" s="113"/>
      <c r="Y903" s="18"/>
      <c r="Z903" s="18"/>
      <c r="AA903" s="18"/>
    </row>
    <row r="904">
      <c r="A904" s="112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2"/>
      <c r="Q904" s="112"/>
      <c r="R904" s="113"/>
      <c r="S904" s="113"/>
      <c r="T904" s="113"/>
      <c r="U904" s="113"/>
      <c r="V904" s="113"/>
      <c r="W904" s="113"/>
      <c r="X904" s="113"/>
      <c r="Y904" s="18"/>
      <c r="Z904" s="18"/>
      <c r="AA904" s="18"/>
    </row>
    <row r="905">
      <c r="A905" s="112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2"/>
      <c r="Q905" s="112"/>
      <c r="R905" s="113"/>
      <c r="S905" s="113"/>
      <c r="T905" s="113"/>
      <c r="U905" s="113"/>
      <c r="V905" s="113"/>
      <c r="W905" s="113"/>
      <c r="X905" s="113"/>
      <c r="Y905" s="18"/>
      <c r="Z905" s="18"/>
      <c r="AA905" s="18"/>
    </row>
    <row r="906">
      <c r="A906" s="112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2"/>
      <c r="Q906" s="112"/>
      <c r="R906" s="113"/>
      <c r="S906" s="113"/>
      <c r="T906" s="113"/>
      <c r="U906" s="113"/>
      <c r="V906" s="113"/>
      <c r="W906" s="113"/>
      <c r="X906" s="113"/>
      <c r="Y906" s="18"/>
      <c r="Z906" s="18"/>
      <c r="AA906" s="18"/>
    </row>
    <row r="907">
      <c r="A907" s="112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2"/>
      <c r="Q907" s="112"/>
      <c r="R907" s="113"/>
      <c r="S907" s="113"/>
      <c r="T907" s="113"/>
      <c r="U907" s="113"/>
      <c r="V907" s="113"/>
      <c r="W907" s="113"/>
      <c r="X907" s="113"/>
      <c r="Y907" s="18"/>
      <c r="Z907" s="18"/>
      <c r="AA907" s="18"/>
    </row>
    <row r="908">
      <c r="A908" s="112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2"/>
      <c r="Q908" s="112"/>
      <c r="R908" s="113"/>
      <c r="S908" s="113"/>
      <c r="T908" s="113"/>
      <c r="U908" s="113"/>
      <c r="V908" s="113"/>
      <c r="W908" s="113"/>
      <c r="X908" s="113"/>
      <c r="Y908" s="18"/>
      <c r="Z908" s="18"/>
      <c r="AA908" s="18"/>
    </row>
    <row r="909">
      <c r="A909" s="112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2"/>
      <c r="Q909" s="112"/>
      <c r="R909" s="113"/>
      <c r="S909" s="113"/>
      <c r="T909" s="113"/>
      <c r="U909" s="113"/>
      <c r="V909" s="113"/>
      <c r="W909" s="113"/>
      <c r="X909" s="113"/>
      <c r="Y909" s="18"/>
      <c r="Z909" s="18"/>
      <c r="AA909" s="18"/>
    </row>
    <row r="910">
      <c r="A910" s="112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2"/>
      <c r="Q910" s="112"/>
      <c r="R910" s="113"/>
      <c r="S910" s="113"/>
      <c r="T910" s="113"/>
      <c r="U910" s="113"/>
      <c r="V910" s="113"/>
      <c r="W910" s="113"/>
      <c r="X910" s="113"/>
      <c r="Y910" s="18"/>
      <c r="Z910" s="18"/>
      <c r="AA910" s="18"/>
    </row>
    <row r="911">
      <c r="A911" s="112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2"/>
      <c r="Q911" s="112"/>
      <c r="R911" s="113"/>
      <c r="S911" s="113"/>
      <c r="T911" s="113"/>
      <c r="U911" s="113"/>
      <c r="V911" s="113"/>
      <c r="W911" s="113"/>
      <c r="X911" s="113"/>
      <c r="Y911" s="18"/>
      <c r="Z911" s="18"/>
      <c r="AA911" s="18"/>
    </row>
    <row r="912">
      <c r="A912" s="112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2"/>
      <c r="Q912" s="112"/>
      <c r="R912" s="113"/>
      <c r="S912" s="113"/>
      <c r="T912" s="113"/>
      <c r="U912" s="113"/>
      <c r="V912" s="113"/>
      <c r="W912" s="113"/>
      <c r="X912" s="113"/>
      <c r="Y912" s="18"/>
      <c r="Z912" s="18"/>
      <c r="AA912" s="18"/>
    </row>
    <row r="913">
      <c r="A913" s="112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2"/>
      <c r="Q913" s="112"/>
      <c r="R913" s="113"/>
      <c r="S913" s="113"/>
      <c r="T913" s="113"/>
      <c r="U913" s="113"/>
      <c r="V913" s="113"/>
      <c r="W913" s="113"/>
      <c r="X913" s="113"/>
      <c r="Y913" s="18"/>
      <c r="Z913" s="18"/>
      <c r="AA913" s="18"/>
    </row>
    <row r="914">
      <c r="A914" s="112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2"/>
      <c r="Q914" s="112"/>
      <c r="R914" s="113"/>
      <c r="S914" s="113"/>
      <c r="T914" s="113"/>
      <c r="U914" s="113"/>
      <c r="V914" s="113"/>
      <c r="W914" s="113"/>
      <c r="X914" s="113"/>
      <c r="Y914" s="18"/>
      <c r="Z914" s="18"/>
      <c r="AA914" s="18"/>
    </row>
    <row r="915">
      <c r="A915" s="112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2"/>
      <c r="Q915" s="112"/>
      <c r="R915" s="113"/>
      <c r="S915" s="113"/>
      <c r="T915" s="113"/>
      <c r="U915" s="113"/>
      <c r="V915" s="113"/>
      <c r="W915" s="113"/>
      <c r="X915" s="113"/>
      <c r="Y915" s="18"/>
      <c r="Z915" s="18"/>
      <c r="AA915" s="18"/>
    </row>
    <row r="916">
      <c r="A916" s="112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2"/>
      <c r="Q916" s="112"/>
      <c r="R916" s="113"/>
      <c r="S916" s="113"/>
      <c r="T916" s="113"/>
      <c r="U916" s="113"/>
      <c r="V916" s="113"/>
      <c r="W916" s="113"/>
      <c r="X916" s="113"/>
      <c r="Y916" s="18"/>
      <c r="Z916" s="18"/>
      <c r="AA916" s="18"/>
    </row>
    <row r="917">
      <c r="A917" s="112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2"/>
      <c r="Q917" s="112"/>
      <c r="R917" s="113"/>
      <c r="S917" s="113"/>
      <c r="T917" s="113"/>
      <c r="U917" s="113"/>
      <c r="V917" s="113"/>
      <c r="W917" s="113"/>
      <c r="X917" s="113"/>
      <c r="Y917" s="18"/>
      <c r="Z917" s="18"/>
      <c r="AA917" s="18"/>
    </row>
    <row r="918">
      <c r="A918" s="112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2"/>
      <c r="Q918" s="112"/>
      <c r="R918" s="113"/>
      <c r="S918" s="113"/>
      <c r="T918" s="113"/>
      <c r="U918" s="113"/>
      <c r="V918" s="113"/>
      <c r="W918" s="113"/>
      <c r="X918" s="113"/>
      <c r="Y918" s="18"/>
      <c r="Z918" s="18"/>
      <c r="AA918" s="18"/>
    </row>
    <row r="919">
      <c r="A919" s="112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2"/>
      <c r="Q919" s="112"/>
      <c r="R919" s="113"/>
      <c r="S919" s="113"/>
      <c r="T919" s="113"/>
      <c r="U919" s="113"/>
      <c r="V919" s="113"/>
      <c r="W919" s="113"/>
      <c r="X919" s="113"/>
      <c r="Y919" s="18"/>
      <c r="Z919" s="18"/>
      <c r="AA919" s="18"/>
    </row>
    <row r="920">
      <c r="A920" s="112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2"/>
      <c r="Q920" s="112"/>
      <c r="R920" s="113"/>
      <c r="S920" s="113"/>
      <c r="T920" s="113"/>
      <c r="U920" s="113"/>
      <c r="V920" s="113"/>
      <c r="W920" s="113"/>
      <c r="X920" s="113"/>
      <c r="Y920" s="18"/>
      <c r="Z920" s="18"/>
      <c r="AA920" s="18"/>
    </row>
    <row r="921">
      <c r="A921" s="112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2"/>
      <c r="Q921" s="112"/>
      <c r="R921" s="113"/>
      <c r="S921" s="113"/>
      <c r="T921" s="113"/>
      <c r="U921" s="113"/>
      <c r="V921" s="113"/>
      <c r="W921" s="113"/>
      <c r="X921" s="113"/>
      <c r="Y921" s="18"/>
      <c r="Z921" s="18"/>
      <c r="AA921" s="18"/>
    </row>
    <row r="922">
      <c r="A922" s="112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2"/>
      <c r="Q922" s="112"/>
      <c r="R922" s="113"/>
      <c r="S922" s="113"/>
      <c r="T922" s="113"/>
      <c r="U922" s="113"/>
      <c r="V922" s="113"/>
      <c r="W922" s="113"/>
      <c r="X922" s="113"/>
      <c r="Y922" s="18"/>
      <c r="Z922" s="18"/>
      <c r="AA922" s="18"/>
    </row>
    <row r="923">
      <c r="A923" s="112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2"/>
      <c r="Q923" s="112"/>
      <c r="R923" s="113"/>
      <c r="S923" s="113"/>
      <c r="T923" s="113"/>
      <c r="U923" s="113"/>
      <c r="V923" s="113"/>
      <c r="W923" s="113"/>
      <c r="X923" s="113"/>
      <c r="Y923" s="18"/>
      <c r="Z923" s="18"/>
      <c r="AA923" s="18"/>
    </row>
    <row r="924">
      <c r="A924" s="112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2"/>
      <c r="Q924" s="112"/>
      <c r="R924" s="113"/>
      <c r="S924" s="113"/>
      <c r="T924" s="113"/>
      <c r="U924" s="113"/>
      <c r="V924" s="113"/>
      <c r="W924" s="113"/>
      <c r="X924" s="113"/>
      <c r="Y924" s="18"/>
      <c r="Z924" s="18"/>
      <c r="AA924" s="18"/>
    </row>
    <row r="925">
      <c r="A925" s="112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2"/>
      <c r="Q925" s="112"/>
      <c r="R925" s="113"/>
      <c r="S925" s="113"/>
      <c r="T925" s="113"/>
      <c r="U925" s="113"/>
      <c r="V925" s="113"/>
      <c r="W925" s="113"/>
      <c r="X925" s="113"/>
      <c r="Y925" s="18"/>
      <c r="Z925" s="18"/>
      <c r="AA925" s="18"/>
    </row>
    <row r="926">
      <c r="A926" s="112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2"/>
      <c r="Q926" s="112"/>
      <c r="R926" s="113"/>
      <c r="S926" s="113"/>
      <c r="T926" s="113"/>
      <c r="U926" s="113"/>
      <c r="V926" s="113"/>
      <c r="W926" s="113"/>
      <c r="X926" s="113"/>
      <c r="Y926" s="18"/>
      <c r="Z926" s="18"/>
      <c r="AA926" s="18"/>
    </row>
    <row r="927">
      <c r="A927" s="112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2"/>
      <c r="Q927" s="112"/>
      <c r="R927" s="113"/>
      <c r="S927" s="113"/>
      <c r="T927" s="113"/>
      <c r="U927" s="113"/>
      <c r="V927" s="113"/>
      <c r="W927" s="113"/>
      <c r="X927" s="113"/>
      <c r="Y927" s="18"/>
      <c r="Z927" s="18"/>
      <c r="AA927" s="18"/>
    </row>
    <row r="928">
      <c r="A928" s="112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2"/>
      <c r="Q928" s="112"/>
      <c r="R928" s="113"/>
      <c r="S928" s="113"/>
      <c r="T928" s="113"/>
      <c r="U928" s="113"/>
      <c r="V928" s="113"/>
      <c r="W928" s="113"/>
      <c r="X928" s="113"/>
      <c r="Y928" s="18"/>
      <c r="Z928" s="18"/>
      <c r="AA928" s="18"/>
    </row>
    <row r="929">
      <c r="A929" s="112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2"/>
      <c r="Q929" s="112"/>
      <c r="R929" s="113"/>
      <c r="S929" s="113"/>
      <c r="T929" s="113"/>
      <c r="U929" s="113"/>
      <c r="V929" s="113"/>
      <c r="W929" s="113"/>
      <c r="X929" s="113"/>
      <c r="Y929" s="18"/>
      <c r="Z929" s="18"/>
      <c r="AA929" s="18"/>
    </row>
    <row r="930">
      <c r="A930" s="112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2"/>
      <c r="Q930" s="112"/>
      <c r="R930" s="113"/>
      <c r="S930" s="113"/>
      <c r="T930" s="113"/>
      <c r="U930" s="113"/>
      <c r="V930" s="113"/>
      <c r="W930" s="113"/>
      <c r="X930" s="113"/>
      <c r="Y930" s="18"/>
      <c r="Z930" s="18"/>
      <c r="AA930" s="18"/>
    </row>
    <row r="931">
      <c r="A931" s="112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2"/>
      <c r="Q931" s="112"/>
      <c r="R931" s="113"/>
      <c r="S931" s="113"/>
      <c r="T931" s="113"/>
      <c r="U931" s="113"/>
      <c r="V931" s="113"/>
      <c r="W931" s="113"/>
      <c r="X931" s="113"/>
      <c r="Y931" s="18"/>
      <c r="Z931" s="18"/>
      <c r="AA931" s="18"/>
    </row>
    <row r="932">
      <c r="A932" s="112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2"/>
      <c r="Q932" s="112"/>
      <c r="R932" s="113"/>
      <c r="S932" s="113"/>
      <c r="T932" s="113"/>
      <c r="U932" s="113"/>
      <c r="V932" s="113"/>
      <c r="W932" s="113"/>
      <c r="X932" s="113"/>
      <c r="Y932" s="18"/>
      <c r="Z932" s="18"/>
      <c r="AA932" s="18"/>
    </row>
    <row r="933">
      <c r="A933" s="112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2"/>
      <c r="Q933" s="112"/>
      <c r="R933" s="113"/>
      <c r="S933" s="113"/>
      <c r="T933" s="113"/>
      <c r="U933" s="113"/>
      <c r="V933" s="113"/>
      <c r="W933" s="113"/>
      <c r="X933" s="113"/>
      <c r="Y933" s="18"/>
      <c r="Z933" s="18"/>
      <c r="AA933" s="18"/>
    </row>
    <row r="934">
      <c r="A934" s="112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2"/>
      <c r="Q934" s="112"/>
      <c r="R934" s="113"/>
      <c r="S934" s="113"/>
      <c r="T934" s="113"/>
      <c r="U934" s="113"/>
      <c r="V934" s="113"/>
      <c r="W934" s="113"/>
      <c r="X934" s="113"/>
      <c r="Y934" s="18"/>
      <c r="Z934" s="18"/>
      <c r="AA934" s="18"/>
    </row>
    <row r="935">
      <c r="A935" s="112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2"/>
      <c r="Q935" s="112"/>
      <c r="R935" s="113"/>
      <c r="S935" s="113"/>
      <c r="T935" s="113"/>
      <c r="U935" s="113"/>
      <c r="V935" s="113"/>
      <c r="W935" s="113"/>
      <c r="X935" s="113"/>
      <c r="Y935" s="18"/>
      <c r="Z935" s="18"/>
      <c r="AA935" s="18"/>
    </row>
    <row r="936">
      <c r="A936" s="112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2"/>
      <c r="Q936" s="112"/>
      <c r="R936" s="113"/>
      <c r="S936" s="113"/>
      <c r="T936" s="113"/>
      <c r="U936" s="113"/>
      <c r="V936" s="113"/>
      <c r="W936" s="113"/>
      <c r="X936" s="113"/>
      <c r="Y936" s="18"/>
      <c r="Z936" s="18"/>
      <c r="AA936" s="18"/>
    </row>
    <row r="937">
      <c r="A937" s="112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2"/>
      <c r="Q937" s="112"/>
      <c r="R937" s="113"/>
      <c r="S937" s="113"/>
      <c r="T937" s="113"/>
      <c r="U937" s="113"/>
      <c r="V937" s="113"/>
      <c r="W937" s="113"/>
      <c r="X937" s="113"/>
      <c r="Y937" s="18"/>
      <c r="Z937" s="18"/>
      <c r="AA937" s="18"/>
    </row>
    <row r="938">
      <c r="A938" s="112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2"/>
      <c r="Q938" s="112"/>
      <c r="R938" s="113"/>
      <c r="S938" s="113"/>
      <c r="T938" s="113"/>
      <c r="U938" s="113"/>
      <c r="V938" s="113"/>
      <c r="W938" s="113"/>
      <c r="X938" s="113"/>
      <c r="Y938" s="18"/>
      <c r="Z938" s="18"/>
      <c r="AA938" s="18"/>
    </row>
    <row r="939">
      <c r="A939" s="112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2"/>
      <c r="Q939" s="112"/>
      <c r="R939" s="113"/>
      <c r="S939" s="113"/>
      <c r="T939" s="113"/>
      <c r="U939" s="113"/>
      <c r="V939" s="113"/>
      <c r="W939" s="113"/>
      <c r="X939" s="113"/>
      <c r="Y939" s="18"/>
      <c r="Z939" s="18"/>
      <c r="AA939" s="18"/>
    </row>
    <row r="940">
      <c r="A940" s="112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2"/>
      <c r="Q940" s="112"/>
      <c r="R940" s="113"/>
      <c r="S940" s="113"/>
      <c r="T940" s="113"/>
      <c r="U940" s="113"/>
      <c r="V940" s="113"/>
      <c r="W940" s="113"/>
      <c r="X940" s="113"/>
      <c r="Y940" s="18"/>
      <c r="Z940" s="18"/>
      <c r="AA940" s="18"/>
    </row>
    <row r="941">
      <c r="A941" s="112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2"/>
      <c r="Q941" s="112"/>
      <c r="R941" s="113"/>
      <c r="S941" s="113"/>
      <c r="T941" s="113"/>
      <c r="U941" s="113"/>
      <c r="V941" s="113"/>
      <c r="W941" s="113"/>
      <c r="X941" s="113"/>
      <c r="Y941" s="18"/>
      <c r="Z941" s="18"/>
      <c r="AA941" s="18"/>
    </row>
    <row r="942">
      <c r="A942" s="112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2"/>
      <c r="Q942" s="112"/>
      <c r="R942" s="113"/>
      <c r="S942" s="113"/>
      <c r="T942" s="113"/>
      <c r="U942" s="113"/>
      <c r="V942" s="113"/>
      <c r="W942" s="113"/>
      <c r="X942" s="113"/>
      <c r="Y942" s="18"/>
      <c r="Z942" s="18"/>
      <c r="AA942" s="18"/>
    </row>
    <row r="943">
      <c r="A943" s="112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2"/>
      <c r="Q943" s="112"/>
      <c r="R943" s="113"/>
      <c r="S943" s="113"/>
      <c r="T943" s="113"/>
      <c r="U943" s="113"/>
      <c r="V943" s="113"/>
      <c r="W943" s="113"/>
      <c r="X943" s="113"/>
      <c r="Y943" s="18"/>
      <c r="Z943" s="18"/>
      <c r="AA943" s="18"/>
    </row>
    <row r="944">
      <c r="A944" s="112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2"/>
      <c r="Q944" s="112"/>
      <c r="R944" s="113"/>
      <c r="S944" s="113"/>
      <c r="T944" s="113"/>
      <c r="U944" s="113"/>
      <c r="V944" s="113"/>
      <c r="W944" s="113"/>
      <c r="X944" s="113"/>
      <c r="Y944" s="18"/>
      <c r="Z944" s="18"/>
      <c r="AA944" s="18"/>
    </row>
    <row r="945">
      <c r="A945" s="112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2"/>
      <c r="Q945" s="112"/>
      <c r="R945" s="113"/>
      <c r="S945" s="113"/>
      <c r="T945" s="113"/>
      <c r="U945" s="113"/>
      <c r="V945" s="113"/>
      <c r="W945" s="113"/>
      <c r="X945" s="113"/>
      <c r="Y945" s="18"/>
      <c r="Z945" s="18"/>
      <c r="AA945" s="18"/>
    </row>
    <row r="946">
      <c r="A946" s="112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2"/>
      <c r="Q946" s="112"/>
      <c r="R946" s="113"/>
      <c r="S946" s="113"/>
      <c r="T946" s="113"/>
      <c r="U946" s="113"/>
      <c r="V946" s="113"/>
      <c r="W946" s="113"/>
      <c r="X946" s="113"/>
      <c r="Y946" s="18"/>
      <c r="Z946" s="18"/>
      <c r="AA946" s="18"/>
    </row>
    <row r="947">
      <c r="A947" s="112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2"/>
      <c r="Q947" s="112"/>
      <c r="R947" s="113"/>
      <c r="S947" s="113"/>
      <c r="T947" s="113"/>
      <c r="U947" s="113"/>
      <c r="V947" s="113"/>
      <c r="W947" s="113"/>
      <c r="X947" s="113"/>
      <c r="Y947" s="18"/>
      <c r="Z947" s="18"/>
      <c r="AA947" s="18"/>
    </row>
    <row r="948">
      <c r="A948" s="112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2"/>
      <c r="Q948" s="112"/>
      <c r="R948" s="113"/>
      <c r="S948" s="113"/>
      <c r="T948" s="113"/>
      <c r="U948" s="113"/>
      <c r="V948" s="113"/>
      <c r="W948" s="113"/>
      <c r="X948" s="113"/>
      <c r="Y948" s="18"/>
      <c r="Z948" s="18"/>
      <c r="AA948" s="18"/>
    </row>
    <row r="949">
      <c r="A949" s="112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2"/>
      <c r="Q949" s="112"/>
      <c r="R949" s="113"/>
      <c r="S949" s="113"/>
      <c r="T949" s="113"/>
      <c r="U949" s="113"/>
      <c r="V949" s="113"/>
      <c r="W949" s="113"/>
      <c r="X949" s="113"/>
      <c r="Y949" s="18"/>
      <c r="Z949" s="18"/>
      <c r="AA949" s="18"/>
    </row>
    <row r="950">
      <c r="A950" s="112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2"/>
      <c r="Q950" s="112"/>
      <c r="R950" s="113"/>
      <c r="S950" s="113"/>
      <c r="T950" s="113"/>
      <c r="U950" s="113"/>
      <c r="V950" s="113"/>
      <c r="W950" s="113"/>
      <c r="X950" s="113"/>
      <c r="Y950" s="18"/>
      <c r="Z950" s="18"/>
      <c r="AA950" s="18"/>
    </row>
    <row r="951">
      <c r="A951" s="112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2"/>
      <c r="Q951" s="112"/>
      <c r="R951" s="113"/>
      <c r="S951" s="113"/>
      <c r="T951" s="113"/>
      <c r="U951" s="113"/>
      <c r="V951" s="113"/>
      <c r="W951" s="113"/>
      <c r="X951" s="113"/>
      <c r="Y951" s="18"/>
      <c r="Z951" s="18"/>
      <c r="AA951" s="18"/>
    </row>
    <row r="952">
      <c r="A952" s="112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2"/>
      <c r="Q952" s="112"/>
      <c r="R952" s="113"/>
      <c r="S952" s="113"/>
      <c r="T952" s="113"/>
      <c r="U952" s="113"/>
      <c r="V952" s="113"/>
      <c r="W952" s="113"/>
      <c r="X952" s="113"/>
      <c r="Y952" s="18"/>
      <c r="Z952" s="18"/>
      <c r="AA952" s="18"/>
    </row>
    <row r="953">
      <c r="A953" s="112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2"/>
      <c r="Q953" s="112"/>
      <c r="R953" s="113"/>
      <c r="S953" s="113"/>
      <c r="T953" s="113"/>
      <c r="U953" s="113"/>
      <c r="V953" s="113"/>
      <c r="W953" s="113"/>
      <c r="X953" s="113"/>
      <c r="Y953" s="18"/>
      <c r="Z953" s="18"/>
      <c r="AA953" s="18"/>
    </row>
    <row r="954">
      <c r="A954" s="112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2"/>
      <c r="Q954" s="112"/>
      <c r="R954" s="113"/>
      <c r="S954" s="113"/>
      <c r="T954" s="113"/>
      <c r="U954" s="113"/>
      <c r="V954" s="113"/>
      <c r="W954" s="113"/>
      <c r="X954" s="113"/>
      <c r="Y954" s="18"/>
      <c r="Z954" s="18"/>
      <c r="AA954" s="18"/>
    </row>
    <row r="955">
      <c r="A955" s="112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2"/>
      <c r="Q955" s="112"/>
      <c r="R955" s="113"/>
      <c r="S955" s="113"/>
      <c r="T955" s="113"/>
      <c r="U955" s="113"/>
      <c r="V955" s="113"/>
      <c r="W955" s="113"/>
      <c r="X955" s="113"/>
      <c r="Y955" s="18"/>
      <c r="Z955" s="18"/>
      <c r="AA955" s="18"/>
    </row>
    <row r="956">
      <c r="A956" s="112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2"/>
      <c r="Q956" s="112"/>
      <c r="R956" s="113"/>
      <c r="S956" s="113"/>
      <c r="T956" s="113"/>
      <c r="U956" s="113"/>
      <c r="V956" s="113"/>
      <c r="W956" s="113"/>
      <c r="X956" s="113"/>
      <c r="Y956" s="18"/>
      <c r="Z956" s="18"/>
      <c r="AA956" s="18"/>
    </row>
    <row r="957">
      <c r="A957" s="112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2"/>
      <c r="Q957" s="112"/>
      <c r="R957" s="113"/>
      <c r="S957" s="113"/>
      <c r="T957" s="113"/>
      <c r="U957" s="113"/>
      <c r="V957" s="113"/>
      <c r="W957" s="113"/>
      <c r="X957" s="113"/>
      <c r="Y957" s="18"/>
      <c r="Z957" s="18"/>
      <c r="AA957" s="18"/>
    </row>
    <row r="958">
      <c r="A958" s="112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2"/>
      <c r="Q958" s="112"/>
      <c r="R958" s="113"/>
      <c r="S958" s="113"/>
      <c r="T958" s="113"/>
      <c r="U958" s="113"/>
      <c r="V958" s="113"/>
      <c r="W958" s="113"/>
      <c r="X958" s="113"/>
      <c r="Y958" s="18"/>
      <c r="Z958" s="18"/>
      <c r="AA958" s="18"/>
    </row>
    <row r="959">
      <c r="A959" s="112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2"/>
      <c r="Q959" s="112"/>
      <c r="R959" s="113"/>
      <c r="S959" s="113"/>
      <c r="T959" s="113"/>
      <c r="U959" s="113"/>
      <c r="V959" s="113"/>
      <c r="W959" s="113"/>
      <c r="X959" s="113"/>
      <c r="Y959" s="18"/>
      <c r="Z959" s="18"/>
      <c r="AA959" s="18"/>
    </row>
    <row r="960">
      <c r="A960" s="112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2"/>
      <c r="Q960" s="112"/>
      <c r="R960" s="113"/>
      <c r="S960" s="113"/>
      <c r="T960" s="113"/>
      <c r="U960" s="113"/>
      <c r="V960" s="113"/>
      <c r="W960" s="113"/>
      <c r="X960" s="113"/>
      <c r="Y960" s="18"/>
      <c r="Z960" s="18"/>
      <c r="AA960" s="18"/>
    </row>
    <row r="961">
      <c r="A961" s="112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2"/>
      <c r="Q961" s="112"/>
      <c r="R961" s="113"/>
      <c r="S961" s="113"/>
      <c r="T961" s="113"/>
      <c r="U961" s="113"/>
      <c r="V961" s="113"/>
      <c r="W961" s="113"/>
      <c r="X961" s="113"/>
      <c r="Y961" s="18"/>
      <c r="Z961" s="18"/>
      <c r="AA961" s="18"/>
    </row>
    <row r="962">
      <c r="A962" s="112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2"/>
      <c r="Q962" s="112"/>
      <c r="R962" s="113"/>
      <c r="S962" s="113"/>
      <c r="T962" s="113"/>
      <c r="U962" s="113"/>
      <c r="V962" s="113"/>
      <c r="W962" s="113"/>
      <c r="X962" s="113"/>
      <c r="Y962" s="18"/>
      <c r="Z962" s="18"/>
      <c r="AA962" s="18"/>
    </row>
    <row r="963">
      <c r="A963" s="112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2"/>
      <c r="Q963" s="112"/>
      <c r="R963" s="113"/>
      <c r="S963" s="113"/>
      <c r="T963" s="113"/>
      <c r="U963" s="113"/>
      <c r="V963" s="113"/>
      <c r="W963" s="113"/>
      <c r="X963" s="113"/>
      <c r="Y963" s="18"/>
      <c r="Z963" s="18"/>
      <c r="AA963" s="18"/>
    </row>
    <row r="964">
      <c r="A964" s="112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2"/>
      <c r="Q964" s="112"/>
      <c r="R964" s="113"/>
      <c r="S964" s="113"/>
      <c r="T964" s="113"/>
      <c r="U964" s="113"/>
      <c r="V964" s="113"/>
      <c r="W964" s="113"/>
      <c r="X964" s="113"/>
      <c r="Y964" s="18"/>
      <c r="Z964" s="18"/>
      <c r="AA964" s="18"/>
    </row>
    <row r="965">
      <c r="A965" s="112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2"/>
      <c r="Q965" s="112"/>
      <c r="R965" s="113"/>
      <c r="S965" s="113"/>
      <c r="T965" s="113"/>
      <c r="U965" s="113"/>
      <c r="V965" s="113"/>
      <c r="W965" s="113"/>
      <c r="X965" s="113"/>
      <c r="Y965" s="18"/>
      <c r="Z965" s="18"/>
      <c r="AA965" s="18"/>
    </row>
    <row r="966">
      <c r="A966" s="112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2"/>
      <c r="Q966" s="112"/>
      <c r="R966" s="113"/>
      <c r="S966" s="113"/>
      <c r="T966" s="113"/>
      <c r="U966" s="113"/>
      <c r="V966" s="113"/>
      <c r="W966" s="113"/>
      <c r="X966" s="113"/>
      <c r="Y966" s="18"/>
      <c r="Z966" s="18"/>
      <c r="AA966" s="18"/>
    </row>
    <row r="967">
      <c r="A967" s="112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2"/>
      <c r="Q967" s="112"/>
      <c r="R967" s="113"/>
      <c r="S967" s="113"/>
      <c r="T967" s="113"/>
      <c r="U967" s="113"/>
      <c r="V967" s="113"/>
      <c r="W967" s="113"/>
      <c r="X967" s="113"/>
      <c r="Y967" s="18"/>
      <c r="Z967" s="18"/>
      <c r="AA967" s="18"/>
    </row>
    <row r="968">
      <c r="A968" s="112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2"/>
      <c r="Q968" s="112"/>
      <c r="R968" s="113"/>
      <c r="S968" s="113"/>
      <c r="T968" s="113"/>
      <c r="U968" s="113"/>
      <c r="V968" s="113"/>
      <c r="W968" s="113"/>
      <c r="X968" s="113"/>
      <c r="Y968" s="18"/>
      <c r="Z968" s="18"/>
      <c r="AA968" s="18"/>
    </row>
    <row r="969">
      <c r="A969" s="112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2"/>
      <c r="Q969" s="112"/>
      <c r="R969" s="113"/>
      <c r="S969" s="113"/>
      <c r="T969" s="113"/>
      <c r="U969" s="113"/>
      <c r="V969" s="113"/>
      <c r="W969" s="113"/>
      <c r="X969" s="113"/>
      <c r="Y969" s="18"/>
      <c r="Z969" s="18"/>
      <c r="AA969" s="18"/>
    </row>
    <row r="970">
      <c r="A970" s="112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2"/>
      <c r="Q970" s="112"/>
      <c r="R970" s="113"/>
      <c r="S970" s="113"/>
      <c r="T970" s="113"/>
      <c r="U970" s="113"/>
      <c r="V970" s="113"/>
      <c r="W970" s="113"/>
      <c r="X970" s="113"/>
      <c r="Y970" s="18"/>
      <c r="Z970" s="18"/>
      <c r="AA970" s="18"/>
    </row>
    <row r="971">
      <c r="A971" s="112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2"/>
      <c r="Q971" s="112"/>
      <c r="R971" s="113"/>
      <c r="S971" s="113"/>
      <c r="T971" s="113"/>
      <c r="U971" s="113"/>
      <c r="V971" s="113"/>
      <c r="W971" s="113"/>
      <c r="X971" s="113"/>
      <c r="Y971" s="18"/>
      <c r="Z971" s="18"/>
      <c r="AA971" s="18"/>
    </row>
    <row r="972">
      <c r="A972" s="112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2"/>
      <c r="Q972" s="112"/>
      <c r="R972" s="113"/>
      <c r="S972" s="113"/>
      <c r="T972" s="113"/>
      <c r="U972" s="113"/>
      <c r="V972" s="113"/>
      <c r="W972" s="113"/>
      <c r="X972" s="113"/>
      <c r="Y972" s="18"/>
      <c r="Z972" s="18"/>
      <c r="AA972" s="18"/>
    </row>
    <row r="973">
      <c r="A973" s="112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2"/>
      <c r="Q973" s="112"/>
      <c r="R973" s="113"/>
      <c r="S973" s="113"/>
      <c r="T973" s="113"/>
      <c r="U973" s="113"/>
      <c r="V973" s="113"/>
      <c r="W973" s="113"/>
      <c r="X973" s="113"/>
      <c r="Y973" s="18"/>
      <c r="Z973" s="18"/>
      <c r="AA973" s="18"/>
    </row>
    <row r="974">
      <c r="A974" s="112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2"/>
      <c r="Q974" s="112"/>
      <c r="R974" s="113"/>
      <c r="S974" s="113"/>
      <c r="T974" s="113"/>
      <c r="U974" s="113"/>
      <c r="V974" s="113"/>
      <c r="W974" s="113"/>
      <c r="X974" s="113"/>
      <c r="Y974" s="18"/>
      <c r="Z974" s="18"/>
      <c r="AA974" s="18"/>
    </row>
    <row r="975">
      <c r="A975" s="112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2"/>
      <c r="Q975" s="112"/>
      <c r="R975" s="113"/>
      <c r="S975" s="113"/>
      <c r="T975" s="113"/>
      <c r="U975" s="113"/>
      <c r="V975" s="113"/>
      <c r="W975" s="113"/>
      <c r="X975" s="113"/>
      <c r="Y975" s="18"/>
      <c r="Z975" s="18"/>
      <c r="AA975" s="18"/>
    </row>
    <row r="976">
      <c r="A976" s="112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2"/>
      <c r="Q976" s="112"/>
      <c r="R976" s="113"/>
      <c r="S976" s="113"/>
      <c r="T976" s="113"/>
      <c r="U976" s="113"/>
      <c r="V976" s="113"/>
      <c r="W976" s="113"/>
      <c r="X976" s="113"/>
      <c r="Y976" s="18"/>
      <c r="Z976" s="18"/>
      <c r="AA976" s="18"/>
    </row>
    <row r="977">
      <c r="A977" s="112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2"/>
      <c r="Q977" s="112"/>
      <c r="R977" s="113"/>
      <c r="S977" s="113"/>
      <c r="T977" s="113"/>
      <c r="U977" s="113"/>
      <c r="V977" s="113"/>
      <c r="W977" s="113"/>
      <c r="X977" s="113"/>
      <c r="Y977" s="18"/>
      <c r="Z977" s="18"/>
      <c r="AA977" s="18"/>
    </row>
    <row r="978">
      <c r="A978" s="112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2"/>
      <c r="Q978" s="112"/>
      <c r="R978" s="113"/>
      <c r="S978" s="113"/>
      <c r="T978" s="113"/>
      <c r="U978" s="113"/>
      <c r="V978" s="113"/>
      <c r="W978" s="113"/>
      <c r="X978" s="113"/>
      <c r="Y978" s="18"/>
      <c r="Z978" s="18"/>
      <c r="AA978" s="18"/>
    </row>
    <row r="979">
      <c r="A979" s="112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2"/>
      <c r="Q979" s="112"/>
      <c r="R979" s="113"/>
      <c r="S979" s="113"/>
      <c r="T979" s="113"/>
      <c r="U979" s="113"/>
      <c r="V979" s="113"/>
      <c r="W979" s="113"/>
      <c r="X979" s="113"/>
      <c r="Y979" s="18"/>
      <c r="Z979" s="18"/>
      <c r="AA979" s="18"/>
    </row>
    <row r="980">
      <c r="A980" s="112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2"/>
      <c r="Q980" s="112"/>
      <c r="R980" s="113"/>
      <c r="S980" s="113"/>
      <c r="T980" s="113"/>
      <c r="U980" s="113"/>
      <c r="V980" s="113"/>
      <c r="W980" s="113"/>
      <c r="X980" s="113"/>
      <c r="Y980" s="18"/>
      <c r="Z980" s="18"/>
      <c r="AA980" s="18"/>
    </row>
    <row r="981">
      <c r="A981" s="112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2"/>
      <c r="Q981" s="112"/>
      <c r="R981" s="113"/>
      <c r="S981" s="113"/>
      <c r="T981" s="113"/>
      <c r="U981" s="113"/>
      <c r="V981" s="113"/>
      <c r="W981" s="113"/>
      <c r="X981" s="113"/>
      <c r="Y981" s="18"/>
      <c r="Z981" s="18"/>
      <c r="AA981" s="18"/>
    </row>
    <row r="982">
      <c r="A982" s="112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2"/>
      <c r="Q982" s="112"/>
      <c r="R982" s="113"/>
      <c r="S982" s="113"/>
      <c r="T982" s="113"/>
      <c r="U982" s="113"/>
      <c r="V982" s="113"/>
      <c r="W982" s="113"/>
      <c r="X982" s="113"/>
      <c r="Y982" s="18"/>
      <c r="Z982" s="18"/>
      <c r="AA982" s="18"/>
    </row>
    <row r="983">
      <c r="A983" s="112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2"/>
      <c r="Q983" s="112"/>
      <c r="R983" s="113"/>
      <c r="S983" s="113"/>
      <c r="T983" s="113"/>
      <c r="U983" s="113"/>
      <c r="V983" s="113"/>
      <c r="W983" s="113"/>
      <c r="X983" s="113"/>
      <c r="Y983" s="18"/>
      <c r="Z983" s="18"/>
      <c r="AA983" s="18"/>
    </row>
    <row r="984">
      <c r="A984" s="112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2"/>
      <c r="Q984" s="112"/>
      <c r="R984" s="113"/>
      <c r="S984" s="113"/>
      <c r="T984" s="113"/>
      <c r="U984" s="113"/>
      <c r="V984" s="113"/>
      <c r="W984" s="113"/>
      <c r="X984" s="113"/>
      <c r="Y984" s="18"/>
      <c r="Z984" s="18"/>
      <c r="AA984" s="18"/>
    </row>
    <row r="985">
      <c r="A985" s="112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2"/>
      <c r="Q985" s="112"/>
      <c r="R985" s="113"/>
      <c r="S985" s="113"/>
      <c r="T985" s="113"/>
      <c r="U985" s="113"/>
      <c r="V985" s="113"/>
      <c r="W985" s="113"/>
      <c r="X985" s="113"/>
      <c r="Y985" s="18"/>
      <c r="Z985" s="18"/>
      <c r="AA985" s="18"/>
    </row>
    <row r="986">
      <c r="A986" s="112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2"/>
      <c r="Q986" s="112"/>
      <c r="R986" s="113"/>
      <c r="S986" s="113"/>
      <c r="T986" s="113"/>
      <c r="U986" s="113"/>
      <c r="V986" s="113"/>
      <c r="W986" s="113"/>
      <c r="X986" s="113"/>
      <c r="Y986" s="18"/>
      <c r="Z986" s="18"/>
      <c r="AA986" s="18"/>
    </row>
    <row r="987">
      <c r="A987" s="112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2"/>
      <c r="Q987" s="112"/>
      <c r="R987" s="113"/>
      <c r="S987" s="113"/>
      <c r="T987" s="113"/>
      <c r="U987" s="113"/>
      <c r="V987" s="113"/>
      <c r="W987" s="113"/>
      <c r="X987" s="113"/>
      <c r="Y987" s="18"/>
      <c r="Z987" s="18"/>
      <c r="AA987" s="18"/>
    </row>
    <row r="988">
      <c r="A988" s="112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2"/>
      <c r="Q988" s="112"/>
      <c r="R988" s="113"/>
      <c r="S988" s="113"/>
      <c r="T988" s="113"/>
      <c r="U988" s="113"/>
      <c r="V988" s="113"/>
      <c r="W988" s="113"/>
      <c r="X988" s="113"/>
      <c r="Y988" s="18"/>
      <c r="Z988" s="18"/>
      <c r="AA988" s="18"/>
    </row>
    <row r="989">
      <c r="A989" s="112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2"/>
      <c r="Q989" s="112"/>
      <c r="R989" s="113"/>
      <c r="S989" s="113"/>
      <c r="T989" s="113"/>
      <c r="U989" s="113"/>
      <c r="V989" s="113"/>
      <c r="W989" s="113"/>
      <c r="X989" s="113"/>
      <c r="Y989" s="18"/>
      <c r="Z989" s="18"/>
      <c r="AA989" s="18"/>
    </row>
    <row r="990">
      <c r="A990" s="112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2"/>
      <c r="Q990" s="112"/>
      <c r="R990" s="113"/>
      <c r="S990" s="113"/>
      <c r="T990" s="113"/>
      <c r="U990" s="113"/>
      <c r="V990" s="113"/>
      <c r="W990" s="113"/>
      <c r="X990" s="113"/>
      <c r="Y990" s="18"/>
      <c r="Z990" s="18"/>
      <c r="AA990" s="18"/>
    </row>
    <row r="991">
      <c r="A991" s="112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2"/>
      <c r="Q991" s="112"/>
      <c r="R991" s="113"/>
      <c r="S991" s="113"/>
      <c r="T991" s="113"/>
      <c r="U991" s="113"/>
      <c r="V991" s="113"/>
      <c r="W991" s="113"/>
      <c r="X991" s="113"/>
      <c r="Y991" s="18"/>
      <c r="Z991" s="18"/>
      <c r="AA991" s="18"/>
    </row>
    <row r="992">
      <c r="A992" s="112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2"/>
      <c r="Q992" s="112"/>
      <c r="R992" s="113"/>
      <c r="S992" s="113"/>
      <c r="T992" s="113"/>
      <c r="U992" s="113"/>
      <c r="V992" s="113"/>
      <c r="W992" s="113"/>
      <c r="X992" s="113"/>
      <c r="Y992" s="18"/>
      <c r="Z992" s="18"/>
      <c r="AA992" s="18"/>
    </row>
    <row r="993">
      <c r="A993" s="112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2"/>
      <c r="Q993" s="112"/>
      <c r="R993" s="113"/>
      <c r="S993" s="113"/>
      <c r="T993" s="113"/>
      <c r="U993" s="113"/>
      <c r="V993" s="113"/>
      <c r="W993" s="113"/>
      <c r="X993" s="113"/>
      <c r="Y993" s="18"/>
      <c r="Z993" s="18"/>
      <c r="AA993" s="18"/>
    </row>
    <row r="994">
      <c r="A994" s="112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2"/>
      <c r="Q994" s="112"/>
      <c r="R994" s="113"/>
      <c r="S994" s="113"/>
      <c r="T994" s="113"/>
      <c r="U994" s="113"/>
      <c r="V994" s="113"/>
      <c r="W994" s="113"/>
      <c r="X994" s="113"/>
      <c r="Y994" s="18"/>
      <c r="Z994" s="18"/>
      <c r="AA994" s="18"/>
    </row>
    <row r="995">
      <c r="A995" s="112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2"/>
      <c r="Q995" s="112"/>
      <c r="R995" s="113"/>
      <c r="S995" s="113"/>
      <c r="T995" s="113"/>
      <c r="U995" s="113"/>
      <c r="V995" s="113"/>
      <c r="W995" s="113"/>
      <c r="X995" s="113"/>
      <c r="Y995" s="18"/>
      <c r="Z995" s="18"/>
      <c r="AA995" s="18"/>
    </row>
    <row r="996">
      <c r="A996" s="112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2"/>
      <c r="Q996" s="112"/>
      <c r="R996" s="113"/>
      <c r="S996" s="113"/>
      <c r="T996" s="113"/>
      <c r="U996" s="113"/>
      <c r="V996" s="113"/>
      <c r="W996" s="113"/>
      <c r="X996" s="113"/>
      <c r="Y996" s="18"/>
      <c r="Z996" s="18"/>
      <c r="AA996" s="18"/>
    </row>
    <row r="997">
      <c r="A997" s="112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2"/>
      <c r="Q997" s="112"/>
      <c r="R997" s="113"/>
      <c r="S997" s="113"/>
      <c r="T997" s="113"/>
      <c r="U997" s="113"/>
      <c r="V997" s="113"/>
      <c r="W997" s="113"/>
      <c r="X997" s="113"/>
      <c r="Y997" s="18"/>
      <c r="Z997" s="18"/>
      <c r="AA997" s="18"/>
    </row>
    <row r="998">
      <c r="A998" s="112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2"/>
      <c r="Q998" s="112"/>
      <c r="R998" s="113"/>
      <c r="S998" s="113"/>
      <c r="T998" s="113"/>
      <c r="U998" s="113"/>
      <c r="V998" s="113"/>
      <c r="W998" s="113"/>
      <c r="X998" s="113"/>
      <c r="Y998" s="18"/>
      <c r="Z998" s="18"/>
      <c r="AA998" s="18"/>
    </row>
    <row r="999">
      <c r="A999" s="112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2"/>
      <c r="Q999" s="112"/>
      <c r="R999" s="113"/>
      <c r="S999" s="113"/>
      <c r="T999" s="113"/>
      <c r="U999" s="113"/>
      <c r="V999" s="113"/>
      <c r="W999" s="113"/>
      <c r="X999" s="113"/>
      <c r="Y999" s="18"/>
      <c r="Z999" s="18"/>
      <c r="AA999" s="18"/>
    </row>
  </sheetData>
  <conditionalFormatting sqref="T2 B24">
    <cfRule type="notContainsBlanks" dxfId="5" priority="1">
      <formula>LEN(TRIM(T2))&gt;0</formula>
    </cfRule>
  </conditionalFormatting>
  <dataValidations>
    <dataValidation type="custom" allowBlank="1" showDropDown="1" sqref="E2:E15">
      <formula1>AND(ISNUMBER(E2),(NOT(OR(NOT(ISERROR(DATEVALUE(E2))), AND(ISNUMBER(E2), LEFT(CELL("format", E2))="D")))))</formula1>
    </dataValidation>
    <dataValidation type="custom" allowBlank="1" showDropDown="1" sqref="S2:S15">
      <formula1>OR(NOT(ISERROR(DATEVALUE(S2))), AND(ISNUMBER(S2), LEFT(CELL("format", S2))="D"))</formula1>
    </dataValidation>
    <dataValidation type="custom" allowBlank="1" showDropDown="1" sqref="F2:G15 T2:U15">
      <formula1>AND(ISNUMBER(F2),(NOT(OR(NOT(ISERROR(DATEVALUE(F2))), AND(ISNUMBER(F2), LEFT(CELL("format", F2))="D")))))</formula1>
    </dataValidation>
  </dataValidations>
  <hyperlinks>
    <hyperlink r:id="rId1" ref="A12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27.5"/>
    <col customWidth="1" min="3" max="3" width="17.13"/>
    <col customWidth="1" min="4" max="4" width="35.5"/>
    <col customWidth="1" min="5" max="5" width="261.38"/>
  </cols>
  <sheetData>
    <row r="1" ht="22.5" customHeight="1">
      <c r="A1" s="2" t="s">
        <v>1</v>
      </c>
      <c r="B1" s="2" t="s">
        <v>2</v>
      </c>
      <c r="C1" s="2" t="s">
        <v>5</v>
      </c>
      <c r="D1" s="6" t="s">
        <v>9</v>
      </c>
      <c r="E1" s="6" t="s">
        <v>13</v>
      </c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2.5" customHeight="1">
      <c r="A2" s="2" t="s">
        <v>24</v>
      </c>
      <c r="B2" s="2" t="s">
        <v>28</v>
      </c>
      <c r="C2" s="13">
        <v>43007.0</v>
      </c>
      <c r="D2" s="14" t="s">
        <v>36</v>
      </c>
      <c r="E2" s="14" t="s">
        <v>38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2.5" customHeight="1">
      <c r="A3" s="2" t="s">
        <v>46</v>
      </c>
      <c r="B3" s="2" t="s">
        <v>28</v>
      </c>
      <c r="C3" s="13">
        <v>43186.0</v>
      </c>
      <c r="D3" s="14" t="s">
        <v>52</v>
      </c>
      <c r="E3" s="14" t="s">
        <v>56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22.5" customHeight="1">
      <c r="A4" s="2" t="s">
        <v>61</v>
      </c>
      <c r="B4" s="2" t="s">
        <v>28</v>
      </c>
      <c r="C4" s="13">
        <v>43196.0</v>
      </c>
      <c r="D4" s="14" t="s">
        <v>66</v>
      </c>
      <c r="E4" s="14" t="s">
        <v>68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22.5" customHeight="1">
      <c r="A5" s="2" t="s">
        <v>70</v>
      </c>
      <c r="B5" s="2" t="s">
        <v>28</v>
      </c>
      <c r="C5" s="13">
        <v>43271.0</v>
      </c>
      <c r="D5" s="14" t="s">
        <v>72</v>
      </c>
      <c r="E5" s="14" t="s">
        <v>75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2.5" customHeight="1">
      <c r="A6" s="2" t="s">
        <v>81</v>
      </c>
      <c r="B6" s="2" t="s">
        <v>28</v>
      </c>
      <c r="C6" s="13">
        <v>43278.0</v>
      </c>
      <c r="D6" s="14" t="s">
        <v>83</v>
      </c>
      <c r="E6" s="14" t="s">
        <v>85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22.5" customHeight="1">
      <c r="A7" s="2" t="s">
        <v>89</v>
      </c>
      <c r="B7" s="2" t="s">
        <v>28</v>
      </c>
      <c r="C7" s="13">
        <v>43299.0</v>
      </c>
      <c r="D7" s="14" t="s">
        <v>91</v>
      </c>
      <c r="E7" s="14" t="s">
        <v>93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22.5" customHeight="1">
      <c r="A8" s="2" t="s">
        <v>97</v>
      </c>
      <c r="B8" s="2" t="s">
        <v>28</v>
      </c>
      <c r="C8" s="13">
        <v>43725.0</v>
      </c>
      <c r="D8" s="14" t="s">
        <v>100</v>
      </c>
      <c r="E8" s="14" t="s">
        <v>101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22.5" customHeight="1">
      <c r="A9" s="2" t="s">
        <v>104</v>
      </c>
      <c r="B9" s="2" t="s">
        <v>28</v>
      </c>
      <c r="C9" s="13">
        <v>43725.0</v>
      </c>
      <c r="D9" s="14" t="s">
        <v>108</v>
      </c>
      <c r="E9" s="14" t="s">
        <v>109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22.5" customHeight="1">
      <c r="A10" s="2" t="s">
        <v>112</v>
      </c>
      <c r="B10" s="2" t="s">
        <v>28</v>
      </c>
      <c r="C10" s="13">
        <v>43725.0</v>
      </c>
      <c r="D10" s="14" t="s">
        <v>116</v>
      </c>
      <c r="E10" s="14" t="s">
        <v>117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22.5" customHeight="1">
      <c r="A11" s="2" t="s">
        <v>118</v>
      </c>
      <c r="B11" s="2" t="s">
        <v>28</v>
      </c>
      <c r="C11" s="13">
        <v>43783.0</v>
      </c>
      <c r="D11" s="14" t="s">
        <v>122</v>
      </c>
      <c r="E11" s="14" t="s">
        <v>125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2.5" customHeight="1">
      <c r="A12" s="2" t="s">
        <v>128</v>
      </c>
      <c r="B12" s="2" t="s">
        <v>28</v>
      </c>
      <c r="C12" s="13">
        <v>43783.0</v>
      </c>
      <c r="D12" s="14" t="s">
        <v>130</v>
      </c>
      <c r="E12" s="14" t="s">
        <v>131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22.5" customHeight="1">
      <c r="A13" s="2" t="s">
        <v>134</v>
      </c>
      <c r="B13" s="2" t="s">
        <v>28</v>
      </c>
      <c r="C13" s="13">
        <v>44278.0</v>
      </c>
      <c r="D13" s="14" t="s">
        <v>137</v>
      </c>
      <c r="E13" s="14" t="s">
        <v>138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22.5" customHeight="1">
      <c r="A14" s="2" t="s">
        <v>140</v>
      </c>
      <c r="B14" s="2" t="s">
        <v>28</v>
      </c>
      <c r="C14" s="13">
        <v>44278.0</v>
      </c>
      <c r="D14" s="14" t="s">
        <v>146</v>
      </c>
      <c r="E14" s="14" t="s">
        <v>147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22.5" customHeight="1">
      <c r="A15" s="2" t="s">
        <v>148</v>
      </c>
      <c r="B15" s="2" t="s">
        <v>28</v>
      </c>
      <c r="C15" s="13">
        <v>44621.0</v>
      </c>
      <c r="D15" s="14" t="s">
        <v>151</v>
      </c>
      <c r="E15" s="14" t="s">
        <v>153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22.5" customHeight="1">
      <c r="A16" s="2" t="s">
        <v>158</v>
      </c>
      <c r="B16" s="2" t="s">
        <v>28</v>
      </c>
      <c r="C16" s="13">
        <v>44621.0</v>
      </c>
      <c r="D16" s="14" t="s">
        <v>160</v>
      </c>
      <c r="E16" s="14" t="s">
        <v>161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22.5" customHeight="1">
      <c r="A17" s="2" t="s">
        <v>164</v>
      </c>
      <c r="B17" s="2" t="s">
        <v>28</v>
      </c>
      <c r="C17" s="13">
        <v>44705.0</v>
      </c>
      <c r="D17" s="14" t="s">
        <v>151</v>
      </c>
      <c r="E17" s="14" t="s">
        <v>167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2.5" customHeight="1">
      <c r="A18" s="2" t="s">
        <v>171</v>
      </c>
      <c r="B18" s="2" t="s">
        <v>28</v>
      </c>
      <c r="C18" s="13">
        <v>44705.0</v>
      </c>
      <c r="D18" s="14" t="s">
        <v>160</v>
      </c>
      <c r="E18" s="14" t="s">
        <v>173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22.5" customHeight="1">
      <c r="A19" s="2" t="s">
        <v>174</v>
      </c>
      <c r="B19" s="2" t="s">
        <v>28</v>
      </c>
      <c r="C19" s="13">
        <v>44768.0</v>
      </c>
      <c r="D19" s="14" t="s">
        <v>177</v>
      </c>
      <c r="E19" s="14" t="s">
        <v>179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22.5" customHeight="1">
      <c r="A20" s="2" t="s">
        <v>181</v>
      </c>
      <c r="B20" s="2" t="s">
        <v>28</v>
      </c>
      <c r="C20" s="13">
        <v>44880.0</v>
      </c>
      <c r="D20" s="14" t="s">
        <v>184</v>
      </c>
      <c r="E20" s="14" t="s">
        <v>185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22.5" customHeight="1">
      <c r="A21" s="2" t="s">
        <v>190</v>
      </c>
      <c r="B21" s="2" t="s">
        <v>28</v>
      </c>
      <c r="C21" s="13">
        <v>44880.0</v>
      </c>
      <c r="D21" s="14" t="s">
        <v>192</v>
      </c>
      <c r="E21" s="14" t="s">
        <v>194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22.5" customHeight="1">
      <c r="A22" s="2" t="s">
        <v>197</v>
      </c>
      <c r="B22" s="2" t="s">
        <v>28</v>
      </c>
      <c r="C22" s="13">
        <v>45244.0</v>
      </c>
      <c r="D22" s="14" t="s">
        <v>198</v>
      </c>
      <c r="E22" s="14" t="s">
        <v>199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22.5" customHeight="1">
      <c r="A23" s="2" t="s">
        <v>201</v>
      </c>
      <c r="B23" s="37" t="s">
        <v>67</v>
      </c>
      <c r="C23" s="46">
        <v>43007.0</v>
      </c>
      <c r="D23" s="47" t="s">
        <v>36</v>
      </c>
      <c r="E23" s="48" t="s">
        <v>204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22.5" customHeight="1">
      <c r="A24" s="2" t="s">
        <v>208</v>
      </c>
      <c r="B24" s="37" t="s">
        <v>67</v>
      </c>
      <c r="C24" s="46">
        <v>43186.0</v>
      </c>
      <c r="D24" s="47" t="s">
        <v>210</v>
      </c>
      <c r="E24" s="48" t="s">
        <v>211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22.5" customHeight="1">
      <c r="A25" s="2" t="s">
        <v>213</v>
      </c>
      <c r="B25" s="37" t="s">
        <v>67</v>
      </c>
      <c r="C25" s="46">
        <v>43196.0</v>
      </c>
      <c r="D25" s="47" t="s">
        <v>217</v>
      </c>
      <c r="E25" s="48" t="s">
        <v>218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22.5" customHeight="1">
      <c r="A26" s="2" t="s">
        <v>220</v>
      </c>
      <c r="B26" s="37" t="s">
        <v>67</v>
      </c>
      <c r="C26" s="46">
        <v>43278.0</v>
      </c>
      <c r="D26" s="47" t="s">
        <v>221</v>
      </c>
      <c r="E26" s="48" t="s">
        <v>223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22.5" customHeight="1">
      <c r="A27" s="2" t="s">
        <v>226</v>
      </c>
      <c r="B27" s="37" t="s">
        <v>67</v>
      </c>
      <c r="C27" s="46">
        <v>43299.0</v>
      </c>
      <c r="D27" s="47" t="s">
        <v>228</v>
      </c>
      <c r="E27" s="48" t="s">
        <v>229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22.5" customHeight="1">
      <c r="A28" s="2" t="s">
        <v>232</v>
      </c>
      <c r="B28" s="37" t="s">
        <v>67</v>
      </c>
      <c r="C28" s="46">
        <v>43559.0</v>
      </c>
      <c r="D28" s="47" t="s">
        <v>233</v>
      </c>
      <c r="E28" s="48" t="s">
        <v>234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22.5" customHeight="1">
      <c r="A29" s="2" t="s">
        <v>235</v>
      </c>
      <c r="B29" s="37" t="s">
        <v>67</v>
      </c>
      <c r="C29" s="46">
        <v>43720.0</v>
      </c>
      <c r="D29" s="47" t="s">
        <v>240</v>
      </c>
      <c r="E29" s="48" t="s">
        <v>242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22.5" customHeight="1">
      <c r="A30" s="2" t="s">
        <v>243</v>
      </c>
      <c r="B30" s="37" t="s">
        <v>67</v>
      </c>
      <c r="C30" s="46">
        <v>43788.0</v>
      </c>
      <c r="D30" s="47" t="s">
        <v>246</v>
      </c>
      <c r="E30" s="48" t="s">
        <v>247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22.5" customHeight="1">
      <c r="A31" s="2" t="s">
        <v>249</v>
      </c>
      <c r="B31" s="37" t="s">
        <v>67</v>
      </c>
      <c r="C31" s="46">
        <v>44168.0</v>
      </c>
      <c r="D31" s="47" t="s">
        <v>250</v>
      </c>
      <c r="E31" s="48" t="s">
        <v>251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22.5" customHeight="1">
      <c r="A32" s="2" t="s">
        <v>253</v>
      </c>
      <c r="B32" s="37" t="s">
        <v>67</v>
      </c>
      <c r="C32" s="46">
        <v>44236.0</v>
      </c>
      <c r="D32" s="47" t="s">
        <v>254</v>
      </c>
      <c r="E32" s="48" t="s">
        <v>255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22.5" customHeight="1">
      <c r="A33" s="2" t="s">
        <v>258</v>
      </c>
      <c r="B33" s="37" t="s">
        <v>67</v>
      </c>
      <c r="C33" s="46">
        <v>44754.0</v>
      </c>
      <c r="D33" s="47" t="s">
        <v>263</v>
      </c>
      <c r="E33" s="48" t="s">
        <v>264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22.5" customHeight="1">
      <c r="A34" s="2" t="s">
        <v>266</v>
      </c>
      <c r="B34" s="37" t="s">
        <v>67</v>
      </c>
      <c r="C34" s="46">
        <v>44894.0</v>
      </c>
      <c r="D34" s="47" t="s">
        <v>269</v>
      </c>
      <c r="E34" s="48" t="s">
        <v>270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22.5" customHeight="1">
      <c r="A35" s="2" t="s">
        <v>273</v>
      </c>
      <c r="B35" s="37" t="s">
        <v>67</v>
      </c>
      <c r="C35" s="46">
        <v>45146.0</v>
      </c>
      <c r="D35" s="47" t="s">
        <v>274</v>
      </c>
      <c r="E35" s="48" t="s">
        <v>275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22.5" customHeight="1">
      <c r="A36" s="2" t="s">
        <v>278</v>
      </c>
      <c r="B36" s="37" t="s">
        <v>67</v>
      </c>
      <c r="C36" s="46">
        <v>45187.0</v>
      </c>
      <c r="D36" s="47" t="s">
        <v>279</v>
      </c>
      <c r="E36" s="48" t="s">
        <v>281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22.5" customHeight="1">
      <c r="A37" s="2" t="s">
        <v>282</v>
      </c>
      <c r="B37" s="37" t="s">
        <v>67</v>
      </c>
      <c r="C37" s="46">
        <v>45190.0</v>
      </c>
      <c r="D37" s="47" t="s">
        <v>286</v>
      </c>
      <c r="E37" s="48" t="s">
        <v>287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22.5" customHeight="1">
      <c r="A38" s="2" t="s">
        <v>289</v>
      </c>
      <c r="B38" s="37" t="s">
        <v>67</v>
      </c>
      <c r="C38" s="46">
        <v>45461.0</v>
      </c>
      <c r="D38" s="47" t="s">
        <v>259</v>
      </c>
      <c r="E38" s="48" t="s">
        <v>293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22.5" customHeight="1">
      <c r="A39" s="2" t="s">
        <v>296</v>
      </c>
      <c r="B39" s="37" t="s">
        <v>67</v>
      </c>
      <c r="C39" s="46">
        <v>45468.0</v>
      </c>
      <c r="D39" s="47" t="s">
        <v>299</v>
      </c>
      <c r="E39" s="48" t="s">
        <v>300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22.5" customHeight="1">
      <c r="A40" s="2" t="s">
        <v>302</v>
      </c>
      <c r="B40" s="2" t="s">
        <v>103</v>
      </c>
      <c r="C40" s="46">
        <v>42936.0</v>
      </c>
      <c r="D40" s="47" t="s">
        <v>36</v>
      </c>
      <c r="E40" s="47" t="s">
        <v>305</v>
      </c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ht="22.5" customHeight="1">
      <c r="A41" s="2" t="s">
        <v>306</v>
      </c>
      <c r="B41" s="2" t="s">
        <v>103</v>
      </c>
      <c r="C41" s="46">
        <v>43131.0</v>
      </c>
      <c r="D41" s="47" t="s">
        <v>52</v>
      </c>
      <c r="E41" s="47" t="s">
        <v>309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22.5" customHeight="1">
      <c r="A42" s="2" t="s">
        <v>311</v>
      </c>
      <c r="B42" s="2" t="s">
        <v>103</v>
      </c>
      <c r="C42" s="46">
        <v>43139.0</v>
      </c>
      <c r="D42" s="47" t="s">
        <v>313</v>
      </c>
      <c r="E42" s="47" t="s">
        <v>314</v>
      </c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ht="22.5" customHeight="1">
      <c r="A43" s="2" t="s">
        <v>318</v>
      </c>
      <c r="B43" s="2" t="s">
        <v>103</v>
      </c>
      <c r="C43" s="46">
        <v>43223.0</v>
      </c>
      <c r="D43" s="47" t="s">
        <v>72</v>
      </c>
      <c r="E43" s="47" t="s">
        <v>319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22.5" customHeight="1">
      <c r="A44" s="2" t="s">
        <v>320</v>
      </c>
      <c r="B44" s="2" t="s">
        <v>103</v>
      </c>
      <c r="C44" s="46">
        <v>43227.0</v>
      </c>
      <c r="D44" s="47" t="s">
        <v>221</v>
      </c>
      <c r="E44" s="47" t="s">
        <v>322</v>
      </c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ht="22.5" customHeight="1">
      <c r="A45" s="2" t="s">
        <v>323</v>
      </c>
      <c r="B45" s="2" t="s">
        <v>103</v>
      </c>
      <c r="C45" s="46">
        <v>43250.0</v>
      </c>
      <c r="D45" s="47" t="s">
        <v>91</v>
      </c>
      <c r="E45" s="47" t="s">
        <v>324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22.5" customHeight="1">
      <c r="A46" s="2" t="s">
        <v>326</v>
      </c>
      <c r="B46" s="2" t="s">
        <v>103</v>
      </c>
      <c r="C46" s="46">
        <v>43594.0</v>
      </c>
      <c r="D46" s="47" t="s">
        <v>116</v>
      </c>
      <c r="E46" s="47" t="s">
        <v>327</v>
      </c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ht="22.5" customHeight="1">
      <c r="A47" s="2" t="s">
        <v>329</v>
      </c>
      <c r="B47" s="2" t="s">
        <v>103</v>
      </c>
      <c r="C47" s="46">
        <v>44658.0</v>
      </c>
      <c r="D47" s="47" t="s">
        <v>331</v>
      </c>
      <c r="E47" s="47" t="s">
        <v>332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22.5" customHeight="1">
      <c r="A48" s="2" t="s">
        <v>334</v>
      </c>
      <c r="B48" s="2" t="s">
        <v>103</v>
      </c>
      <c r="C48" s="46">
        <v>45176.0</v>
      </c>
      <c r="D48" s="47" t="s">
        <v>336</v>
      </c>
      <c r="E48" s="47" t="s">
        <v>337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22.5" customHeight="1">
      <c r="A49" s="2" t="s">
        <v>338</v>
      </c>
      <c r="B49" s="2" t="s">
        <v>103</v>
      </c>
      <c r="C49" s="46">
        <v>45401.0</v>
      </c>
      <c r="D49" s="47" t="s">
        <v>340</v>
      </c>
      <c r="E49" s="47" t="s">
        <v>341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22.5" customHeight="1">
      <c r="A50" s="2" t="s">
        <v>342</v>
      </c>
      <c r="B50" s="37" t="s">
        <v>133</v>
      </c>
      <c r="C50" s="72">
        <v>42936.0</v>
      </c>
      <c r="D50" s="73" t="s">
        <v>36</v>
      </c>
      <c r="E50" s="74" t="s">
        <v>344</v>
      </c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ht="22.5" customHeight="1">
      <c r="A51" s="2" t="s">
        <v>345</v>
      </c>
      <c r="B51" s="37" t="s">
        <v>133</v>
      </c>
      <c r="C51" s="72">
        <v>43131.0</v>
      </c>
      <c r="D51" s="73" t="s">
        <v>52</v>
      </c>
      <c r="E51" s="74" t="s">
        <v>56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22.5" customHeight="1">
      <c r="A52" s="2" t="s">
        <v>348</v>
      </c>
      <c r="B52" s="37" t="s">
        <v>133</v>
      </c>
      <c r="C52" s="72">
        <v>43139.0</v>
      </c>
      <c r="D52" s="73" t="s">
        <v>66</v>
      </c>
      <c r="E52" s="74" t="s">
        <v>350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22.5" customHeight="1">
      <c r="A53" s="2" t="s">
        <v>352</v>
      </c>
      <c r="B53" s="37" t="s">
        <v>133</v>
      </c>
      <c r="C53" s="72">
        <v>43223.0</v>
      </c>
      <c r="D53" s="73" t="s">
        <v>72</v>
      </c>
      <c r="E53" s="74" t="s">
        <v>353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22.5" customHeight="1">
      <c r="A54" s="2" t="s">
        <v>356</v>
      </c>
      <c r="B54" s="37" t="s">
        <v>133</v>
      </c>
      <c r="C54" s="72">
        <v>43227.0</v>
      </c>
      <c r="D54" s="73" t="s">
        <v>83</v>
      </c>
      <c r="E54" s="74" t="s">
        <v>85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22.5" customHeight="1">
      <c r="A55" s="2" t="s">
        <v>357</v>
      </c>
      <c r="B55" s="37" t="s">
        <v>133</v>
      </c>
      <c r="C55" s="72">
        <v>43250.0</v>
      </c>
      <c r="D55" s="73" t="s">
        <v>91</v>
      </c>
      <c r="E55" s="74" t="s">
        <v>359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22.5" customHeight="1">
      <c r="A56" s="2" t="s">
        <v>360</v>
      </c>
      <c r="B56" s="37" t="s">
        <v>133</v>
      </c>
      <c r="C56" s="72">
        <v>43627.0</v>
      </c>
      <c r="D56" s="73" t="s">
        <v>116</v>
      </c>
      <c r="E56" s="74" t="s">
        <v>362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22.5" customHeight="1">
      <c r="A57" s="2" t="s">
        <v>363</v>
      </c>
      <c r="B57" s="37" t="s">
        <v>133</v>
      </c>
      <c r="C57" s="72">
        <v>45251.0</v>
      </c>
      <c r="D57" s="73" t="s">
        <v>364</v>
      </c>
      <c r="E57" s="74" t="s">
        <v>365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22.5" customHeight="1">
      <c r="A58" s="2" t="s">
        <v>369</v>
      </c>
      <c r="B58" s="11" t="s">
        <v>133</v>
      </c>
      <c r="C58" s="84">
        <v>45344.0</v>
      </c>
      <c r="D58" s="85" t="s">
        <v>370</v>
      </c>
      <c r="E58" s="86" t="s">
        <v>371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22.5" customHeight="1">
      <c r="A59" s="2" t="s">
        <v>373</v>
      </c>
      <c r="B59" s="37" t="s">
        <v>142</v>
      </c>
      <c r="C59" s="72">
        <v>43007.0</v>
      </c>
      <c r="D59" s="73" t="s">
        <v>36</v>
      </c>
      <c r="E59" s="73" t="s">
        <v>374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22.5" customHeight="1">
      <c r="A60" s="2" t="s">
        <v>376</v>
      </c>
      <c r="B60" s="37" t="s">
        <v>142</v>
      </c>
      <c r="C60" s="72">
        <v>43186.0</v>
      </c>
      <c r="D60" s="73" t="s">
        <v>52</v>
      </c>
      <c r="E60" s="73" t="s">
        <v>377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22.5" customHeight="1">
      <c r="A61" s="2" t="s">
        <v>379</v>
      </c>
      <c r="B61" s="37" t="s">
        <v>142</v>
      </c>
      <c r="C61" s="72">
        <v>43255.0</v>
      </c>
      <c r="D61" s="73" t="s">
        <v>66</v>
      </c>
      <c r="E61" s="73" t="s">
        <v>382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22.5" customHeight="1">
      <c r="A62" s="2" t="s">
        <v>385</v>
      </c>
      <c r="B62" s="37" t="s">
        <v>142</v>
      </c>
      <c r="C62" s="72">
        <v>43271.0</v>
      </c>
      <c r="D62" s="73" t="s">
        <v>387</v>
      </c>
      <c r="E62" s="73" t="s">
        <v>389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22.5" customHeight="1">
      <c r="A63" s="2" t="s">
        <v>390</v>
      </c>
      <c r="B63" s="37" t="s">
        <v>142</v>
      </c>
      <c r="C63" s="72">
        <v>43278.0</v>
      </c>
      <c r="D63" s="73" t="s">
        <v>83</v>
      </c>
      <c r="E63" s="73" t="s">
        <v>391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22.5" customHeight="1">
      <c r="A64" s="2" t="s">
        <v>393</v>
      </c>
      <c r="B64" s="37" t="s">
        <v>142</v>
      </c>
      <c r="C64" s="72">
        <v>43299.0</v>
      </c>
      <c r="D64" s="73" t="s">
        <v>394</v>
      </c>
      <c r="E64" s="73" t="s">
        <v>395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22.5" customHeight="1">
      <c r="A65" s="2" t="s">
        <v>397</v>
      </c>
      <c r="B65" s="37" t="s">
        <v>142</v>
      </c>
      <c r="C65" s="72">
        <v>43663.0</v>
      </c>
      <c r="D65" s="73" t="s">
        <v>116</v>
      </c>
      <c r="E65" s="73" t="s">
        <v>398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22.5" customHeight="1">
      <c r="A66" s="2" t="s">
        <v>399</v>
      </c>
      <c r="B66" s="37" t="s">
        <v>142</v>
      </c>
      <c r="C66" s="72">
        <v>43783.0</v>
      </c>
      <c r="D66" s="73" t="s">
        <v>401</v>
      </c>
      <c r="E66" s="73" t="s">
        <v>402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22.5" customHeight="1">
      <c r="A67" s="2" t="s">
        <v>403</v>
      </c>
      <c r="B67" s="37" t="s">
        <v>142</v>
      </c>
      <c r="C67" s="72">
        <v>44278.0</v>
      </c>
      <c r="D67" s="73" t="s">
        <v>137</v>
      </c>
      <c r="E67" s="73" t="s">
        <v>405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22.5" customHeight="1">
      <c r="A68" s="2" t="s">
        <v>407</v>
      </c>
      <c r="B68" s="37" t="s">
        <v>142</v>
      </c>
      <c r="C68" s="72">
        <v>45837.0</v>
      </c>
      <c r="D68" s="73" t="s">
        <v>408</v>
      </c>
      <c r="E68" s="73" t="s">
        <v>409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22.5" customHeight="1">
      <c r="A69" s="2" t="s">
        <v>411</v>
      </c>
      <c r="B69" s="37" t="s">
        <v>169</v>
      </c>
      <c r="C69" s="46">
        <v>42571.0</v>
      </c>
      <c r="D69" s="47" t="s">
        <v>36</v>
      </c>
      <c r="E69" s="48" t="s">
        <v>412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22.5" customHeight="1">
      <c r="A70" s="2" t="s">
        <v>413</v>
      </c>
      <c r="B70" s="37" t="s">
        <v>169</v>
      </c>
      <c r="C70" s="46">
        <v>42905.0</v>
      </c>
      <c r="D70" s="47" t="s">
        <v>52</v>
      </c>
      <c r="E70" s="48" t="s">
        <v>56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22.5" customHeight="1">
      <c r="A71" s="2" t="s">
        <v>415</v>
      </c>
      <c r="B71" s="37" t="s">
        <v>169</v>
      </c>
      <c r="C71" s="46">
        <v>42914.0</v>
      </c>
      <c r="D71" s="47" t="s">
        <v>66</v>
      </c>
      <c r="E71" s="48" t="s">
        <v>416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22.5" customHeight="1">
      <c r="A72" s="2" t="s">
        <v>418</v>
      </c>
      <c r="B72" s="37" t="s">
        <v>169</v>
      </c>
      <c r="C72" s="46">
        <v>42999.0</v>
      </c>
      <c r="D72" s="47" t="s">
        <v>419</v>
      </c>
      <c r="E72" s="48" t="s">
        <v>420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22.5" customHeight="1">
      <c r="A73" s="2" t="s">
        <v>422</v>
      </c>
      <c r="B73" s="37" t="s">
        <v>169</v>
      </c>
      <c r="C73" s="46">
        <v>43003.0</v>
      </c>
      <c r="D73" s="47" t="s">
        <v>83</v>
      </c>
      <c r="E73" s="48" t="s">
        <v>423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22.5" customHeight="1">
      <c r="A74" s="2" t="s">
        <v>424</v>
      </c>
      <c r="B74" s="37" t="s">
        <v>169</v>
      </c>
      <c r="C74" s="46">
        <v>43017.0</v>
      </c>
      <c r="D74" s="47" t="s">
        <v>91</v>
      </c>
      <c r="E74" s="48" t="s">
        <v>426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22.5" customHeight="1">
      <c r="A75" s="2" t="s">
        <v>427</v>
      </c>
      <c r="B75" s="37" t="s">
        <v>169</v>
      </c>
      <c r="C75" s="46">
        <v>43391.0</v>
      </c>
      <c r="D75" s="47" t="s">
        <v>428</v>
      </c>
      <c r="E75" s="48" t="s">
        <v>429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22.5" customHeight="1">
      <c r="A76" s="2" t="s">
        <v>431</v>
      </c>
      <c r="B76" s="37" t="s">
        <v>169</v>
      </c>
      <c r="C76" s="46">
        <v>43398.0</v>
      </c>
      <c r="D76" s="47" t="s">
        <v>432</v>
      </c>
      <c r="E76" s="48" t="s">
        <v>434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22.5" customHeight="1">
      <c r="A77" s="2" t="s">
        <v>435</v>
      </c>
      <c r="B77" s="37" t="s">
        <v>169</v>
      </c>
      <c r="C77" s="46">
        <v>43788.0</v>
      </c>
      <c r="D77" s="47" t="s">
        <v>130</v>
      </c>
      <c r="E77" s="48" t="s">
        <v>436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22.5" customHeight="1">
      <c r="A78" s="2" t="s">
        <v>438</v>
      </c>
      <c r="B78" s="37" t="s">
        <v>169</v>
      </c>
      <c r="C78" s="46">
        <v>44294.0</v>
      </c>
      <c r="D78" s="47" t="s">
        <v>146</v>
      </c>
      <c r="E78" s="48" t="s">
        <v>439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22.5" customHeight="1">
      <c r="A79" s="2" t="s">
        <v>440</v>
      </c>
      <c r="B79" s="37" t="s">
        <v>169</v>
      </c>
      <c r="C79" s="46">
        <v>44698.0</v>
      </c>
      <c r="D79" s="47" t="s">
        <v>442</v>
      </c>
      <c r="E79" s="48" t="s">
        <v>443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22.5" customHeight="1">
      <c r="A80" s="2" t="s">
        <v>444</v>
      </c>
      <c r="B80" s="37" t="s">
        <v>169</v>
      </c>
      <c r="C80" s="46">
        <v>44848.0</v>
      </c>
      <c r="D80" s="47" t="s">
        <v>445</v>
      </c>
      <c r="E80" s="48" t="s">
        <v>447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22.5" customHeight="1">
      <c r="A81" s="2" t="s">
        <v>448</v>
      </c>
      <c r="B81" s="37" t="s">
        <v>169</v>
      </c>
      <c r="C81" s="46">
        <v>44865.0</v>
      </c>
      <c r="D81" s="47" t="s">
        <v>449</v>
      </c>
      <c r="E81" s="48" t="s">
        <v>451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22.5" customHeight="1">
      <c r="A82" s="2" t="s">
        <v>452</v>
      </c>
      <c r="B82" s="37" t="s">
        <v>169</v>
      </c>
      <c r="C82" s="46">
        <v>44910.0</v>
      </c>
      <c r="D82" s="47" t="s">
        <v>453</v>
      </c>
      <c r="E82" s="48" t="s">
        <v>454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22.5" customHeight="1">
      <c r="A83" s="2" t="s">
        <v>455</v>
      </c>
      <c r="B83" s="11" t="s">
        <v>169</v>
      </c>
      <c r="C83" s="84">
        <v>45237.0</v>
      </c>
      <c r="D83" s="86" t="s">
        <v>457</v>
      </c>
      <c r="E83" s="86" t="s">
        <v>458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22.5" customHeight="1">
      <c r="A84" s="2" t="s">
        <v>459</v>
      </c>
      <c r="B84" s="123" t="s">
        <v>188</v>
      </c>
      <c r="C84" s="124">
        <v>43007.0</v>
      </c>
      <c r="D84" s="73" t="s">
        <v>460</v>
      </c>
      <c r="E84" s="74" t="s">
        <v>462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22.5" customHeight="1">
      <c r="A85" s="2" t="s">
        <v>463</v>
      </c>
      <c r="B85" s="123" t="s">
        <v>188</v>
      </c>
      <c r="C85" s="124">
        <v>43186.0</v>
      </c>
      <c r="D85" s="73" t="s">
        <v>52</v>
      </c>
      <c r="E85" s="74" t="s">
        <v>464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22.5" customHeight="1">
      <c r="A86" s="2" t="s">
        <v>466</v>
      </c>
      <c r="B86" s="123" t="s">
        <v>188</v>
      </c>
      <c r="C86" s="124">
        <v>43196.0</v>
      </c>
      <c r="D86" s="73" t="s">
        <v>313</v>
      </c>
      <c r="E86" s="74" t="s">
        <v>467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22.5" customHeight="1">
      <c r="A87" s="2" t="s">
        <v>468</v>
      </c>
      <c r="B87" s="123" t="s">
        <v>188</v>
      </c>
      <c r="C87" s="124">
        <v>43271.0</v>
      </c>
      <c r="D87" s="73" t="s">
        <v>470</v>
      </c>
      <c r="E87" s="74" t="s">
        <v>471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22.5" customHeight="1">
      <c r="A88" s="2" t="s">
        <v>472</v>
      </c>
      <c r="B88" s="123" t="s">
        <v>188</v>
      </c>
      <c r="C88" s="124">
        <v>43278.0</v>
      </c>
      <c r="D88" s="73" t="s">
        <v>221</v>
      </c>
      <c r="E88" s="74" t="s">
        <v>474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22.5" customHeight="1">
      <c r="A89" s="2" t="s">
        <v>475</v>
      </c>
      <c r="B89" s="123" t="s">
        <v>188</v>
      </c>
      <c r="C89" s="124">
        <v>43299.0</v>
      </c>
      <c r="D89" s="73" t="s">
        <v>476</v>
      </c>
      <c r="E89" s="74" t="s">
        <v>477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22.5" customHeight="1">
      <c r="A90" s="2" t="s">
        <v>479</v>
      </c>
      <c r="B90" s="123" t="s">
        <v>188</v>
      </c>
      <c r="C90" s="124">
        <v>43559.0</v>
      </c>
      <c r="D90" s="73" t="s">
        <v>480</v>
      </c>
      <c r="E90" s="74" t="s">
        <v>481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22.5" customHeight="1">
      <c r="A91" s="2" t="s">
        <v>483</v>
      </c>
      <c r="B91" s="123" t="s">
        <v>188</v>
      </c>
      <c r="C91" s="124">
        <v>43713.0</v>
      </c>
      <c r="D91" s="73" t="s">
        <v>484</v>
      </c>
      <c r="E91" s="74" t="s">
        <v>485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22.5" customHeight="1">
      <c r="A92" s="2" t="s">
        <v>486</v>
      </c>
      <c r="B92" s="123" t="s">
        <v>188</v>
      </c>
      <c r="C92" s="124">
        <v>43713.0</v>
      </c>
      <c r="D92" s="73" t="s">
        <v>487</v>
      </c>
      <c r="E92" s="74" t="s">
        <v>488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22.5" customHeight="1">
      <c r="A93" s="2" t="s">
        <v>490</v>
      </c>
      <c r="B93" s="123" t="s">
        <v>188</v>
      </c>
      <c r="C93" s="124">
        <v>43713.0</v>
      </c>
      <c r="D93" s="73" t="s">
        <v>491</v>
      </c>
      <c r="E93" s="74" t="s">
        <v>492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22.5" customHeight="1">
      <c r="A94" s="2" t="s">
        <v>494</v>
      </c>
      <c r="B94" s="123" t="s">
        <v>188</v>
      </c>
      <c r="C94" s="125">
        <v>43788.0</v>
      </c>
      <c r="D94" s="73" t="s">
        <v>495</v>
      </c>
      <c r="E94" s="74" t="s">
        <v>496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22.5" customHeight="1">
      <c r="A95" s="2" t="s">
        <v>498</v>
      </c>
      <c r="B95" s="123" t="s">
        <v>188</v>
      </c>
      <c r="C95" s="125">
        <v>43788.0</v>
      </c>
      <c r="D95" s="73" t="s">
        <v>401</v>
      </c>
      <c r="E95" s="74" t="s">
        <v>499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22.5" customHeight="1">
      <c r="A96" s="2" t="s">
        <v>501</v>
      </c>
      <c r="B96" s="123" t="s">
        <v>188</v>
      </c>
      <c r="C96" s="124">
        <v>44168.0</v>
      </c>
      <c r="D96" s="73" t="s">
        <v>502</v>
      </c>
      <c r="E96" s="74" t="s">
        <v>503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22.5" customHeight="1">
      <c r="A97" s="2" t="s">
        <v>504</v>
      </c>
      <c r="B97" s="123" t="s">
        <v>188</v>
      </c>
      <c r="C97" s="124">
        <v>44236.0</v>
      </c>
      <c r="D97" s="73" t="s">
        <v>146</v>
      </c>
      <c r="E97" s="74" t="s">
        <v>506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22.5" customHeight="1">
      <c r="A98" s="2" t="s">
        <v>507</v>
      </c>
      <c r="B98" s="123" t="s">
        <v>188</v>
      </c>
      <c r="C98" s="124">
        <v>44236.0</v>
      </c>
      <c r="D98" s="73" t="s">
        <v>137</v>
      </c>
      <c r="E98" s="74" t="s">
        <v>508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22.5" customHeight="1">
      <c r="A99" s="2" t="s">
        <v>510</v>
      </c>
      <c r="B99" s="123" t="s">
        <v>188</v>
      </c>
      <c r="C99" s="124">
        <v>44754.0</v>
      </c>
      <c r="D99" s="73" t="s">
        <v>511</v>
      </c>
      <c r="E99" s="74" t="s">
        <v>512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22.5" customHeight="1">
      <c r="A100" s="2" t="s">
        <v>513</v>
      </c>
      <c r="B100" s="123" t="s">
        <v>188</v>
      </c>
      <c r="C100" s="124">
        <v>44754.0</v>
      </c>
      <c r="D100" s="73" t="s">
        <v>160</v>
      </c>
      <c r="E100" s="74" t="s">
        <v>515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22.5" customHeight="1">
      <c r="A101" s="2" t="s">
        <v>516</v>
      </c>
      <c r="B101" s="123" t="s">
        <v>188</v>
      </c>
      <c r="C101" s="124">
        <v>44754.0</v>
      </c>
      <c r="D101" s="73" t="s">
        <v>151</v>
      </c>
      <c r="E101" s="74" t="s">
        <v>517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22.5" customHeight="1">
      <c r="A102" s="2" t="s">
        <v>519</v>
      </c>
      <c r="B102" s="123" t="s">
        <v>188</v>
      </c>
      <c r="C102" s="125">
        <v>44894.0</v>
      </c>
      <c r="D102" s="73" t="s">
        <v>192</v>
      </c>
      <c r="E102" s="74" t="s">
        <v>520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22.5" customHeight="1">
      <c r="A103" s="2" t="s">
        <v>522</v>
      </c>
      <c r="B103" s="123" t="s">
        <v>188</v>
      </c>
      <c r="C103" s="125">
        <v>44894.0</v>
      </c>
      <c r="D103" s="73" t="s">
        <v>184</v>
      </c>
      <c r="E103" s="74" t="s">
        <v>523</v>
      </c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22.5" customHeight="1">
      <c r="A104" s="2" t="s">
        <v>524</v>
      </c>
      <c r="B104" s="123" t="s">
        <v>188</v>
      </c>
      <c r="C104" s="124">
        <v>45146.0</v>
      </c>
      <c r="D104" s="73" t="s">
        <v>526</v>
      </c>
      <c r="E104" s="74" t="s">
        <v>527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22.5" customHeight="1">
      <c r="A105" s="2" t="s">
        <v>528</v>
      </c>
      <c r="B105" s="123" t="s">
        <v>188</v>
      </c>
      <c r="C105" s="124">
        <v>45190.0</v>
      </c>
      <c r="D105" s="73" t="s">
        <v>530</v>
      </c>
      <c r="E105" s="74" t="s">
        <v>531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22.5" customHeight="1">
      <c r="A106" s="2" t="s">
        <v>532</v>
      </c>
      <c r="B106" s="123" t="s">
        <v>188</v>
      </c>
      <c r="C106" s="125">
        <v>45244.0</v>
      </c>
      <c r="D106" s="73" t="s">
        <v>533</v>
      </c>
      <c r="E106" s="73" t="s">
        <v>534</v>
      </c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22.5" customHeight="1">
      <c r="A107" s="2" t="s">
        <v>536</v>
      </c>
      <c r="B107" s="123" t="s">
        <v>188</v>
      </c>
      <c r="C107" s="124">
        <v>45461.0</v>
      </c>
      <c r="D107" s="73" t="s">
        <v>537</v>
      </c>
      <c r="E107" s="73" t="s">
        <v>538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22.5" customHeight="1">
      <c r="A108" s="2" t="s">
        <v>539</v>
      </c>
      <c r="B108" s="123" t="s">
        <v>188</v>
      </c>
      <c r="C108" s="124">
        <v>45468.0</v>
      </c>
      <c r="D108" s="73" t="s">
        <v>541</v>
      </c>
      <c r="E108" s="73" t="s">
        <v>542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22.5" customHeight="1">
      <c r="A109" s="2" t="s">
        <v>543</v>
      </c>
      <c r="B109" s="123" t="s">
        <v>207</v>
      </c>
      <c r="C109" s="126">
        <v>42936.0</v>
      </c>
      <c r="D109" s="127" t="s">
        <v>36</v>
      </c>
      <c r="E109" s="127" t="s">
        <v>344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22.5" customHeight="1">
      <c r="A110" s="2" t="s">
        <v>545</v>
      </c>
      <c r="B110" s="123" t="s">
        <v>207</v>
      </c>
      <c r="C110" s="126">
        <v>43131.0</v>
      </c>
      <c r="D110" s="127" t="s">
        <v>52</v>
      </c>
      <c r="E110" s="127" t="s">
        <v>56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22.5" customHeight="1">
      <c r="A111" s="2" t="s">
        <v>547</v>
      </c>
      <c r="B111" s="123" t="s">
        <v>207</v>
      </c>
      <c r="C111" s="126">
        <v>43139.0</v>
      </c>
      <c r="D111" s="127" t="s">
        <v>548</v>
      </c>
      <c r="E111" s="127" t="s">
        <v>549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22.5" customHeight="1">
      <c r="A112" s="2" t="s">
        <v>551</v>
      </c>
      <c r="B112" s="123" t="s">
        <v>207</v>
      </c>
      <c r="C112" s="126">
        <v>43223.0</v>
      </c>
      <c r="D112" s="127" t="s">
        <v>72</v>
      </c>
      <c r="E112" s="127" t="s">
        <v>552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22.5" customHeight="1">
      <c r="A113" s="2" t="s">
        <v>553</v>
      </c>
      <c r="B113" s="123" t="s">
        <v>207</v>
      </c>
      <c r="C113" s="126">
        <v>43227.0</v>
      </c>
      <c r="D113" s="127" t="s">
        <v>83</v>
      </c>
      <c r="E113" s="127" t="s">
        <v>85</v>
      </c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22.5" customHeight="1">
      <c r="A114" s="2" t="s">
        <v>555</v>
      </c>
      <c r="B114" s="123" t="s">
        <v>207</v>
      </c>
      <c r="C114" s="126">
        <v>43250.0</v>
      </c>
      <c r="D114" s="127" t="s">
        <v>91</v>
      </c>
      <c r="E114" s="127" t="s">
        <v>556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22.5" customHeight="1">
      <c r="A115" s="2" t="s">
        <v>557</v>
      </c>
      <c r="B115" s="123" t="s">
        <v>207</v>
      </c>
      <c r="C115" s="126">
        <v>43608.0</v>
      </c>
      <c r="D115" s="127" t="s">
        <v>116</v>
      </c>
      <c r="E115" s="127" t="s">
        <v>559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22.5" customHeight="1">
      <c r="A116" s="2" t="s">
        <v>560</v>
      </c>
      <c r="B116" s="123" t="s">
        <v>207</v>
      </c>
      <c r="C116" s="126">
        <v>45078.0</v>
      </c>
      <c r="D116" s="127" t="s">
        <v>561</v>
      </c>
      <c r="E116" s="127" t="s">
        <v>563</v>
      </c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22.5" customHeight="1">
      <c r="A117" s="2" t="s">
        <v>564</v>
      </c>
      <c r="B117" s="123" t="s">
        <v>216</v>
      </c>
      <c r="C117" s="46">
        <v>42355.0</v>
      </c>
      <c r="D117" s="127" t="s">
        <v>36</v>
      </c>
      <c r="E117" s="127" t="s">
        <v>565</v>
      </c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22.5" customHeight="1">
      <c r="A118" s="2" t="s">
        <v>567</v>
      </c>
      <c r="B118" s="123" t="s">
        <v>216</v>
      </c>
      <c r="C118" s="46">
        <v>42709.0</v>
      </c>
      <c r="D118" s="127" t="s">
        <v>52</v>
      </c>
      <c r="E118" s="127" t="s">
        <v>568</v>
      </c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22.5" customHeight="1">
      <c r="A119" s="2" t="s">
        <v>569</v>
      </c>
      <c r="B119" s="123" t="s">
        <v>216</v>
      </c>
      <c r="C119" s="46">
        <v>42717.0</v>
      </c>
      <c r="D119" s="127" t="s">
        <v>313</v>
      </c>
      <c r="E119" s="127" t="s">
        <v>571</v>
      </c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22.5" customHeight="1">
      <c r="A120" s="2" t="s">
        <v>572</v>
      </c>
      <c r="B120" s="123" t="s">
        <v>216</v>
      </c>
      <c r="C120" s="46">
        <v>42790.0</v>
      </c>
      <c r="D120" s="127" t="s">
        <v>72</v>
      </c>
      <c r="E120" s="127" t="s">
        <v>573</v>
      </c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22.5" customHeight="1">
      <c r="A121" s="2" t="s">
        <v>575</v>
      </c>
      <c r="B121" s="123" t="s">
        <v>216</v>
      </c>
      <c r="C121" s="46">
        <v>42794.0</v>
      </c>
      <c r="D121" s="127" t="s">
        <v>83</v>
      </c>
      <c r="E121" s="127" t="s">
        <v>576</v>
      </c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22.5" customHeight="1">
      <c r="A122" s="2" t="s">
        <v>578</v>
      </c>
      <c r="B122" s="123" t="s">
        <v>216</v>
      </c>
      <c r="C122" s="46">
        <v>42818.0</v>
      </c>
      <c r="D122" s="127" t="s">
        <v>91</v>
      </c>
      <c r="E122" s="127" t="s">
        <v>579</v>
      </c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22.5" customHeight="1">
      <c r="A123" s="2" t="s">
        <v>580</v>
      </c>
      <c r="B123" s="123" t="s">
        <v>216</v>
      </c>
      <c r="C123" s="126">
        <v>43161.0</v>
      </c>
      <c r="D123" s="127" t="s">
        <v>116</v>
      </c>
      <c r="E123" s="127" t="s">
        <v>582</v>
      </c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22.5" customHeight="1">
      <c r="A124" s="2" t="s">
        <v>583</v>
      </c>
      <c r="B124" s="123" t="s">
        <v>216</v>
      </c>
      <c r="C124" s="126">
        <v>43413.0</v>
      </c>
      <c r="D124" s="127" t="s">
        <v>584</v>
      </c>
      <c r="E124" s="127" t="s">
        <v>585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22.5" customHeight="1">
      <c r="A125" s="2" t="s">
        <v>587</v>
      </c>
      <c r="B125" s="123" t="s">
        <v>216</v>
      </c>
      <c r="C125" s="46">
        <v>44889.0</v>
      </c>
      <c r="D125" s="127" t="s">
        <v>370</v>
      </c>
      <c r="E125" s="127" t="s">
        <v>588</v>
      </c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22.5" customHeight="1">
      <c r="A126" s="2" t="s">
        <v>589</v>
      </c>
      <c r="B126" s="123" t="s">
        <v>216</v>
      </c>
      <c r="C126" s="46">
        <v>43266.0</v>
      </c>
      <c r="D126" s="127" t="s">
        <v>198</v>
      </c>
      <c r="E126" s="127" t="s">
        <v>591</v>
      </c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22.5" customHeight="1">
      <c r="A127" s="2" t="s">
        <v>592</v>
      </c>
      <c r="B127" s="128" t="s">
        <v>239</v>
      </c>
      <c r="C127" s="129">
        <v>43007.0</v>
      </c>
      <c r="D127" s="130" t="s">
        <v>36</v>
      </c>
      <c r="E127" s="131" t="s">
        <v>38</v>
      </c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22.5" customHeight="1">
      <c r="A128" s="2" t="s">
        <v>595</v>
      </c>
      <c r="B128" s="132" t="s">
        <v>239</v>
      </c>
      <c r="C128" s="133">
        <v>43186.0</v>
      </c>
      <c r="D128" s="134" t="s">
        <v>52</v>
      </c>
      <c r="E128" s="135" t="s">
        <v>56</v>
      </c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22.5" customHeight="1">
      <c r="A129" s="2" t="s">
        <v>597</v>
      </c>
      <c r="B129" s="128" t="s">
        <v>239</v>
      </c>
      <c r="C129" s="129">
        <v>43196.0</v>
      </c>
      <c r="D129" s="130" t="s">
        <v>66</v>
      </c>
      <c r="E129" s="131" t="s">
        <v>598</v>
      </c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22.5" customHeight="1">
      <c r="A130" s="2" t="s">
        <v>600</v>
      </c>
      <c r="B130" s="132" t="s">
        <v>239</v>
      </c>
      <c r="C130" s="133">
        <v>43271.0</v>
      </c>
      <c r="D130" s="134" t="s">
        <v>72</v>
      </c>
      <c r="E130" s="135" t="s">
        <v>601</v>
      </c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22.5" customHeight="1">
      <c r="A131" s="2" t="s">
        <v>602</v>
      </c>
      <c r="B131" s="128" t="s">
        <v>239</v>
      </c>
      <c r="C131" s="129">
        <v>43278.0</v>
      </c>
      <c r="D131" s="130" t="s">
        <v>83</v>
      </c>
      <c r="E131" s="131" t="s">
        <v>85</v>
      </c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22.5" customHeight="1">
      <c r="A132" s="2" t="s">
        <v>604</v>
      </c>
      <c r="B132" s="132" t="s">
        <v>239</v>
      </c>
      <c r="C132" s="133">
        <v>43299.0</v>
      </c>
      <c r="D132" s="134" t="s">
        <v>91</v>
      </c>
      <c r="E132" s="135" t="s">
        <v>606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22.5" customHeight="1">
      <c r="A133" s="2" t="s">
        <v>607</v>
      </c>
      <c r="B133" s="128" t="s">
        <v>239</v>
      </c>
      <c r="C133" s="129">
        <v>43725.0</v>
      </c>
      <c r="D133" s="130" t="s">
        <v>116</v>
      </c>
      <c r="E133" s="131" t="s">
        <v>608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22.5" customHeight="1">
      <c r="A134" s="2" t="s">
        <v>610</v>
      </c>
      <c r="B134" s="132" t="s">
        <v>239</v>
      </c>
      <c r="C134" s="133">
        <v>43790.0</v>
      </c>
      <c r="D134" s="134" t="s">
        <v>130</v>
      </c>
      <c r="E134" s="135" t="s">
        <v>611</v>
      </c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22.5" customHeight="1">
      <c r="A135" s="2" t="s">
        <v>612</v>
      </c>
      <c r="B135" s="128" t="s">
        <v>239</v>
      </c>
      <c r="C135" s="129">
        <v>44278.0</v>
      </c>
      <c r="D135" s="130" t="s">
        <v>137</v>
      </c>
      <c r="E135" s="131" t="s">
        <v>614</v>
      </c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22.5" customHeight="1">
      <c r="A136" s="2" t="s">
        <v>616</v>
      </c>
      <c r="B136" s="132" t="s">
        <v>239</v>
      </c>
      <c r="C136" s="133">
        <v>44278.0</v>
      </c>
      <c r="D136" s="134" t="s">
        <v>146</v>
      </c>
      <c r="E136" s="135" t="s">
        <v>617</v>
      </c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22.5" customHeight="1">
      <c r="A137" s="2" t="s">
        <v>619</v>
      </c>
      <c r="B137" s="128" t="s">
        <v>239</v>
      </c>
      <c r="C137" s="129">
        <v>44658.0</v>
      </c>
      <c r="D137" s="130" t="s">
        <v>442</v>
      </c>
      <c r="E137" s="131" t="s">
        <v>620</v>
      </c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22.5" customHeight="1">
      <c r="A138" s="2" t="s">
        <v>621</v>
      </c>
      <c r="B138" s="132" t="s">
        <v>239</v>
      </c>
      <c r="C138" s="133">
        <v>44658.0</v>
      </c>
      <c r="D138" s="134" t="s">
        <v>160</v>
      </c>
      <c r="E138" s="135" t="s">
        <v>623</v>
      </c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22.5" customHeight="1">
      <c r="A139" s="2" t="s">
        <v>624</v>
      </c>
      <c r="B139" s="128" t="s">
        <v>239</v>
      </c>
      <c r="C139" s="129">
        <v>44761.0</v>
      </c>
      <c r="D139" s="130" t="s">
        <v>626</v>
      </c>
      <c r="E139" s="131" t="s">
        <v>627</v>
      </c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22.5" customHeight="1">
      <c r="A140" s="2" t="s">
        <v>628</v>
      </c>
      <c r="B140" s="132" t="s">
        <v>239</v>
      </c>
      <c r="C140" s="133">
        <v>44896.0</v>
      </c>
      <c r="D140" s="134" t="s">
        <v>192</v>
      </c>
      <c r="E140" s="135" t="s">
        <v>630</v>
      </c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22.5" customHeight="1">
      <c r="A141" s="2" t="s">
        <v>631</v>
      </c>
      <c r="B141" s="128" t="s">
        <v>239</v>
      </c>
      <c r="C141" s="129">
        <v>45008.0</v>
      </c>
      <c r="D141" s="130" t="s">
        <v>632</v>
      </c>
      <c r="E141" s="131" t="s">
        <v>634</v>
      </c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22.5" customHeight="1">
      <c r="A142" s="2" t="s">
        <v>635</v>
      </c>
      <c r="B142" s="132" t="s">
        <v>239</v>
      </c>
      <c r="C142" s="133">
        <v>45181.0</v>
      </c>
      <c r="D142" s="134" t="s">
        <v>561</v>
      </c>
      <c r="E142" s="135" t="s">
        <v>636</v>
      </c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22.5" customHeight="1">
      <c r="A143" s="2" t="s">
        <v>638</v>
      </c>
      <c r="B143" s="128" t="s">
        <v>239</v>
      </c>
      <c r="C143" s="129">
        <v>45272.0</v>
      </c>
      <c r="D143" s="130" t="s">
        <v>639</v>
      </c>
      <c r="E143" s="131" t="s">
        <v>640</v>
      </c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22.5" customHeight="1">
      <c r="A144" s="2" t="s">
        <v>642</v>
      </c>
      <c r="B144" s="132" t="s">
        <v>239</v>
      </c>
      <c r="C144" s="133">
        <v>45351.0</v>
      </c>
      <c r="D144" s="134" t="s">
        <v>643</v>
      </c>
      <c r="E144" s="135" t="s">
        <v>644</v>
      </c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22.5" customHeight="1">
      <c r="A145" s="2" t="s">
        <v>645</v>
      </c>
      <c r="B145" s="10" t="s">
        <v>239</v>
      </c>
      <c r="C145" s="136">
        <v>45372.0</v>
      </c>
      <c r="D145" s="12" t="s">
        <v>647</v>
      </c>
      <c r="E145" s="12" t="s">
        <v>648</v>
      </c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22.5" customHeight="1">
      <c r="A146" s="137" t="s">
        <v>649</v>
      </c>
      <c r="B146" s="137" t="s">
        <v>245</v>
      </c>
      <c r="C146" s="13">
        <v>45330.0</v>
      </c>
      <c r="D146" s="14" t="s">
        <v>457</v>
      </c>
      <c r="E146" s="14" t="s">
        <v>652</v>
      </c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22.5" customHeight="1">
      <c r="A147" s="137" t="s">
        <v>654</v>
      </c>
      <c r="B147" s="137" t="s">
        <v>245</v>
      </c>
      <c r="C147" s="13">
        <v>45330.0</v>
      </c>
      <c r="D147" s="14" t="s">
        <v>655</v>
      </c>
      <c r="E147" s="14" t="s">
        <v>656</v>
      </c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22.5" customHeight="1">
      <c r="A148" s="137" t="s">
        <v>657</v>
      </c>
      <c r="B148" s="137" t="s">
        <v>245</v>
      </c>
      <c r="C148" s="13">
        <v>45267.0</v>
      </c>
      <c r="D148" s="14" t="s">
        <v>442</v>
      </c>
      <c r="E148" s="14" t="s">
        <v>659</v>
      </c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22.5" customHeight="1">
      <c r="A149" s="137" t="s">
        <v>660</v>
      </c>
      <c r="B149" s="137" t="s">
        <v>245</v>
      </c>
      <c r="C149" s="13">
        <v>45146.0</v>
      </c>
      <c r="D149" s="14" t="s">
        <v>177</v>
      </c>
      <c r="E149" s="14" t="s">
        <v>662</v>
      </c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22.5" customHeight="1">
      <c r="A150" s="137" t="s">
        <v>663</v>
      </c>
      <c r="B150" s="137" t="s">
        <v>245</v>
      </c>
      <c r="C150" s="13">
        <v>44896.0</v>
      </c>
      <c r="D150" s="14" t="s">
        <v>626</v>
      </c>
      <c r="E150" s="14" t="s">
        <v>664</v>
      </c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22.5" customHeight="1">
      <c r="A151" s="137" t="s">
        <v>665</v>
      </c>
      <c r="B151" s="137" t="s">
        <v>245</v>
      </c>
      <c r="C151" s="13">
        <v>44798.0</v>
      </c>
      <c r="D151" s="14" t="s">
        <v>160</v>
      </c>
      <c r="E151" s="14" t="s">
        <v>667</v>
      </c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22.5" customHeight="1">
      <c r="A152" s="137" t="s">
        <v>668</v>
      </c>
      <c r="B152" s="137" t="s">
        <v>245</v>
      </c>
      <c r="C152" s="13">
        <v>44798.0</v>
      </c>
      <c r="D152" s="14" t="s">
        <v>151</v>
      </c>
      <c r="E152" s="14" t="s">
        <v>670</v>
      </c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22.5" customHeight="1">
      <c r="A153" s="137" t="s">
        <v>671</v>
      </c>
      <c r="B153" s="137" t="s">
        <v>245</v>
      </c>
      <c r="C153" s="13">
        <v>44621.0</v>
      </c>
      <c r="D153" s="14" t="s">
        <v>160</v>
      </c>
      <c r="E153" s="14" t="s">
        <v>672</v>
      </c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22.5" customHeight="1">
      <c r="A154" s="137" t="s">
        <v>674</v>
      </c>
      <c r="B154" s="137" t="s">
        <v>245</v>
      </c>
      <c r="C154" s="13">
        <v>44621.0</v>
      </c>
      <c r="D154" s="14" t="s">
        <v>151</v>
      </c>
      <c r="E154" s="14" t="s">
        <v>675</v>
      </c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22.5" customHeight="1">
      <c r="A155" s="137" t="s">
        <v>676</v>
      </c>
      <c r="B155" s="137" t="s">
        <v>245</v>
      </c>
      <c r="C155" s="13">
        <v>44299.0</v>
      </c>
      <c r="D155" s="14" t="s">
        <v>146</v>
      </c>
      <c r="E155" s="14" t="s">
        <v>678</v>
      </c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22.5" customHeight="1">
      <c r="A156" s="137" t="s">
        <v>679</v>
      </c>
      <c r="B156" s="137" t="s">
        <v>245</v>
      </c>
      <c r="C156" s="13">
        <v>44299.0</v>
      </c>
      <c r="D156" s="14" t="s">
        <v>137</v>
      </c>
      <c r="E156" s="14" t="s">
        <v>681</v>
      </c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22.5" customHeight="1">
      <c r="A157" s="137" t="s">
        <v>682</v>
      </c>
      <c r="B157" s="137" t="s">
        <v>245</v>
      </c>
      <c r="C157" s="13">
        <v>44168.0</v>
      </c>
      <c r="D157" s="14" t="s">
        <v>502</v>
      </c>
      <c r="E157" s="14" t="s">
        <v>683</v>
      </c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22.5" customHeight="1">
      <c r="A158" s="137" t="s">
        <v>685</v>
      </c>
      <c r="B158" s="137" t="s">
        <v>245</v>
      </c>
      <c r="C158" s="13">
        <v>43788.0</v>
      </c>
      <c r="D158" s="14" t="s">
        <v>130</v>
      </c>
      <c r="E158" s="14" t="s">
        <v>686</v>
      </c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22.5" customHeight="1">
      <c r="A159" s="137" t="s">
        <v>688</v>
      </c>
      <c r="B159" s="137" t="s">
        <v>245</v>
      </c>
      <c r="C159" s="13">
        <v>43788.0</v>
      </c>
      <c r="D159" s="14" t="s">
        <v>122</v>
      </c>
      <c r="E159" s="14" t="s">
        <v>689</v>
      </c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22.5" customHeight="1">
      <c r="A160" s="137" t="s">
        <v>690</v>
      </c>
      <c r="B160" s="137" t="s">
        <v>245</v>
      </c>
      <c r="C160" s="13">
        <v>43559.0</v>
      </c>
      <c r="D160" s="14" t="s">
        <v>692</v>
      </c>
      <c r="E160" s="14" t="s">
        <v>693</v>
      </c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22.5" customHeight="1">
      <c r="A161" s="137" t="s">
        <v>694</v>
      </c>
      <c r="B161" s="137" t="s">
        <v>245</v>
      </c>
      <c r="C161" s="13">
        <v>43403.0</v>
      </c>
      <c r="D161" s="14" t="s">
        <v>428</v>
      </c>
      <c r="E161" s="14" t="s">
        <v>696</v>
      </c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22.5" customHeight="1">
      <c r="A162" s="137" t="s">
        <v>697</v>
      </c>
      <c r="B162" s="137" t="s">
        <v>245</v>
      </c>
      <c r="C162" s="13">
        <v>43403.0</v>
      </c>
      <c r="D162" s="14" t="s">
        <v>432</v>
      </c>
      <c r="E162" s="14" t="s">
        <v>698</v>
      </c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22.5" customHeight="1">
      <c r="A163" s="137" t="s">
        <v>700</v>
      </c>
      <c r="B163" s="137" t="s">
        <v>245</v>
      </c>
      <c r="C163" s="13">
        <v>43017.0</v>
      </c>
      <c r="D163" s="14" t="s">
        <v>91</v>
      </c>
      <c r="E163" s="14" t="s">
        <v>701</v>
      </c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22.5" customHeight="1">
      <c r="A164" s="137" t="s">
        <v>702</v>
      </c>
      <c r="B164" s="137" t="s">
        <v>245</v>
      </c>
      <c r="C164" s="13">
        <v>43003.0</v>
      </c>
      <c r="D164" s="14" t="s">
        <v>83</v>
      </c>
      <c r="E164" s="14" t="s">
        <v>704</v>
      </c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22.5" customHeight="1">
      <c r="A165" s="137" t="s">
        <v>705</v>
      </c>
      <c r="B165" s="137" t="s">
        <v>245</v>
      </c>
      <c r="C165" s="13">
        <v>42999.0</v>
      </c>
      <c r="D165" s="14" t="s">
        <v>419</v>
      </c>
      <c r="E165" s="14" t="s">
        <v>707</v>
      </c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22.5" customHeight="1">
      <c r="A166" s="137" t="s">
        <v>708</v>
      </c>
      <c r="B166" s="137" t="s">
        <v>245</v>
      </c>
      <c r="C166" s="13">
        <v>42914.0</v>
      </c>
      <c r="D166" s="14" t="s">
        <v>66</v>
      </c>
      <c r="E166" s="14" t="s">
        <v>709</v>
      </c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22.5" customHeight="1">
      <c r="A167" s="137" t="s">
        <v>711</v>
      </c>
      <c r="B167" s="137" t="s">
        <v>245</v>
      </c>
      <c r="C167" s="13">
        <v>42905.0</v>
      </c>
      <c r="D167" s="14" t="s">
        <v>52</v>
      </c>
      <c r="E167" s="14" t="s">
        <v>56</v>
      </c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22.5" customHeight="1">
      <c r="A168" s="137" t="s">
        <v>712</v>
      </c>
      <c r="B168" s="137" t="s">
        <v>245</v>
      </c>
      <c r="C168" s="13">
        <v>42571.0</v>
      </c>
      <c r="D168" s="14" t="s">
        <v>36</v>
      </c>
      <c r="E168" s="14" t="s">
        <v>412</v>
      </c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22.5" customHeight="1">
      <c r="A169" s="2" t="s">
        <v>714</v>
      </c>
      <c r="B169" s="2" t="s">
        <v>268</v>
      </c>
      <c r="C169" s="13">
        <v>43007.0</v>
      </c>
      <c r="D169" s="14" t="s">
        <v>36</v>
      </c>
      <c r="E169" s="14" t="s">
        <v>38</v>
      </c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22.5" customHeight="1">
      <c r="A170" s="2" t="s">
        <v>716</v>
      </c>
      <c r="B170" s="2" t="s">
        <v>268</v>
      </c>
      <c r="C170" s="13">
        <v>43186.0</v>
      </c>
      <c r="D170" s="14" t="s">
        <v>52</v>
      </c>
      <c r="E170" s="14" t="s">
        <v>717</v>
      </c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22.5" customHeight="1">
      <c r="A171" s="2" t="s">
        <v>718</v>
      </c>
      <c r="B171" s="2" t="s">
        <v>268</v>
      </c>
      <c r="C171" s="13">
        <v>43196.0</v>
      </c>
      <c r="D171" s="14" t="s">
        <v>66</v>
      </c>
      <c r="E171" s="14" t="s">
        <v>720</v>
      </c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22.5" customHeight="1">
      <c r="A172" s="2" t="s">
        <v>721</v>
      </c>
      <c r="B172" s="2" t="s">
        <v>268</v>
      </c>
      <c r="C172" s="13">
        <v>43271.0</v>
      </c>
      <c r="D172" s="14" t="s">
        <v>722</v>
      </c>
      <c r="E172" s="14" t="s">
        <v>723</v>
      </c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22.5" customHeight="1">
      <c r="A173" s="2" t="s">
        <v>725</v>
      </c>
      <c r="B173" s="2" t="s">
        <v>268</v>
      </c>
      <c r="C173" s="13">
        <v>43278.0</v>
      </c>
      <c r="D173" s="14" t="s">
        <v>83</v>
      </c>
      <c r="E173" s="14" t="s">
        <v>726</v>
      </c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22.5" customHeight="1">
      <c r="A174" s="2" t="s">
        <v>728</v>
      </c>
      <c r="B174" s="2" t="s">
        <v>268</v>
      </c>
      <c r="C174" s="13">
        <v>43299.0</v>
      </c>
      <c r="D174" s="14" t="s">
        <v>91</v>
      </c>
      <c r="E174" s="14" t="s">
        <v>729</v>
      </c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22.5" customHeight="1">
      <c r="A175" s="2" t="s">
        <v>730</v>
      </c>
      <c r="B175" s="2" t="s">
        <v>268</v>
      </c>
      <c r="C175" s="13">
        <v>43727.0</v>
      </c>
      <c r="D175" s="14" t="s">
        <v>100</v>
      </c>
      <c r="E175" s="14" t="s">
        <v>732</v>
      </c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22.5" customHeight="1">
      <c r="A176" s="2" t="s">
        <v>733</v>
      </c>
      <c r="B176" s="2" t="s">
        <v>268</v>
      </c>
      <c r="C176" s="13">
        <v>43727.0</v>
      </c>
      <c r="D176" s="14" t="s">
        <v>734</v>
      </c>
      <c r="E176" s="14" t="s">
        <v>735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22.5" customHeight="1">
      <c r="A177" s="2" t="s">
        <v>737</v>
      </c>
      <c r="B177" s="2" t="s">
        <v>268</v>
      </c>
      <c r="C177" s="13">
        <v>43727.0</v>
      </c>
      <c r="D177" s="14" t="s">
        <v>116</v>
      </c>
      <c r="E177" s="14" t="s">
        <v>738</v>
      </c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22.5" customHeight="1">
      <c r="A178" s="2" t="s">
        <v>740</v>
      </c>
      <c r="B178" s="2" t="s">
        <v>268</v>
      </c>
      <c r="C178" s="13">
        <v>43755.0</v>
      </c>
      <c r="D178" s="14" t="s">
        <v>401</v>
      </c>
      <c r="E178" s="14" t="s">
        <v>741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22.5" customHeight="1">
      <c r="A179" s="2" t="s">
        <v>742</v>
      </c>
      <c r="B179" s="2" t="s">
        <v>268</v>
      </c>
      <c r="C179" s="13">
        <v>43755.0</v>
      </c>
      <c r="D179" s="14" t="s">
        <v>495</v>
      </c>
      <c r="E179" s="14" t="s">
        <v>743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22.5" customHeight="1">
      <c r="A180" s="2" t="s">
        <v>745</v>
      </c>
      <c r="B180" s="2" t="s">
        <v>268</v>
      </c>
      <c r="C180" s="13">
        <v>44145.0</v>
      </c>
      <c r="D180" s="14" t="s">
        <v>502</v>
      </c>
      <c r="E180" s="14" t="s">
        <v>746</v>
      </c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22.5" customHeight="1">
      <c r="A181" s="2" t="s">
        <v>747</v>
      </c>
      <c r="B181" s="2" t="s">
        <v>268</v>
      </c>
      <c r="C181" s="13">
        <v>44217.0</v>
      </c>
      <c r="D181" s="14" t="s">
        <v>137</v>
      </c>
      <c r="E181" s="14" t="s">
        <v>749</v>
      </c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22.5" customHeight="1">
      <c r="A182" s="2" t="s">
        <v>750</v>
      </c>
      <c r="B182" s="2" t="s">
        <v>268</v>
      </c>
      <c r="C182" s="13">
        <v>44217.0</v>
      </c>
      <c r="D182" s="14" t="s">
        <v>146</v>
      </c>
      <c r="E182" s="14" t="s">
        <v>751</v>
      </c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22.5" customHeight="1">
      <c r="A183" s="2" t="s">
        <v>753</v>
      </c>
      <c r="B183" s="2" t="s">
        <v>268</v>
      </c>
      <c r="C183" s="13">
        <v>44768.0</v>
      </c>
      <c r="D183" s="14" t="s">
        <v>177</v>
      </c>
      <c r="E183" s="14" t="s">
        <v>754</v>
      </c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22.5" customHeight="1">
      <c r="A184" s="2" t="s">
        <v>755</v>
      </c>
      <c r="B184" s="2" t="s">
        <v>268</v>
      </c>
      <c r="C184" s="13">
        <v>44887.0</v>
      </c>
      <c r="D184" s="14" t="s">
        <v>151</v>
      </c>
      <c r="E184" s="14" t="s">
        <v>757</v>
      </c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22.5" customHeight="1">
      <c r="A185" s="2" t="s">
        <v>758</v>
      </c>
      <c r="B185" s="2" t="s">
        <v>268</v>
      </c>
      <c r="C185" s="13">
        <v>44887.0</v>
      </c>
      <c r="D185" s="14" t="s">
        <v>160</v>
      </c>
      <c r="E185" s="14" t="s">
        <v>759</v>
      </c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22.5" customHeight="1">
      <c r="A186" s="2" t="s">
        <v>761</v>
      </c>
      <c r="B186" s="2" t="s">
        <v>268</v>
      </c>
      <c r="C186" s="13">
        <v>44910.0</v>
      </c>
      <c r="D186" s="14" t="s">
        <v>442</v>
      </c>
      <c r="E186" s="14" t="s">
        <v>762</v>
      </c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22.5" customHeight="1">
      <c r="A187" s="2" t="s">
        <v>763</v>
      </c>
      <c r="B187" s="2" t="s">
        <v>268</v>
      </c>
      <c r="C187" s="13">
        <v>45148.0</v>
      </c>
      <c r="D187" s="14" t="s">
        <v>626</v>
      </c>
      <c r="E187" s="14" t="s">
        <v>765</v>
      </c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22.5" customHeight="1">
      <c r="A188" s="2" t="s">
        <v>766</v>
      </c>
      <c r="B188" s="2" t="s">
        <v>268</v>
      </c>
      <c r="C188" s="13">
        <v>45153.0</v>
      </c>
      <c r="D188" s="14" t="s">
        <v>184</v>
      </c>
      <c r="E188" s="14" t="s">
        <v>767</v>
      </c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22.5" customHeight="1">
      <c r="A189" s="2" t="s">
        <v>768</v>
      </c>
      <c r="B189" s="2" t="s">
        <v>268</v>
      </c>
      <c r="C189" s="13">
        <v>45153.0</v>
      </c>
      <c r="D189" s="14" t="s">
        <v>192</v>
      </c>
      <c r="E189" s="14" t="s">
        <v>770</v>
      </c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22.5" customHeight="1">
      <c r="A190" s="2" t="s">
        <v>771</v>
      </c>
      <c r="B190" s="2" t="s">
        <v>268</v>
      </c>
      <c r="C190" s="13">
        <v>45181.0</v>
      </c>
      <c r="D190" s="14" t="s">
        <v>561</v>
      </c>
      <c r="E190" s="14" t="s">
        <v>773</v>
      </c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22.5" customHeight="1">
      <c r="A191" s="2" t="s">
        <v>774</v>
      </c>
      <c r="B191" s="2" t="s">
        <v>268</v>
      </c>
      <c r="C191" s="13">
        <v>45239.0</v>
      </c>
      <c r="D191" s="14" t="s">
        <v>457</v>
      </c>
      <c r="E191" s="14" t="s">
        <v>775</v>
      </c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22.5" customHeight="1">
      <c r="A192" s="2" t="s">
        <v>776</v>
      </c>
      <c r="B192" s="37" t="s">
        <v>292</v>
      </c>
      <c r="C192" s="46">
        <v>43007.0</v>
      </c>
      <c r="D192" s="138" t="s">
        <v>778</v>
      </c>
      <c r="E192" s="139" t="s">
        <v>779</v>
      </c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22.5" customHeight="1">
      <c r="A193" s="2" t="s">
        <v>780</v>
      </c>
      <c r="B193" s="37" t="s">
        <v>292</v>
      </c>
      <c r="C193" s="46">
        <v>43186.0</v>
      </c>
      <c r="D193" s="138" t="s">
        <v>782</v>
      </c>
      <c r="E193" s="139" t="s">
        <v>783</v>
      </c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22.5" customHeight="1">
      <c r="A194" s="2" t="s">
        <v>784</v>
      </c>
      <c r="B194" s="37" t="s">
        <v>292</v>
      </c>
      <c r="C194" s="46">
        <v>43196.0</v>
      </c>
      <c r="D194" s="138" t="s">
        <v>785</v>
      </c>
      <c r="E194" s="139" t="s">
        <v>787</v>
      </c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22.5" customHeight="1">
      <c r="A195" s="2" t="s">
        <v>788</v>
      </c>
      <c r="B195" s="37" t="s">
        <v>292</v>
      </c>
      <c r="C195" s="46">
        <v>43271.0</v>
      </c>
      <c r="D195" s="138" t="s">
        <v>789</v>
      </c>
      <c r="E195" s="139" t="s">
        <v>790</v>
      </c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22.5" customHeight="1">
      <c r="A196" s="2" t="s">
        <v>791</v>
      </c>
      <c r="B196" s="37" t="s">
        <v>292</v>
      </c>
      <c r="C196" s="46">
        <v>43278.0</v>
      </c>
      <c r="D196" s="138" t="s">
        <v>83</v>
      </c>
      <c r="E196" s="139" t="s">
        <v>793</v>
      </c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22.5" customHeight="1">
      <c r="A197" s="2" t="s">
        <v>794</v>
      </c>
      <c r="B197" s="37" t="s">
        <v>292</v>
      </c>
      <c r="C197" s="46">
        <v>43299.0</v>
      </c>
      <c r="D197" s="138" t="s">
        <v>795</v>
      </c>
      <c r="E197" s="139" t="s">
        <v>796</v>
      </c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22.5" customHeight="1">
      <c r="A198" s="2" t="s">
        <v>798</v>
      </c>
      <c r="B198" s="37" t="s">
        <v>292</v>
      </c>
      <c r="C198" s="46">
        <v>43727.0</v>
      </c>
      <c r="D198" s="138" t="s">
        <v>116</v>
      </c>
      <c r="E198" s="139" t="s">
        <v>799</v>
      </c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22.5" customHeight="1">
      <c r="A199" s="2" t="s">
        <v>800</v>
      </c>
      <c r="B199" s="37" t="s">
        <v>292</v>
      </c>
      <c r="C199" s="46">
        <v>43727.0</v>
      </c>
      <c r="D199" s="138" t="s">
        <v>802</v>
      </c>
      <c r="E199" s="139" t="s">
        <v>803</v>
      </c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22.5" customHeight="1">
      <c r="A200" s="2" t="s">
        <v>804</v>
      </c>
      <c r="B200" s="37" t="s">
        <v>292</v>
      </c>
      <c r="C200" s="46">
        <v>43727.0</v>
      </c>
      <c r="D200" s="138" t="s">
        <v>805</v>
      </c>
      <c r="E200" s="139" t="s">
        <v>807</v>
      </c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22.5" customHeight="1">
      <c r="A201" s="2" t="s">
        <v>808</v>
      </c>
      <c r="B201" s="37" t="s">
        <v>292</v>
      </c>
      <c r="C201" s="46">
        <v>43761.0</v>
      </c>
      <c r="D201" s="138" t="s">
        <v>122</v>
      </c>
      <c r="E201" s="139" t="s">
        <v>809</v>
      </c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22.5" customHeight="1">
      <c r="A202" s="2" t="s">
        <v>811</v>
      </c>
      <c r="B202" s="37" t="s">
        <v>292</v>
      </c>
      <c r="C202" s="46">
        <v>43761.0</v>
      </c>
      <c r="D202" s="138" t="s">
        <v>812</v>
      </c>
      <c r="E202" s="139" t="s">
        <v>813</v>
      </c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22.5" customHeight="1">
      <c r="A203" s="2" t="s">
        <v>814</v>
      </c>
      <c r="B203" s="37" t="s">
        <v>292</v>
      </c>
      <c r="C203" s="46">
        <v>44252.0</v>
      </c>
      <c r="D203" s="138" t="s">
        <v>816</v>
      </c>
      <c r="E203" s="139" t="s">
        <v>817</v>
      </c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22.5" customHeight="1">
      <c r="A204" s="2" t="s">
        <v>818</v>
      </c>
      <c r="B204" s="37" t="s">
        <v>292</v>
      </c>
      <c r="C204" s="46">
        <v>44252.0</v>
      </c>
      <c r="D204" s="138" t="s">
        <v>146</v>
      </c>
      <c r="E204" s="139" t="s">
        <v>819</v>
      </c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22.5" customHeight="1">
      <c r="A205" s="2" t="s">
        <v>821</v>
      </c>
      <c r="B205" s="37" t="s">
        <v>292</v>
      </c>
      <c r="C205" s="46">
        <v>44614.0</v>
      </c>
      <c r="D205" s="138" t="s">
        <v>822</v>
      </c>
      <c r="E205" s="139" t="s">
        <v>823</v>
      </c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22.5" customHeight="1">
      <c r="A206" s="2" t="s">
        <v>824</v>
      </c>
      <c r="B206" s="37" t="s">
        <v>292</v>
      </c>
      <c r="C206" s="46">
        <v>44614.0</v>
      </c>
      <c r="D206" s="138" t="s">
        <v>160</v>
      </c>
      <c r="E206" s="139" t="s">
        <v>826</v>
      </c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22.5" customHeight="1">
      <c r="A207" s="2" t="s">
        <v>827</v>
      </c>
      <c r="B207" s="37" t="s">
        <v>292</v>
      </c>
      <c r="C207" s="46">
        <v>44875.0</v>
      </c>
      <c r="D207" s="138" t="s">
        <v>828</v>
      </c>
      <c r="E207" s="139" t="s">
        <v>830</v>
      </c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22.5" customHeight="1">
      <c r="A208" s="2" t="s">
        <v>831</v>
      </c>
      <c r="B208" s="37" t="s">
        <v>292</v>
      </c>
      <c r="C208" s="46">
        <v>44875.0</v>
      </c>
      <c r="D208" s="138" t="s">
        <v>192</v>
      </c>
      <c r="E208" s="139" t="s">
        <v>832</v>
      </c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ht="22.5" customHeight="1">
      <c r="A209" s="2" t="s">
        <v>834</v>
      </c>
      <c r="B209" s="37" t="s">
        <v>292</v>
      </c>
      <c r="C209" s="46">
        <v>45209.0</v>
      </c>
      <c r="D209" s="138" t="s">
        <v>835</v>
      </c>
      <c r="E209" s="139" t="s">
        <v>836</v>
      </c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</row>
    <row r="210" ht="22.5" customHeight="1">
      <c r="A210" s="2" t="s">
        <v>837</v>
      </c>
      <c r="B210" s="2" t="s">
        <v>317</v>
      </c>
      <c r="C210" s="129">
        <v>43131.0</v>
      </c>
      <c r="D210" s="130" t="s">
        <v>52</v>
      </c>
      <c r="E210" s="131" t="s">
        <v>56</v>
      </c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22.5" customHeight="1">
      <c r="A211" s="2" t="s">
        <v>839</v>
      </c>
      <c r="B211" s="2" t="s">
        <v>317</v>
      </c>
      <c r="C211" s="133">
        <v>43139.0</v>
      </c>
      <c r="D211" s="134" t="s">
        <v>66</v>
      </c>
      <c r="E211" s="135" t="s">
        <v>549</v>
      </c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22.5" customHeight="1">
      <c r="A212" s="2" t="s">
        <v>841</v>
      </c>
      <c r="B212" s="2" t="s">
        <v>317</v>
      </c>
      <c r="C212" s="129">
        <v>43223.0</v>
      </c>
      <c r="D212" s="130" t="s">
        <v>72</v>
      </c>
      <c r="E212" s="131" t="s">
        <v>842</v>
      </c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22.5" customHeight="1">
      <c r="A213" s="2" t="s">
        <v>844</v>
      </c>
      <c r="B213" s="2" t="s">
        <v>317</v>
      </c>
      <c r="C213" s="133">
        <v>43227.0</v>
      </c>
      <c r="D213" s="134" t="s">
        <v>83</v>
      </c>
      <c r="E213" s="135" t="s">
        <v>85</v>
      </c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22.5" customHeight="1">
      <c r="A214" s="2" t="s">
        <v>846</v>
      </c>
      <c r="B214" s="2" t="s">
        <v>317</v>
      </c>
      <c r="C214" s="129">
        <v>43250.0</v>
      </c>
      <c r="D214" s="130" t="s">
        <v>91</v>
      </c>
      <c r="E214" s="131" t="s">
        <v>847</v>
      </c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22.5" customHeight="1">
      <c r="A215" s="2" t="s">
        <v>848</v>
      </c>
      <c r="B215" s="2" t="s">
        <v>317</v>
      </c>
      <c r="C215" s="133">
        <v>43664.0</v>
      </c>
      <c r="D215" s="134" t="s">
        <v>116</v>
      </c>
      <c r="E215" s="135" t="s">
        <v>850</v>
      </c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22.5" customHeight="1">
      <c r="A216" s="2" t="s">
        <v>851</v>
      </c>
      <c r="B216" s="2" t="s">
        <v>317</v>
      </c>
      <c r="C216" s="141">
        <v>45127.0</v>
      </c>
      <c r="D216" s="142" t="s">
        <v>561</v>
      </c>
      <c r="E216" s="143" t="s">
        <v>853</v>
      </c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144"/>
      <c r="B217" s="144"/>
      <c r="C217" s="144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144"/>
      <c r="B218" s="144"/>
      <c r="C218" s="144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144"/>
      <c r="B219" s="144"/>
      <c r="C219" s="144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144"/>
      <c r="B220" s="144"/>
      <c r="C220" s="144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144"/>
      <c r="B221" s="144"/>
      <c r="C221" s="144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144"/>
      <c r="B222" s="144"/>
      <c r="C222" s="144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144"/>
      <c r="B223" s="144"/>
      <c r="C223" s="144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144"/>
      <c r="B224" s="144"/>
      <c r="C224" s="144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144"/>
      <c r="B225" s="144"/>
      <c r="C225" s="144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144"/>
      <c r="B226" s="144"/>
      <c r="C226" s="144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144"/>
      <c r="B227" s="144"/>
      <c r="C227" s="144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144"/>
      <c r="B228" s="144"/>
      <c r="C228" s="144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144"/>
      <c r="B229" s="144"/>
      <c r="C229" s="144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144"/>
      <c r="B230" s="144"/>
      <c r="C230" s="144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144"/>
      <c r="B231" s="144"/>
      <c r="C231" s="144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144"/>
      <c r="B232" s="144"/>
      <c r="C232" s="144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144"/>
      <c r="B233" s="144"/>
      <c r="C233" s="144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144"/>
      <c r="B234" s="144"/>
      <c r="C234" s="144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144"/>
      <c r="B235" s="144"/>
      <c r="C235" s="144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144"/>
      <c r="B236" s="144"/>
      <c r="C236" s="144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144"/>
      <c r="B237" s="144"/>
      <c r="C237" s="144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144"/>
      <c r="B238" s="144"/>
      <c r="C238" s="144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144"/>
      <c r="B239" s="144"/>
      <c r="C239" s="144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144"/>
      <c r="B240" s="144"/>
      <c r="C240" s="144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144"/>
      <c r="B241" s="144"/>
      <c r="C241" s="144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144"/>
      <c r="B242" s="144"/>
      <c r="C242" s="144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144"/>
      <c r="B243" s="144"/>
      <c r="C243" s="144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144"/>
      <c r="B244" s="144"/>
      <c r="C244" s="144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144"/>
      <c r="B245" s="144"/>
      <c r="C245" s="144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144"/>
      <c r="B246" s="144"/>
      <c r="C246" s="144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144"/>
      <c r="B247" s="144"/>
      <c r="C247" s="144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144"/>
      <c r="B248" s="144"/>
      <c r="C248" s="144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144"/>
      <c r="B249" s="144"/>
      <c r="C249" s="144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144"/>
      <c r="B250" s="144"/>
      <c r="C250" s="144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144"/>
      <c r="B251" s="144"/>
      <c r="C251" s="144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144"/>
      <c r="B252" s="144"/>
      <c r="C252" s="144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144"/>
      <c r="B253" s="144"/>
      <c r="C253" s="144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144"/>
      <c r="B254" s="144"/>
      <c r="C254" s="144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144"/>
      <c r="B255" s="144"/>
      <c r="C255" s="144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144"/>
      <c r="B256" s="144"/>
      <c r="C256" s="144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144"/>
      <c r="B257" s="144"/>
      <c r="C257" s="144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144"/>
      <c r="B258" s="144"/>
      <c r="C258" s="144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144"/>
      <c r="B259" s="144"/>
      <c r="C259" s="144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144"/>
      <c r="B260" s="144"/>
      <c r="C260" s="144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144"/>
      <c r="B261" s="144"/>
      <c r="C261" s="144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144"/>
      <c r="B262" s="144"/>
      <c r="C262" s="144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144"/>
      <c r="B263" s="144"/>
      <c r="C263" s="144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144"/>
      <c r="B264" s="144"/>
      <c r="C264" s="144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144"/>
      <c r="B265" s="144"/>
      <c r="C265" s="144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144"/>
      <c r="B266" s="144"/>
      <c r="C266" s="144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144"/>
      <c r="B267" s="144"/>
      <c r="C267" s="144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144"/>
      <c r="B268" s="144"/>
      <c r="C268" s="144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144"/>
      <c r="B269" s="144"/>
      <c r="C269" s="144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144"/>
      <c r="B270" s="144"/>
      <c r="C270" s="144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144"/>
      <c r="B271" s="144"/>
      <c r="C271" s="144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144"/>
      <c r="B272" s="144"/>
      <c r="C272" s="144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144"/>
      <c r="B273" s="144"/>
      <c r="C273" s="144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144"/>
      <c r="B274" s="144"/>
      <c r="C274" s="144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144"/>
      <c r="B275" s="144"/>
      <c r="C275" s="144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144"/>
      <c r="B276" s="144"/>
      <c r="C276" s="144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144"/>
      <c r="B277" s="144"/>
      <c r="C277" s="144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144"/>
      <c r="B278" s="144"/>
      <c r="C278" s="144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144"/>
      <c r="B279" s="144"/>
      <c r="C279" s="144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144"/>
      <c r="B280" s="144"/>
      <c r="C280" s="144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144"/>
      <c r="B281" s="144"/>
      <c r="C281" s="144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144"/>
      <c r="B282" s="144"/>
      <c r="C282" s="144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144"/>
      <c r="B283" s="144"/>
      <c r="C283" s="144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144"/>
      <c r="B284" s="144"/>
      <c r="C284" s="144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144"/>
      <c r="B285" s="144"/>
      <c r="C285" s="144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144"/>
      <c r="B286" s="144"/>
      <c r="C286" s="144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144"/>
      <c r="B287" s="144"/>
      <c r="C287" s="144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144"/>
      <c r="B288" s="144"/>
      <c r="C288" s="144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144"/>
      <c r="B289" s="144"/>
      <c r="C289" s="144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144"/>
      <c r="B290" s="144"/>
      <c r="C290" s="144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144"/>
      <c r="B291" s="144"/>
      <c r="C291" s="144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144"/>
      <c r="B292" s="144"/>
      <c r="C292" s="144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144"/>
      <c r="B293" s="144"/>
      <c r="C293" s="144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144"/>
      <c r="B294" s="144"/>
      <c r="C294" s="144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144"/>
      <c r="B295" s="144"/>
      <c r="C295" s="144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144"/>
      <c r="B296" s="144"/>
      <c r="C296" s="144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144"/>
      <c r="B297" s="144"/>
      <c r="C297" s="144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144"/>
      <c r="B298" s="144"/>
      <c r="C298" s="144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144"/>
      <c r="B299" s="144"/>
      <c r="C299" s="144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144"/>
      <c r="B300" s="144"/>
      <c r="C300" s="144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144"/>
      <c r="B301" s="144"/>
      <c r="C301" s="144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144"/>
      <c r="B302" s="144"/>
      <c r="C302" s="144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144"/>
      <c r="B303" s="144"/>
      <c r="C303" s="144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144"/>
      <c r="B304" s="144"/>
      <c r="C304" s="144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144"/>
      <c r="B305" s="144"/>
      <c r="C305" s="144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144"/>
      <c r="B306" s="144"/>
      <c r="C306" s="144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144"/>
      <c r="B307" s="144"/>
      <c r="C307" s="144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144"/>
      <c r="B308" s="144"/>
      <c r="C308" s="144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144"/>
      <c r="B309" s="144"/>
      <c r="C309" s="144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144"/>
      <c r="B310" s="144"/>
      <c r="C310" s="144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144"/>
      <c r="B311" s="144"/>
      <c r="C311" s="144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144"/>
      <c r="B312" s="144"/>
      <c r="C312" s="144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144"/>
      <c r="B313" s="144"/>
      <c r="C313" s="144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144"/>
      <c r="B314" s="144"/>
      <c r="C314" s="144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144"/>
      <c r="B315" s="144"/>
      <c r="C315" s="144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144"/>
      <c r="B316" s="144"/>
      <c r="C316" s="144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144"/>
      <c r="B317" s="144"/>
      <c r="C317" s="144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144"/>
      <c r="B318" s="144"/>
      <c r="C318" s="144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144"/>
      <c r="B319" s="144"/>
      <c r="C319" s="144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144"/>
      <c r="B320" s="144"/>
      <c r="C320" s="144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144"/>
      <c r="B321" s="144"/>
      <c r="C321" s="144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144"/>
      <c r="B322" s="144"/>
      <c r="C322" s="144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144"/>
      <c r="B323" s="144"/>
      <c r="C323" s="144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144"/>
      <c r="B324" s="144"/>
      <c r="C324" s="144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144"/>
      <c r="B325" s="144"/>
      <c r="C325" s="144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144"/>
      <c r="B326" s="144"/>
      <c r="C326" s="144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144"/>
      <c r="B327" s="144"/>
      <c r="C327" s="144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144"/>
      <c r="B328" s="144"/>
      <c r="C328" s="144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144"/>
      <c r="B329" s="144"/>
      <c r="C329" s="144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144"/>
      <c r="B330" s="144"/>
      <c r="C330" s="144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144"/>
      <c r="B331" s="144"/>
      <c r="C331" s="144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144"/>
      <c r="B332" s="144"/>
      <c r="C332" s="144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144"/>
      <c r="B333" s="144"/>
      <c r="C333" s="144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144"/>
      <c r="B334" s="144"/>
      <c r="C334" s="144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144"/>
      <c r="B335" s="144"/>
      <c r="C335" s="144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144"/>
      <c r="B336" s="144"/>
      <c r="C336" s="144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144"/>
      <c r="B337" s="144"/>
      <c r="C337" s="144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144"/>
      <c r="B338" s="144"/>
      <c r="C338" s="144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144"/>
      <c r="B339" s="144"/>
      <c r="C339" s="144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144"/>
      <c r="B340" s="144"/>
      <c r="C340" s="144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144"/>
      <c r="B341" s="144"/>
      <c r="C341" s="144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144"/>
      <c r="B342" s="144"/>
      <c r="C342" s="144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144"/>
      <c r="B343" s="144"/>
      <c r="C343" s="144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144"/>
      <c r="B344" s="144"/>
      <c r="C344" s="144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144"/>
      <c r="B345" s="144"/>
      <c r="C345" s="144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144"/>
      <c r="B346" s="144"/>
      <c r="C346" s="144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144"/>
      <c r="B347" s="144"/>
      <c r="C347" s="144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144"/>
      <c r="B348" s="144"/>
      <c r="C348" s="144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144"/>
      <c r="B349" s="144"/>
      <c r="C349" s="144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144"/>
      <c r="B350" s="144"/>
      <c r="C350" s="144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144"/>
      <c r="B351" s="144"/>
      <c r="C351" s="144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144"/>
      <c r="B352" s="144"/>
      <c r="C352" s="144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144"/>
      <c r="B353" s="144"/>
      <c r="C353" s="144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144"/>
      <c r="B354" s="144"/>
      <c r="C354" s="144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144"/>
      <c r="B355" s="144"/>
      <c r="C355" s="144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144"/>
      <c r="B356" s="144"/>
      <c r="C356" s="144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144"/>
      <c r="B357" s="144"/>
      <c r="C357" s="144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144"/>
      <c r="B358" s="144"/>
      <c r="C358" s="144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144"/>
      <c r="B359" s="144"/>
      <c r="C359" s="144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144"/>
      <c r="B360" s="144"/>
      <c r="C360" s="144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144"/>
      <c r="B361" s="144"/>
      <c r="C361" s="144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144"/>
      <c r="B362" s="144"/>
      <c r="C362" s="144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144"/>
      <c r="B363" s="144"/>
      <c r="C363" s="144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144"/>
      <c r="B364" s="144"/>
      <c r="C364" s="144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144"/>
      <c r="B365" s="144"/>
      <c r="C365" s="144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144"/>
      <c r="B366" s="144"/>
      <c r="C366" s="144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144"/>
      <c r="B367" s="144"/>
      <c r="C367" s="144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144"/>
      <c r="B368" s="144"/>
      <c r="C368" s="144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144"/>
      <c r="B369" s="144"/>
      <c r="C369" s="144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144"/>
      <c r="B370" s="144"/>
      <c r="C370" s="144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144"/>
      <c r="B371" s="144"/>
      <c r="C371" s="144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144"/>
      <c r="B372" s="144"/>
      <c r="C372" s="144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144"/>
      <c r="B373" s="144"/>
      <c r="C373" s="144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144"/>
      <c r="B374" s="144"/>
      <c r="C374" s="144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144"/>
      <c r="B375" s="144"/>
      <c r="C375" s="144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144"/>
      <c r="B376" s="144"/>
      <c r="C376" s="144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144"/>
      <c r="B377" s="144"/>
      <c r="C377" s="144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144"/>
      <c r="B378" s="144"/>
      <c r="C378" s="144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144"/>
      <c r="B379" s="144"/>
      <c r="C379" s="144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144"/>
      <c r="B380" s="144"/>
      <c r="C380" s="144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144"/>
      <c r="B381" s="144"/>
      <c r="C381" s="144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144"/>
      <c r="B382" s="144"/>
      <c r="C382" s="144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144"/>
      <c r="B383" s="144"/>
      <c r="C383" s="144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144"/>
      <c r="B384" s="144"/>
      <c r="C384" s="144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144"/>
      <c r="B385" s="144"/>
      <c r="C385" s="144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144"/>
      <c r="B386" s="144"/>
      <c r="C386" s="144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144"/>
      <c r="B387" s="144"/>
      <c r="C387" s="144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144"/>
      <c r="B388" s="144"/>
      <c r="C388" s="144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144"/>
      <c r="B389" s="144"/>
      <c r="C389" s="144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144"/>
      <c r="B390" s="144"/>
      <c r="C390" s="144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144"/>
      <c r="B391" s="144"/>
      <c r="C391" s="144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144"/>
      <c r="B392" s="144"/>
      <c r="C392" s="144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144"/>
      <c r="B393" s="144"/>
      <c r="C393" s="144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144"/>
      <c r="B394" s="144"/>
      <c r="C394" s="144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144"/>
      <c r="B395" s="144"/>
      <c r="C395" s="144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144"/>
      <c r="B396" s="144"/>
      <c r="C396" s="144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144"/>
      <c r="B397" s="144"/>
      <c r="C397" s="144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144"/>
      <c r="B398" s="144"/>
      <c r="C398" s="144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144"/>
      <c r="B399" s="144"/>
      <c r="C399" s="144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144"/>
      <c r="B400" s="144"/>
      <c r="C400" s="144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144"/>
      <c r="B401" s="144"/>
      <c r="C401" s="144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144"/>
      <c r="B402" s="144"/>
      <c r="C402" s="144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144"/>
      <c r="B403" s="144"/>
      <c r="C403" s="144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144"/>
      <c r="B404" s="144"/>
      <c r="C404" s="144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144"/>
      <c r="B405" s="144"/>
      <c r="C405" s="144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144"/>
      <c r="B406" s="144"/>
      <c r="C406" s="144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144"/>
      <c r="B407" s="144"/>
      <c r="C407" s="144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144"/>
      <c r="B408" s="144"/>
      <c r="C408" s="144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144"/>
      <c r="B409" s="144"/>
      <c r="C409" s="144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144"/>
      <c r="B410" s="144"/>
      <c r="C410" s="144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144"/>
      <c r="B411" s="144"/>
      <c r="C411" s="144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144"/>
      <c r="B412" s="144"/>
      <c r="C412" s="144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144"/>
      <c r="B413" s="144"/>
      <c r="C413" s="144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144"/>
      <c r="B414" s="144"/>
      <c r="C414" s="144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144"/>
      <c r="B415" s="144"/>
      <c r="C415" s="144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144"/>
      <c r="B416" s="144"/>
      <c r="C416" s="144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144"/>
      <c r="B417" s="144"/>
      <c r="C417" s="144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144"/>
      <c r="B418" s="144"/>
      <c r="C418" s="144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144"/>
      <c r="B419" s="144"/>
      <c r="C419" s="144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144"/>
      <c r="B420" s="144"/>
      <c r="C420" s="144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144"/>
      <c r="B421" s="144"/>
      <c r="C421" s="144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144"/>
      <c r="B422" s="144"/>
      <c r="C422" s="144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144"/>
      <c r="B423" s="144"/>
      <c r="C423" s="144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144"/>
      <c r="B424" s="144"/>
      <c r="C424" s="144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144"/>
      <c r="B425" s="144"/>
      <c r="C425" s="144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144"/>
      <c r="B426" s="144"/>
      <c r="C426" s="144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144"/>
      <c r="B427" s="144"/>
      <c r="C427" s="144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144"/>
      <c r="B428" s="144"/>
      <c r="C428" s="144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144"/>
      <c r="B429" s="144"/>
      <c r="C429" s="144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144"/>
      <c r="B430" s="144"/>
      <c r="C430" s="144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144"/>
      <c r="B431" s="144"/>
      <c r="C431" s="144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144"/>
      <c r="B432" s="144"/>
      <c r="C432" s="144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144"/>
      <c r="B433" s="144"/>
      <c r="C433" s="144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144"/>
      <c r="B434" s="144"/>
      <c r="C434" s="144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144"/>
      <c r="B435" s="144"/>
      <c r="C435" s="144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144"/>
      <c r="B436" s="144"/>
      <c r="C436" s="144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144"/>
      <c r="B437" s="144"/>
      <c r="C437" s="144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144"/>
      <c r="B438" s="144"/>
      <c r="C438" s="144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144"/>
      <c r="B439" s="144"/>
      <c r="C439" s="144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144"/>
      <c r="B440" s="144"/>
      <c r="C440" s="144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144"/>
      <c r="B441" s="144"/>
      <c r="C441" s="144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144"/>
      <c r="B442" s="144"/>
      <c r="C442" s="144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144"/>
      <c r="B443" s="144"/>
      <c r="C443" s="144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144"/>
      <c r="B444" s="144"/>
      <c r="C444" s="144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144"/>
      <c r="B445" s="144"/>
      <c r="C445" s="144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144"/>
      <c r="B446" s="144"/>
      <c r="C446" s="144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144"/>
      <c r="B447" s="144"/>
      <c r="C447" s="144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144"/>
      <c r="B448" s="144"/>
      <c r="C448" s="144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144"/>
      <c r="B449" s="144"/>
      <c r="C449" s="144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144"/>
      <c r="B450" s="144"/>
      <c r="C450" s="144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144"/>
      <c r="B451" s="144"/>
      <c r="C451" s="144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144"/>
      <c r="B452" s="144"/>
      <c r="C452" s="144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144"/>
      <c r="B453" s="144"/>
      <c r="C453" s="144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144"/>
      <c r="B454" s="144"/>
      <c r="C454" s="144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144"/>
      <c r="B455" s="144"/>
      <c r="C455" s="144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144"/>
      <c r="B456" s="144"/>
      <c r="C456" s="144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144"/>
      <c r="B457" s="144"/>
      <c r="C457" s="144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144"/>
      <c r="B458" s="144"/>
      <c r="C458" s="144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144"/>
      <c r="B459" s="144"/>
      <c r="C459" s="144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144"/>
      <c r="B460" s="144"/>
      <c r="C460" s="144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144"/>
      <c r="B461" s="144"/>
      <c r="C461" s="144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144"/>
      <c r="B462" s="144"/>
      <c r="C462" s="144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144"/>
      <c r="B463" s="144"/>
      <c r="C463" s="144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144"/>
      <c r="B464" s="144"/>
      <c r="C464" s="144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144"/>
      <c r="B465" s="144"/>
      <c r="C465" s="144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144"/>
      <c r="B466" s="144"/>
      <c r="C466" s="144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144"/>
      <c r="B467" s="144"/>
      <c r="C467" s="144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144"/>
      <c r="B468" s="144"/>
      <c r="C468" s="144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144"/>
      <c r="B469" s="144"/>
      <c r="C469" s="144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144"/>
      <c r="B470" s="144"/>
      <c r="C470" s="144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144"/>
      <c r="B471" s="144"/>
      <c r="C471" s="144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144"/>
      <c r="B472" s="144"/>
      <c r="C472" s="144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144"/>
      <c r="B473" s="144"/>
      <c r="C473" s="144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144"/>
      <c r="B474" s="144"/>
      <c r="C474" s="144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144"/>
      <c r="B475" s="144"/>
      <c r="C475" s="144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144"/>
      <c r="B476" s="144"/>
      <c r="C476" s="144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144"/>
      <c r="B477" s="144"/>
      <c r="C477" s="144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144"/>
      <c r="B478" s="144"/>
      <c r="C478" s="144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144"/>
      <c r="B479" s="144"/>
      <c r="C479" s="144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144"/>
      <c r="B480" s="144"/>
      <c r="C480" s="144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144"/>
      <c r="B481" s="144"/>
      <c r="C481" s="144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144"/>
      <c r="B482" s="144"/>
      <c r="C482" s="144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144"/>
      <c r="B483" s="144"/>
      <c r="C483" s="144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144"/>
      <c r="B484" s="144"/>
      <c r="C484" s="144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144"/>
      <c r="B485" s="144"/>
      <c r="C485" s="144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144"/>
      <c r="B486" s="144"/>
      <c r="C486" s="144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144"/>
      <c r="B487" s="144"/>
      <c r="C487" s="144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144"/>
      <c r="B488" s="144"/>
      <c r="C488" s="144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144"/>
      <c r="B489" s="144"/>
      <c r="C489" s="144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144"/>
      <c r="B490" s="144"/>
      <c r="C490" s="144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144"/>
      <c r="B491" s="144"/>
      <c r="C491" s="144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144"/>
      <c r="B492" s="144"/>
      <c r="C492" s="144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144"/>
      <c r="B493" s="144"/>
      <c r="C493" s="144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144"/>
      <c r="B494" s="144"/>
      <c r="C494" s="144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144"/>
      <c r="B495" s="144"/>
      <c r="C495" s="144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144"/>
      <c r="B496" s="144"/>
      <c r="C496" s="144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144"/>
      <c r="B497" s="144"/>
      <c r="C497" s="144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144"/>
      <c r="B498" s="144"/>
      <c r="C498" s="144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144"/>
      <c r="B499" s="144"/>
      <c r="C499" s="144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144"/>
      <c r="B500" s="144"/>
      <c r="C500" s="144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144"/>
      <c r="B501" s="144"/>
      <c r="C501" s="144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144"/>
      <c r="B502" s="144"/>
      <c r="C502" s="144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144"/>
      <c r="B503" s="144"/>
      <c r="C503" s="144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144"/>
      <c r="B504" s="144"/>
      <c r="C504" s="144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144"/>
      <c r="B505" s="144"/>
      <c r="C505" s="144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144"/>
      <c r="B506" s="144"/>
      <c r="C506" s="144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144"/>
      <c r="B507" s="144"/>
      <c r="C507" s="144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144"/>
      <c r="B508" s="144"/>
      <c r="C508" s="144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144"/>
      <c r="B509" s="144"/>
      <c r="C509" s="144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144"/>
      <c r="B510" s="144"/>
      <c r="C510" s="144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144"/>
      <c r="B511" s="144"/>
      <c r="C511" s="144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144"/>
      <c r="B512" s="144"/>
      <c r="C512" s="144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144"/>
      <c r="B513" s="144"/>
      <c r="C513" s="144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144"/>
      <c r="B514" s="144"/>
      <c r="C514" s="144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144"/>
      <c r="B515" s="144"/>
      <c r="C515" s="144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144"/>
      <c r="B516" s="144"/>
      <c r="C516" s="144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144"/>
      <c r="B517" s="144"/>
      <c r="C517" s="144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144"/>
      <c r="B518" s="144"/>
      <c r="C518" s="144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144"/>
      <c r="B519" s="144"/>
      <c r="C519" s="144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144"/>
      <c r="B520" s="144"/>
      <c r="C520" s="144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144"/>
      <c r="B521" s="144"/>
      <c r="C521" s="144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144"/>
      <c r="B522" s="144"/>
      <c r="C522" s="144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144"/>
      <c r="B523" s="144"/>
      <c r="C523" s="144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144"/>
      <c r="B524" s="144"/>
      <c r="C524" s="144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144"/>
      <c r="B525" s="144"/>
      <c r="C525" s="144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144"/>
      <c r="B526" s="144"/>
      <c r="C526" s="144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144"/>
      <c r="B527" s="144"/>
      <c r="C527" s="144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144"/>
      <c r="B528" s="144"/>
      <c r="C528" s="144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144"/>
      <c r="B529" s="144"/>
      <c r="C529" s="144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144"/>
      <c r="B530" s="144"/>
      <c r="C530" s="144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144"/>
      <c r="B531" s="144"/>
      <c r="C531" s="144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144"/>
      <c r="B532" s="144"/>
      <c r="C532" s="144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144"/>
      <c r="B533" s="144"/>
      <c r="C533" s="144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144"/>
      <c r="B534" s="144"/>
      <c r="C534" s="144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144"/>
      <c r="B535" s="144"/>
      <c r="C535" s="144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144"/>
      <c r="B536" s="144"/>
      <c r="C536" s="144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144"/>
      <c r="B537" s="144"/>
      <c r="C537" s="144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144"/>
      <c r="B538" s="144"/>
      <c r="C538" s="144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144"/>
      <c r="B539" s="144"/>
      <c r="C539" s="144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144"/>
      <c r="B540" s="144"/>
      <c r="C540" s="144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144"/>
      <c r="B541" s="144"/>
      <c r="C541" s="144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144"/>
      <c r="B542" s="144"/>
      <c r="C542" s="144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144"/>
      <c r="B543" s="144"/>
      <c r="C543" s="144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144"/>
      <c r="B544" s="144"/>
      <c r="C544" s="144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144"/>
      <c r="B545" s="144"/>
      <c r="C545" s="144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144"/>
      <c r="B546" s="144"/>
      <c r="C546" s="144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144"/>
      <c r="B547" s="144"/>
      <c r="C547" s="144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144"/>
      <c r="B548" s="144"/>
      <c r="C548" s="144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144"/>
      <c r="B549" s="144"/>
      <c r="C549" s="144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144"/>
      <c r="B550" s="144"/>
      <c r="C550" s="144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144"/>
      <c r="B551" s="144"/>
      <c r="C551" s="144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144"/>
      <c r="B552" s="144"/>
      <c r="C552" s="144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144"/>
      <c r="B553" s="144"/>
      <c r="C553" s="144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144"/>
      <c r="B554" s="144"/>
      <c r="C554" s="144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144"/>
      <c r="B555" s="144"/>
      <c r="C555" s="144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144"/>
      <c r="B556" s="144"/>
      <c r="C556" s="144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144"/>
      <c r="B557" s="144"/>
      <c r="C557" s="144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144"/>
      <c r="B558" s="144"/>
      <c r="C558" s="144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144"/>
      <c r="B559" s="144"/>
      <c r="C559" s="144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144"/>
      <c r="B560" s="144"/>
      <c r="C560" s="144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144"/>
      <c r="B561" s="144"/>
      <c r="C561" s="144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144"/>
      <c r="B562" s="144"/>
      <c r="C562" s="144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144"/>
      <c r="B563" s="144"/>
      <c r="C563" s="144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144"/>
      <c r="B564" s="144"/>
      <c r="C564" s="144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144"/>
      <c r="B565" s="144"/>
      <c r="C565" s="144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144"/>
      <c r="B566" s="144"/>
      <c r="C566" s="144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144"/>
      <c r="B567" s="144"/>
      <c r="C567" s="144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144"/>
      <c r="B568" s="144"/>
      <c r="C568" s="144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144"/>
      <c r="B569" s="144"/>
      <c r="C569" s="144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144"/>
      <c r="B570" s="144"/>
      <c r="C570" s="144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144"/>
      <c r="B571" s="144"/>
      <c r="C571" s="144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144"/>
      <c r="B572" s="144"/>
      <c r="C572" s="144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144"/>
      <c r="B573" s="144"/>
      <c r="C573" s="144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144"/>
      <c r="B574" s="144"/>
      <c r="C574" s="144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144"/>
      <c r="B575" s="144"/>
      <c r="C575" s="144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144"/>
      <c r="B576" s="144"/>
      <c r="C576" s="144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144"/>
      <c r="B577" s="144"/>
      <c r="C577" s="144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144"/>
      <c r="B578" s="144"/>
      <c r="C578" s="144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144"/>
      <c r="B579" s="144"/>
      <c r="C579" s="144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144"/>
      <c r="B580" s="144"/>
      <c r="C580" s="144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144"/>
      <c r="B581" s="144"/>
      <c r="C581" s="144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144"/>
      <c r="B582" s="144"/>
      <c r="C582" s="144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144"/>
      <c r="B583" s="144"/>
      <c r="C583" s="144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144"/>
      <c r="B584" s="144"/>
      <c r="C584" s="144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144"/>
      <c r="B585" s="144"/>
      <c r="C585" s="144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144"/>
      <c r="B586" s="144"/>
      <c r="C586" s="144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144"/>
      <c r="B587" s="144"/>
      <c r="C587" s="144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144"/>
      <c r="B588" s="144"/>
      <c r="C588" s="144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144"/>
      <c r="B589" s="144"/>
      <c r="C589" s="144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144"/>
      <c r="B590" s="144"/>
      <c r="C590" s="144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144"/>
      <c r="B591" s="144"/>
      <c r="C591" s="144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144"/>
      <c r="B592" s="144"/>
      <c r="C592" s="144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144"/>
      <c r="B593" s="144"/>
      <c r="C593" s="144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144"/>
      <c r="B594" s="144"/>
      <c r="C594" s="144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144"/>
      <c r="B595" s="144"/>
      <c r="C595" s="144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144"/>
      <c r="B596" s="144"/>
      <c r="C596" s="144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144"/>
      <c r="B597" s="144"/>
      <c r="C597" s="144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144"/>
      <c r="B598" s="144"/>
      <c r="C598" s="144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144"/>
      <c r="B599" s="144"/>
      <c r="C599" s="144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144"/>
      <c r="B600" s="144"/>
      <c r="C600" s="144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144"/>
      <c r="B601" s="144"/>
      <c r="C601" s="144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144"/>
      <c r="B602" s="144"/>
      <c r="C602" s="144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144"/>
      <c r="B603" s="144"/>
      <c r="C603" s="144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144"/>
      <c r="B604" s="144"/>
      <c r="C604" s="144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144"/>
      <c r="B605" s="144"/>
      <c r="C605" s="144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144"/>
      <c r="B606" s="144"/>
      <c r="C606" s="144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144"/>
      <c r="B607" s="144"/>
      <c r="C607" s="144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144"/>
      <c r="B608" s="144"/>
      <c r="C608" s="144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144"/>
      <c r="B609" s="144"/>
      <c r="C609" s="144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144"/>
      <c r="B610" s="144"/>
      <c r="C610" s="144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144"/>
      <c r="B611" s="144"/>
      <c r="C611" s="144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144"/>
      <c r="B612" s="144"/>
      <c r="C612" s="144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144"/>
      <c r="B613" s="144"/>
      <c r="C613" s="144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144"/>
      <c r="B614" s="144"/>
      <c r="C614" s="144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144"/>
      <c r="B615" s="144"/>
      <c r="C615" s="144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144"/>
      <c r="B616" s="144"/>
      <c r="C616" s="144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144"/>
      <c r="B617" s="144"/>
      <c r="C617" s="144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144"/>
      <c r="B618" s="144"/>
      <c r="C618" s="144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144"/>
      <c r="B619" s="144"/>
      <c r="C619" s="144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144"/>
      <c r="B620" s="144"/>
      <c r="C620" s="144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144"/>
      <c r="B621" s="144"/>
      <c r="C621" s="144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144"/>
      <c r="B622" s="144"/>
      <c r="C622" s="144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144"/>
      <c r="B623" s="144"/>
      <c r="C623" s="144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144"/>
      <c r="B624" s="144"/>
      <c r="C624" s="144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144"/>
      <c r="B625" s="144"/>
      <c r="C625" s="144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144"/>
      <c r="B626" s="144"/>
      <c r="C626" s="144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144"/>
      <c r="B627" s="144"/>
      <c r="C627" s="144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144"/>
      <c r="B628" s="144"/>
      <c r="C628" s="144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144"/>
      <c r="B629" s="144"/>
      <c r="C629" s="144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144"/>
      <c r="B630" s="144"/>
      <c r="C630" s="144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144"/>
      <c r="B631" s="144"/>
      <c r="C631" s="144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144"/>
      <c r="B632" s="144"/>
      <c r="C632" s="144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144"/>
      <c r="B633" s="144"/>
      <c r="C633" s="144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144"/>
      <c r="B634" s="144"/>
      <c r="C634" s="144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144"/>
      <c r="B635" s="144"/>
      <c r="C635" s="144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144"/>
      <c r="B636" s="144"/>
      <c r="C636" s="144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144"/>
      <c r="B637" s="144"/>
      <c r="C637" s="144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144"/>
      <c r="B638" s="144"/>
      <c r="C638" s="144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144"/>
      <c r="B639" s="144"/>
      <c r="C639" s="144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144"/>
      <c r="B640" s="144"/>
      <c r="C640" s="144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144"/>
      <c r="B641" s="144"/>
      <c r="C641" s="144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144"/>
      <c r="B642" s="144"/>
      <c r="C642" s="144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144"/>
      <c r="B643" s="144"/>
      <c r="C643" s="144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144"/>
      <c r="B644" s="144"/>
      <c r="C644" s="144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144"/>
      <c r="B645" s="144"/>
      <c r="C645" s="144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144"/>
      <c r="B646" s="144"/>
      <c r="C646" s="144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144"/>
      <c r="B647" s="144"/>
      <c r="C647" s="144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144"/>
      <c r="B648" s="144"/>
      <c r="C648" s="144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144"/>
      <c r="B649" s="144"/>
      <c r="C649" s="144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144"/>
      <c r="B650" s="144"/>
      <c r="C650" s="144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144"/>
      <c r="B651" s="144"/>
      <c r="C651" s="144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144"/>
      <c r="B652" s="144"/>
      <c r="C652" s="144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144"/>
      <c r="B653" s="144"/>
      <c r="C653" s="144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144"/>
      <c r="B654" s="144"/>
      <c r="C654" s="144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144"/>
      <c r="B655" s="144"/>
      <c r="C655" s="144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144"/>
      <c r="B656" s="144"/>
      <c r="C656" s="144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144"/>
      <c r="B657" s="144"/>
      <c r="C657" s="144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144"/>
      <c r="B658" s="144"/>
      <c r="C658" s="144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144"/>
      <c r="B659" s="144"/>
      <c r="C659" s="144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144"/>
      <c r="B660" s="144"/>
      <c r="C660" s="144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144"/>
      <c r="B661" s="144"/>
      <c r="C661" s="144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144"/>
      <c r="B662" s="144"/>
      <c r="C662" s="144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144"/>
      <c r="B663" s="144"/>
      <c r="C663" s="144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144"/>
      <c r="B664" s="144"/>
      <c r="C664" s="144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144"/>
      <c r="B665" s="144"/>
      <c r="C665" s="144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144"/>
      <c r="B666" s="144"/>
      <c r="C666" s="144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144"/>
      <c r="B667" s="144"/>
      <c r="C667" s="144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144"/>
      <c r="B668" s="144"/>
      <c r="C668" s="144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144"/>
      <c r="B669" s="144"/>
      <c r="C669" s="144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144"/>
      <c r="B670" s="144"/>
      <c r="C670" s="144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144"/>
      <c r="B671" s="144"/>
      <c r="C671" s="144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144"/>
      <c r="B672" s="144"/>
      <c r="C672" s="144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144"/>
      <c r="B673" s="144"/>
      <c r="C673" s="144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144"/>
      <c r="B674" s="144"/>
      <c r="C674" s="144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144"/>
      <c r="B675" s="144"/>
      <c r="C675" s="144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144"/>
      <c r="B676" s="144"/>
      <c r="C676" s="144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144"/>
      <c r="B677" s="144"/>
      <c r="C677" s="144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144"/>
      <c r="B678" s="144"/>
      <c r="C678" s="144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144"/>
      <c r="B679" s="144"/>
      <c r="C679" s="144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144"/>
      <c r="B680" s="144"/>
      <c r="C680" s="144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144"/>
      <c r="B681" s="144"/>
      <c r="C681" s="144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144"/>
      <c r="B682" s="144"/>
      <c r="C682" s="144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144"/>
      <c r="B683" s="144"/>
      <c r="C683" s="144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144"/>
      <c r="B684" s="144"/>
      <c r="C684" s="144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144"/>
      <c r="B685" s="144"/>
      <c r="C685" s="144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144"/>
      <c r="B686" s="144"/>
      <c r="C686" s="144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144"/>
      <c r="B687" s="144"/>
      <c r="C687" s="144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144"/>
      <c r="B688" s="144"/>
      <c r="C688" s="144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144"/>
      <c r="B689" s="144"/>
      <c r="C689" s="144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144"/>
      <c r="B690" s="144"/>
      <c r="C690" s="144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144"/>
      <c r="B691" s="144"/>
      <c r="C691" s="144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144"/>
      <c r="B692" s="144"/>
      <c r="C692" s="144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144"/>
      <c r="B693" s="144"/>
      <c r="C693" s="144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144"/>
      <c r="B694" s="144"/>
      <c r="C694" s="144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144"/>
      <c r="B695" s="144"/>
      <c r="C695" s="144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144"/>
      <c r="B696" s="144"/>
      <c r="C696" s="144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144"/>
      <c r="B697" s="144"/>
      <c r="C697" s="144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144"/>
      <c r="B698" s="144"/>
      <c r="C698" s="144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144"/>
      <c r="B699" s="144"/>
      <c r="C699" s="144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144"/>
      <c r="B700" s="144"/>
      <c r="C700" s="144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144"/>
      <c r="B701" s="144"/>
      <c r="C701" s="144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144"/>
      <c r="B702" s="144"/>
      <c r="C702" s="144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144"/>
      <c r="B703" s="144"/>
      <c r="C703" s="144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144"/>
      <c r="B704" s="144"/>
      <c r="C704" s="144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144"/>
      <c r="B705" s="144"/>
      <c r="C705" s="144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144"/>
      <c r="B706" s="144"/>
      <c r="C706" s="144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144"/>
      <c r="B707" s="144"/>
      <c r="C707" s="144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144"/>
      <c r="B708" s="144"/>
      <c r="C708" s="144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144"/>
      <c r="B709" s="144"/>
      <c r="C709" s="144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144"/>
      <c r="B710" s="144"/>
      <c r="C710" s="144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144"/>
      <c r="B711" s="144"/>
      <c r="C711" s="144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144"/>
      <c r="B712" s="144"/>
      <c r="C712" s="144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144"/>
      <c r="B713" s="144"/>
      <c r="C713" s="144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144"/>
      <c r="B714" s="144"/>
      <c r="C714" s="144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144"/>
      <c r="B715" s="144"/>
      <c r="C715" s="144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144"/>
      <c r="B716" s="144"/>
      <c r="C716" s="144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144"/>
      <c r="B717" s="144"/>
      <c r="C717" s="144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144"/>
      <c r="B718" s="144"/>
      <c r="C718" s="144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144"/>
      <c r="B719" s="144"/>
      <c r="C719" s="144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144"/>
      <c r="B720" s="144"/>
      <c r="C720" s="144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144"/>
      <c r="B721" s="144"/>
      <c r="C721" s="144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144"/>
      <c r="B722" s="144"/>
      <c r="C722" s="144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144"/>
      <c r="B723" s="144"/>
      <c r="C723" s="144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144"/>
      <c r="B724" s="144"/>
      <c r="C724" s="144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144"/>
      <c r="B725" s="144"/>
      <c r="C725" s="144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144"/>
      <c r="B726" s="144"/>
      <c r="C726" s="144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144"/>
      <c r="B727" s="144"/>
      <c r="C727" s="144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144"/>
      <c r="B728" s="144"/>
      <c r="C728" s="144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144"/>
      <c r="B729" s="144"/>
      <c r="C729" s="144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144"/>
      <c r="B730" s="144"/>
      <c r="C730" s="144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144"/>
      <c r="B731" s="144"/>
      <c r="C731" s="144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144"/>
      <c r="B732" s="144"/>
      <c r="C732" s="144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144"/>
      <c r="B733" s="144"/>
      <c r="C733" s="144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144"/>
      <c r="B734" s="144"/>
      <c r="C734" s="144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144"/>
      <c r="B735" s="144"/>
      <c r="C735" s="144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144"/>
      <c r="B736" s="144"/>
      <c r="C736" s="144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144"/>
      <c r="B737" s="144"/>
      <c r="C737" s="144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144"/>
      <c r="B738" s="144"/>
      <c r="C738" s="144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144"/>
      <c r="B739" s="144"/>
      <c r="C739" s="144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144"/>
      <c r="B740" s="144"/>
      <c r="C740" s="144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144"/>
      <c r="B741" s="144"/>
      <c r="C741" s="144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144"/>
      <c r="B742" s="144"/>
      <c r="C742" s="144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144"/>
      <c r="B743" s="144"/>
      <c r="C743" s="144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144"/>
      <c r="B744" s="144"/>
      <c r="C744" s="144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144"/>
      <c r="B745" s="144"/>
      <c r="C745" s="144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144"/>
      <c r="B746" s="144"/>
      <c r="C746" s="144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144"/>
      <c r="B747" s="144"/>
      <c r="C747" s="144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144"/>
      <c r="B748" s="144"/>
      <c r="C748" s="144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144"/>
      <c r="B749" s="144"/>
      <c r="C749" s="144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144"/>
      <c r="B750" s="144"/>
      <c r="C750" s="144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144"/>
      <c r="B751" s="144"/>
      <c r="C751" s="144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144"/>
      <c r="B752" s="144"/>
      <c r="C752" s="144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144"/>
      <c r="B753" s="144"/>
      <c r="C753" s="144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144"/>
      <c r="B754" s="144"/>
      <c r="C754" s="144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144"/>
      <c r="B755" s="144"/>
      <c r="C755" s="144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144"/>
      <c r="B756" s="144"/>
      <c r="C756" s="144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144"/>
      <c r="B757" s="144"/>
      <c r="C757" s="144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144"/>
      <c r="B758" s="144"/>
      <c r="C758" s="144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144"/>
      <c r="B759" s="144"/>
      <c r="C759" s="144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144"/>
      <c r="B760" s="144"/>
      <c r="C760" s="144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144"/>
      <c r="B761" s="144"/>
      <c r="C761" s="144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144"/>
      <c r="B762" s="144"/>
      <c r="C762" s="144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144"/>
      <c r="B763" s="144"/>
      <c r="C763" s="144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144"/>
      <c r="B764" s="144"/>
      <c r="C764" s="144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144"/>
      <c r="B765" s="144"/>
      <c r="C765" s="144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144"/>
      <c r="B766" s="144"/>
      <c r="C766" s="144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144"/>
      <c r="B767" s="144"/>
      <c r="C767" s="144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144"/>
      <c r="B768" s="144"/>
      <c r="C768" s="144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144"/>
      <c r="B769" s="144"/>
      <c r="C769" s="144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144"/>
      <c r="B770" s="144"/>
      <c r="C770" s="144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144"/>
      <c r="B771" s="144"/>
      <c r="C771" s="144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144"/>
      <c r="B772" s="144"/>
      <c r="C772" s="144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144"/>
      <c r="B773" s="144"/>
      <c r="C773" s="144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144"/>
      <c r="B774" s="144"/>
      <c r="C774" s="144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144"/>
      <c r="B775" s="144"/>
      <c r="C775" s="144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144"/>
      <c r="B776" s="144"/>
      <c r="C776" s="144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144"/>
      <c r="B777" s="144"/>
      <c r="C777" s="144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144"/>
      <c r="B778" s="144"/>
      <c r="C778" s="144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144"/>
      <c r="B779" s="144"/>
      <c r="C779" s="144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144"/>
      <c r="B780" s="144"/>
      <c r="C780" s="144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144"/>
      <c r="B781" s="144"/>
      <c r="C781" s="144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144"/>
      <c r="B782" s="144"/>
      <c r="C782" s="144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144"/>
      <c r="B783" s="144"/>
      <c r="C783" s="144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144"/>
      <c r="B784" s="144"/>
      <c r="C784" s="144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144"/>
      <c r="B785" s="144"/>
      <c r="C785" s="144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144"/>
      <c r="B786" s="144"/>
      <c r="C786" s="144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144"/>
      <c r="B787" s="144"/>
      <c r="C787" s="144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144"/>
      <c r="B788" s="144"/>
      <c r="C788" s="144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144"/>
      <c r="B789" s="144"/>
      <c r="C789" s="144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144"/>
      <c r="B790" s="144"/>
      <c r="C790" s="144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144"/>
      <c r="B791" s="144"/>
      <c r="C791" s="144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144"/>
      <c r="B792" s="144"/>
      <c r="C792" s="144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144"/>
      <c r="B793" s="144"/>
      <c r="C793" s="144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144"/>
      <c r="B794" s="144"/>
      <c r="C794" s="144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144"/>
      <c r="B795" s="144"/>
      <c r="C795" s="144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144"/>
      <c r="B796" s="144"/>
      <c r="C796" s="144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144"/>
      <c r="B797" s="144"/>
      <c r="C797" s="144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144"/>
      <c r="B798" s="144"/>
      <c r="C798" s="144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144"/>
      <c r="B799" s="144"/>
      <c r="C799" s="144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144"/>
      <c r="B800" s="144"/>
      <c r="C800" s="144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144"/>
      <c r="B801" s="144"/>
      <c r="C801" s="144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144"/>
      <c r="B802" s="144"/>
      <c r="C802" s="144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144"/>
      <c r="B803" s="144"/>
      <c r="C803" s="144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144"/>
      <c r="B804" s="144"/>
      <c r="C804" s="144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144"/>
      <c r="B805" s="144"/>
      <c r="C805" s="144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144"/>
      <c r="B806" s="144"/>
      <c r="C806" s="144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144"/>
      <c r="B807" s="144"/>
      <c r="C807" s="144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144"/>
      <c r="B808" s="144"/>
      <c r="C808" s="144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144"/>
      <c r="B809" s="144"/>
      <c r="C809" s="144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144"/>
      <c r="B810" s="144"/>
      <c r="C810" s="144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144"/>
      <c r="B811" s="144"/>
      <c r="C811" s="144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144"/>
      <c r="B812" s="144"/>
      <c r="C812" s="144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144"/>
      <c r="B813" s="144"/>
      <c r="C813" s="144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144"/>
      <c r="B814" s="144"/>
      <c r="C814" s="144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144"/>
      <c r="B815" s="144"/>
      <c r="C815" s="144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144"/>
      <c r="B816" s="144"/>
      <c r="C816" s="144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144"/>
      <c r="B817" s="144"/>
      <c r="C817" s="144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144"/>
      <c r="B818" s="144"/>
      <c r="C818" s="144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144"/>
      <c r="B819" s="144"/>
      <c r="C819" s="144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144"/>
      <c r="B820" s="144"/>
      <c r="C820" s="144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144"/>
      <c r="B821" s="144"/>
      <c r="C821" s="144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144"/>
      <c r="B822" s="144"/>
      <c r="C822" s="144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144"/>
      <c r="B823" s="144"/>
      <c r="C823" s="144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144"/>
      <c r="B824" s="144"/>
      <c r="C824" s="144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144"/>
      <c r="B825" s="144"/>
      <c r="C825" s="144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144"/>
      <c r="B826" s="144"/>
      <c r="C826" s="144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144"/>
      <c r="B827" s="144"/>
      <c r="C827" s="144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144"/>
      <c r="B828" s="144"/>
      <c r="C828" s="144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144"/>
      <c r="B829" s="144"/>
      <c r="C829" s="144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144"/>
      <c r="B830" s="144"/>
      <c r="C830" s="144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144"/>
      <c r="B831" s="144"/>
      <c r="C831" s="144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144"/>
      <c r="B832" s="144"/>
      <c r="C832" s="144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144"/>
      <c r="B833" s="144"/>
      <c r="C833" s="144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144"/>
      <c r="B834" s="144"/>
      <c r="C834" s="144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144"/>
      <c r="B835" s="144"/>
      <c r="C835" s="144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144"/>
      <c r="B836" s="144"/>
      <c r="C836" s="144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144"/>
      <c r="B837" s="144"/>
      <c r="C837" s="144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144"/>
      <c r="B838" s="144"/>
      <c r="C838" s="144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144"/>
      <c r="B839" s="144"/>
      <c r="C839" s="144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144"/>
      <c r="B840" s="144"/>
      <c r="C840" s="144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144"/>
      <c r="B841" s="144"/>
      <c r="C841" s="144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144"/>
      <c r="B842" s="144"/>
      <c r="C842" s="144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144"/>
      <c r="B843" s="144"/>
      <c r="C843" s="144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144"/>
      <c r="B844" s="144"/>
      <c r="C844" s="144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144"/>
      <c r="B845" s="144"/>
      <c r="C845" s="144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144"/>
      <c r="B846" s="144"/>
      <c r="C846" s="144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144"/>
      <c r="B847" s="144"/>
      <c r="C847" s="144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144"/>
      <c r="B848" s="144"/>
      <c r="C848" s="144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144"/>
      <c r="B849" s="144"/>
      <c r="C849" s="144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144"/>
      <c r="B850" s="144"/>
      <c r="C850" s="144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144"/>
      <c r="B851" s="144"/>
      <c r="C851" s="144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144"/>
      <c r="B852" s="144"/>
      <c r="C852" s="144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144"/>
      <c r="B853" s="144"/>
      <c r="C853" s="144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144"/>
      <c r="B854" s="144"/>
      <c r="C854" s="144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144"/>
      <c r="B855" s="144"/>
      <c r="C855" s="144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144"/>
      <c r="B856" s="144"/>
      <c r="C856" s="144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144"/>
      <c r="B857" s="144"/>
      <c r="C857" s="144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144"/>
      <c r="B858" s="144"/>
      <c r="C858" s="144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144"/>
      <c r="B859" s="144"/>
      <c r="C859" s="144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144"/>
      <c r="B860" s="144"/>
      <c r="C860" s="144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144"/>
      <c r="B861" s="144"/>
      <c r="C861" s="144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144"/>
      <c r="B862" s="144"/>
      <c r="C862" s="144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144"/>
      <c r="B863" s="144"/>
      <c r="C863" s="144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144"/>
      <c r="B864" s="144"/>
      <c r="C864" s="144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144"/>
      <c r="B865" s="144"/>
      <c r="C865" s="144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144"/>
      <c r="B866" s="144"/>
      <c r="C866" s="144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144"/>
      <c r="B867" s="144"/>
      <c r="C867" s="144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144"/>
      <c r="B868" s="144"/>
      <c r="C868" s="144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144"/>
      <c r="B869" s="144"/>
      <c r="C869" s="144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144"/>
      <c r="B870" s="144"/>
      <c r="C870" s="144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144"/>
      <c r="B871" s="144"/>
      <c r="C871" s="144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144"/>
      <c r="B872" s="144"/>
      <c r="C872" s="144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144"/>
      <c r="B873" s="144"/>
      <c r="C873" s="144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144"/>
      <c r="B874" s="144"/>
      <c r="C874" s="144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144"/>
      <c r="B875" s="144"/>
      <c r="C875" s="144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144"/>
      <c r="B876" s="144"/>
      <c r="C876" s="144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144"/>
      <c r="B877" s="144"/>
      <c r="C877" s="144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144"/>
      <c r="B878" s="144"/>
      <c r="C878" s="144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144"/>
      <c r="B879" s="144"/>
      <c r="C879" s="144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144"/>
      <c r="B880" s="144"/>
      <c r="C880" s="144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144"/>
      <c r="B881" s="144"/>
      <c r="C881" s="144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144"/>
      <c r="B882" s="144"/>
      <c r="C882" s="144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144"/>
      <c r="B883" s="144"/>
      <c r="C883" s="144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144"/>
      <c r="B884" s="144"/>
      <c r="C884" s="144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144"/>
      <c r="B885" s="144"/>
      <c r="C885" s="144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144"/>
      <c r="B886" s="144"/>
      <c r="C886" s="144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144"/>
      <c r="B887" s="144"/>
      <c r="C887" s="144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144"/>
      <c r="B888" s="144"/>
      <c r="C888" s="144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144"/>
      <c r="B889" s="144"/>
      <c r="C889" s="144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144"/>
      <c r="B890" s="144"/>
      <c r="C890" s="144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144"/>
      <c r="B891" s="144"/>
      <c r="C891" s="144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144"/>
      <c r="B892" s="144"/>
      <c r="C892" s="144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144"/>
      <c r="B893" s="144"/>
      <c r="C893" s="144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144"/>
      <c r="B894" s="144"/>
      <c r="C894" s="144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144"/>
      <c r="B895" s="144"/>
      <c r="C895" s="144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144"/>
      <c r="B896" s="144"/>
      <c r="C896" s="144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144"/>
      <c r="B897" s="144"/>
      <c r="C897" s="144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144"/>
      <c r="B898" s="144"/>
      <c r="C898" s="144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144"/>
      <c r="B899" s="144"/>
      <c r="C899" s="144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144"/>
      <c r="B900" s="144"/>
      <c r="C900" s="144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144"/>
      <c r="B901" s="144"/>
      <c r="C901" s="144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144"/>
      <c r="B902" s="144"/>
      <c r="C902" s="144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144"/>
      <c r="B903" s="144"/>
      <c r="C903" s="144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144"/>
      <c r="B904" s="144"/>
      <c r="C904" s="144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144"/>
      <c r="B905" s="144"/>
      <c r="C905" s="144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144"/>
      <c r="B906" s="144"/>
      <c r="C906" s="144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144"/>
      <c r="B907" s="144"/>
      <c r="C907" s="144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144"/>
      <c r="B908" s="144"/>
      <c r="C908" s="144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144"/>
      <c r="B909" s="144"/>
      <c r="C909" s="144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144"/>
      <c r="B910" s="144"/>
      <c r="C910" s="144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144"/>
      <c r="B911" s="144"/>
      <c r="C911" s="144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144"/>
      <c r="B912" s="144"/>
      <c r="C912" s="144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144"/>
      <c r="B913" s="144"/>
      <c r="C913" s="144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144"/>
      <c r="B914" s="144"/>
      <c r="C914" s="144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144"/>
      <c r="B915" s="144"/>
      <c r="C915" s="144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144"/>
      <c r="B916" s="144"/>
      <c r="C916" s="144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144"/>
      <c r="B917" s="144"/>
      <c r="C917" s="144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144"/>
      <c r="B918" s="144"/>
      <c r="C918" s="144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144"/>
      <c r="B919" s="144"/>
      <c r="C919" s="144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144"/>
      <c r="B920" s="144"/>
      <c r="C920" s="144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144"/>
      <c r="B921" s="144"/>
      <c r="C921" s="144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144"/>
      <c r="B922" s="144"/>
      <c r="C922" s="144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144"/>
      <c r="B923" s="144"/>
      <c r="C923" s="144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144"/>
      <c r="B924" s="144"/>
      <c r="C924" s="144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144"/>
      <c r="B925" s="144"/>
      <c r="C925" s="144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144"/>
      <c r="B926" s="144"/>
      <c r="C926" s="144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144"/>
      <c r="B927" s="144"/>
      <c r="C927" s="144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144"/>
      <c r="B928" s="144"/>
      <c r="C928" s="144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144"/>
      <c r="B929" s="144"/>
      <c r="C929" s="144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144"/>
      <c r="B930" s="144"/>
      <c r="C930" s="144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144"/>
      <c r="B931" s="144"/>
      <c r="C931" s="144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144"/>
      <c r="B932" s="144"/>
      <c r="C932" s="144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144"/>
      <c r="B933" s="144"/>
      <c r="C933" s="144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144"/>
      <c r="B934" s="144"/>
      <c r="C934" s="144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144"/>
      <c r="B935" s="144"/>
      <c r="C935" s="144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144"/>
      <c r="B936" s="144"/>
      <c r="C936" s="144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144"/>
      <c r="B937" s="144"/>
      <c r="C937" s="144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144"/>
      <c r="B938" s="144"/>
      <c r="C938" s="144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144"/>
      <c r="B939" s="144"/>
      <c r="C939" s="144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144"/>
      <c r="B940" s="144"/>
      <c r="C940" s="144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144"/>
      <c r="B941" s="144"/>
      <c r="C941" s="144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144"/>
      <c r="B942" s="144"/>
      <c r="C942" s="144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144"/>
      <c r="B943" s="144"/>
      <c r="C943" s="144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144"/>
      <c r="B944" s="144"/>
      <c r="C944" s="144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144"/>
      <c r="B945" s="144"/>
      <c r="C945" s="144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144"/>
      <c r="B946" s="144"/>
      <c r="C946" s="144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144"/>
      <c r="B947" s="144"/>
      <c r="C947" s="144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144"/>
      <c r="B948" s="144"/>
      <c r="C948" s="144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144"/>
      <c r="B949" s="144"/>
      <c r="C949" s="144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144"/>
      <c r="B950" s="144"/>
      <c r="C950" s="144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144"/>
      <c r="B951" s="144"/>
      <c r="C951" s="144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144"/>
      <c r="B952" s="144"/>
      <c r="C952" s="144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144"/>
      <c r="B953" s="144"/>
      <c r="C953" s="144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144"/>
      <c r="B954" s="144"/>
      <c r="C954" s="144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144"/>
      <c r="B955" s="144"/>
      <c r="C955" s="144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144"/>
      <c r="B956" s="144"/>
      <c r="C956" s="144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144"/>
      <c r="B957" s="144"/>
      <c r="C957" s="144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144"/>
      <c r="B958" s="144"/>
      <c r="C958" s="144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144"/>
      <c r="B959" s="144"/>
      <c r="C959" s="144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144"/>
      <c r="B960" s="144"/>
      <c r="C960" s="144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144"/>
      <c r="B961" s="144"/>
      <c r="C961" s="144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144"/>
      <c r="B962" s="144"/>
      <c r="C962" s="144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144"/>
      <c r="B963" s="144"/>
      <c r="C963" s="144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144"/>
      <c r="B964" s="144"/>
      <c r="C964" s="144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144"/>
      <c r="B965" s="144"/>
      <c r="C965" s="144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144"/>
      <c r="B966" s="144"/>
      <c r="C966" s="144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144"/>
      <c r="B967" s="144"/>
      <c r="C967" s="144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144"/>
      <c r="B968" s="144"/>
      <c r="C968" s="144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144"/>
      <c r="B969" s="144"/>
      <c r="C969" s="144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144"/>
      <c r="B970" s="144"/>
      <c r="C970" s="144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144"/>
      <c r="B971" s="144"/>
      <c r="C971" s="144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144"/>
      <c r="B972" s="144"/>
      <c r="C972" s="144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144"/>
      <c r="B973" s="144"/>
      <c r="C973" s="144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144"/>
      <c r="B974" s="144"/>
      <c r="C974" s="144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144"/>
      <c r="B975" s="144"/>
      <c r="C975" s="144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144"/>
      <c r="B976" s="144"/>
      <c r="C976" s="144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144"/>
      <c r="B977" s="144"/>
      <c r="C977" s="144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144"/>
      <c r="B978" s="144"/>
      <c r="C978" s="144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144"/>
      <c r="B979" s="144"/>
      <c r="C979" s="144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144"/>
      <c r="B980" s="144"/>
      <c r="C980" s="144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144"/>
      <c r="B981" s="144"/>
      <c r="C981" s="144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144"/>
      <c r="B982" s="144"/>
      <c r="C982" s="144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144"/>
      <c r="B983" s="144"/>
      <c r="C983" s="144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144"/>
      <c r="B984" s="144"/>
      <c r="C984" s="144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144"/>
      <c r="B985" s="144"/>
      <c r="C985" s="144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144"/>
      <c r="B986" s="144"/>
      <c r="C986" s="144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144"/>
      <c r="B987" s="144"/>
      <c r="C987" s="144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144"/>
      <c r="B988" s="144"/>
      <c r="C988" s="144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144"/>
      <c r="B989" s="144"/>
      <c r="C989" s="144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144"/>
      <c r="B990" s="144"/>
      <c r="C990" s="144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144"/>
      <c r="B991" s="144"/>
      <c r="C991" s="144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144"/>
      <c r="B992" s="144"/>
      <c r="C992" s="144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144"/>
      <c r="B993" s="144"/>
      <c r="C993" s="144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144"/>
      <c r="B994" s="144"/>
      <c r="C994" s="144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144"/>
      <c r="B995" s="144"/>
      <c r="C995" s="144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144"/>
      <c r="B996" s="144"/>
      <c r="C996" s="144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144"/>
      <c r="B997" s="144"/>
      <c r="C997" s="144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144"/>
      <c r="B998" s="144"/>
      <c r="C998" s="144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144"/>
      <c r="B999" s="144"/>
      <c r="C999" s="144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144"/>
      <c r="B1000" s="144"/>
      <c r="C1000" s="144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144"/>
      <c r="B1001" s="144"/>
      <c r="C1001" s="144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144"/>
      <c r="B1002" s="144"/>
      <c r="C1002" s="144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144"/>
      <c r="B1003" s="144"/>
      <c r="C1003" s="144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144"/>
      <c r="B1004" s="144"/>
      <c r="C1004" s="144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144"/>
      <c r="B1005" s="144"/>
      <c r="C1005" s="144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144"/>
      <c r="B1006" s="144"/>
      <c r="C1006" s="144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</sheetData>
  <dataValidations>
    <dataValidation type="custom" allowBlank="1" showDropDown="1" sqref="C2:C216">
      <formula1>OR(NOT(ISERROR(DATEVALUE(C2))), AND(ISNUMBER(C2), LEFT(CELL("format", C2))="D"))</formula1>
    </dataValidation>
  </dataValidations>
  <hyperlinks>
    <hyperlink r:id="rId1" ref="B146"/>
    <hyperlink r:id="rId2" ref="B147"/>
    <hyperlink r:id="rId3" ref="B148"/>
    <hyperlink r:id="rId4" ref="B149"/>
    <hyperlink r:id="rId5" ref="B150"/>
    <hyperlink r:id="rId6" ref="B151"/>
    <hyperlink r:id="rId7" ref="B152"/>
    <hyperlink r:id="rId8" ref="B153"/>
    <hyperlink r:id="rId9" ref="B154"/>
    <hyperlink r:id="rId10" ref="B155"/>
    <hyperlink r:id="rId11" ref="B156"/>
    <hyperlink r:id="rId12" ref="B157"/>
    <hyperlink r:id="rId13" ref="B158"/>
    <hyperlink r:id="rId14" ref="B159"/>
    <hyperlink r:id="rId15" ref="B160"/>
    <hyperlink r:id="rId16" ref="B161"/>
    <hyperlink r:id="rId17" ref="B162"/>
    <hyperlink r:id="rId18" ref="B163"/>
    <hyperlink r:id="rId19" ref="B164"/>
    <hyperlink r:id="rId20" ref="B165"/>
    <hyperlink r:id="rId21" ref="B166"/>
    <hyperlink r:id="rId22" ref="B167"/>
    <hyperlink r:id="rId23" ref="B168"/>
  </hyperlinks>
  <drawing r:id="rId24"/>
  <tableParts count="1">
    <tablePart r:id="rId2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27.13"/>
    <col customWidth="1" min="3" max="3" width="17.5"/>
    <col customWidth="1" min="4" max="4" width="26.13"/>
    <col customWidth="1" min="5" max="5" width="26.25"/>
    <col customWidth="1" min="6" max="6" width="27.5"/>
    <col customWidth="1" min="7" max="7" width="26.5"/>
    <col customWidth="1" min="10" max="10" width="16.13"/>
    <col customWidth="1" min="12" max="12" width="20.25"/>
    <col customWidth="1" min="18" max="18" width="19.88"/>
    <col customWidth="1" min="19" max="19" width="11.25"/>
    <col customWidth="1" min="20" max="20" width="8.88"/>
    <col customWidth="1" min="21" max="24" width="8.63"/>
  </cols>
  <sheetData>
    <row r="1" ht="22.5" customHeight="1">
      <c r="A1" s="1" t="s">
        <v>3</v>
      </c>
      <c r="B1" s="1" t="s">
        <v>2</v>
      </c>
      <c r="C1" s="1" t="s">
        <v>7</v>
      </c>
      <c r="D1" s="1" t="s">
        <v>12</v>
      </c>
      <c r="E1" s="1" t="s">
        <v>17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22.5" customHeight="1">
      <c r="A2" s="11" t="s">
        <v>29</v>
      </c>
      <c r="B2" s="11" t="s">
        <v>28</v>
      </c>
      <c r="C2" s="11">
        <v>1.0</v>
      </c>
      <c r="D2" s="17">
        <v>-92.866667</v>
      </c>
      <c r="E2" s="17">
        <v>19.35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ht="22.5" customHeight="1">
      <c r="A3" s="11" t="s">
        <v>63</v>
      </c>
      <c r="B3" s="11" t="s">
        <v>28</v>
      </c>
      <c r="C3" s="11">
        <v>2.0</v>
      </c>
      <c r="D3" s="17">
        <v>-92.6</v>
      </c>
      <c r="E3" s="17">
        <v>19.35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ht="22.5" customHeight="1">
      <c r="A4" s="11" t="s">
        <v>80</v>
      </c>
      <c r="B4" s="11" t="s">
        <v>28</v>
      </c>
      <c r="C4" s="11">
        <v>3.0</v>
      </c>
      <c r="D4" s="17">
        <v>-92.6</v>
      </c>
      <c r="E4" s="17">
        <v>19.25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ht="22.5" customHeight="1">
      <c r="A5" s="11" t="s">
        <v>94</v>
      </c>
      <c r="B5" s="11" t="s">
        <v>28</v>
      </c>
      <c r="C5" s="11">
        <v>4.0</v>
      </c>
      <c r="D5" s="17">
        <v>-93.0</v>
      </c>
      <c r="E5" s="17">
        <v>19.25</v>
      </c>
      <c r="F5" s="27"/>
      <c r="G5" s="27"/>
      <c r="H5" s="27"/>
      <c r="I5" s="2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ht="22.5" customHeight="1">
      <c r="A6" s="11" t="s">
        <v>106</v>
      </c>
      <c r="B6" s="11" t="s">
        <v>28</v>
      </c>
      <c r="C6" s="11">
        <v>5.0</v>
      </c>
      <c r="D6" s="17">
        <v>-93.0</v>
      </c>
      <c r="E6" s="17">
        <v>19.108333</v>
      </c>
      <c r="F6" s="27"/>
      <c r="G6" s="27"/>
      <c r="H6" s="27"/>
      <c r="I6" s="27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ht="22.5" customHeight="1">
      <c r="A7" s="11" t="s">
        <v>115</v>
      </c>
      <c r="B7" s="11" t="s">
        <v>28</v>
      </c>
      <c r="C7" s="11">
        <v>6.0</v>
      </c>
      <c r="D7" s="17">
        <v>-93.141667</v>
      </c>
      <c r="E7" s="17">
        <v>19.108333</v>
      </c>
      <c r="F7" s="27"/>
      <c r="G7" s="27"/>
      <c r="H7" s="27"/>
      <c r="I7" s="27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ht="22.5" customHeight="1">
      <c r="A8" s="11" t="s">
        <v>124</v>
      </c>
      <c r="B8" s="11" t="s">
        <v>28</v>
      </c>
      <c r="C8" s="11">
        <v>7.0</v>
      </c>
      <c r="D8" s="17">
        <v>-93.141667</v>
      </c>
      <c r="E8" s="17">
        <v>19.058333</v>
      </c>
      <c r="F8" s="27"/>
      <c r="G8" s="27"/>
      <c r="H8" s="27"/>
      <c r="I8" s="2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22.5" customHeight="1">
      <c r="A9" s="11" t="s">
        <v>135</v>
      </c>
      <c r="B9" s="11" t="s">
        <v>28</v>
      </c>
      <c r="C9" s="11">
        <v>8.0</v>
      </c>
      <c r="D9" s="17">
        <v>-93.216667</v>
      </c>
      <c r="E9" s="17">
        <v>19.058333</v>
      </c>
      <c r="F9" s="27"/>
      <c r="G9" s="27"/>
      <c r="H9" s="27"/>
      <c r="I9" s="27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22.5" customHeight="1">
      <c r="A10" s="11" t="s">
        <v>144</v>
      </c>
      <c r="B10" s="11" t="s">
        <v>28</v>
      </c>
      <c r="C10" s="11">
        <v>9.0</v>
      </c>
      <c r="D10" s="17">
        <v>-93.216667</v>
      </c>
      <c r="E10" s="17">
        <v>19.083333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22.5" customHeight="1">
      <c r="A11" s="11" t="s">
        <v>155</v>
      </c>
      <c r="B11" s="11" t="s">
        <v>28</v>
      </c>
      <c r="C11" s="11">
        <v>10.0</v>
      </c>
      <c r="D11" s="17">
        <v>-93.275</v>
      </c>
      <c r="E11" s="17">
        <v>19.083333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22.5" customHeight="1">
      <c r="A12" s="11" t="s">
        <v>165</v>
      </c>
      <c r="B12" s="11" t="s">
        <v>28</v>
      </c>
      <c r="C12" s="11">
        <v>11.0</v>
      </c>
      <c r="D12" s="17">
        <v>-93.275</v>
      </c>
      <c r="E12" s="17">
        <v>19.133333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22.5" customHeight="1">
      <c r="A13" s="11" t="s">
        <v>172</v>
      </c>
      <c r="B13" s="11" t="s">
        <v>28</v>
      </c>
      <c r="C13" s="11">
        <v>12.0</v>
      </c>
      <c r="D13" s="17">
        <v>-93.258333</v>
      </c>
      <c r="E13" s="17">
        <v>19.133333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22.5" customHeight="1">
      <c r="A14" s="11" t="s">
        <v>183</v>
      </c>
      <c r="B14" s="11" t="s">
        <v>28</v>
      </c>
      <c r="C14" s="11">
        <v>13.0</v>
      </c>
      <c r="D14" s="17">
        <v>-93.258333</v>
      </c>
      <c r="E14" s="17">
        <v>19.2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22.5" customHeight="1">
      <c r="A15" s="11" t="s">
        <v>193</v>
      </c>
      <c r="B15" s="11" t="s">
        <v>28</v>
      </c>
      <c r="C15" s="11">
        <v>14.0</v>
      </c>
      <c r="D15" s="17">
        <v>-93.166667</v>
      </c>
      <c r="E15" s="17">
        <v>19.2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22.5" customHeight="1">
      <c r="A16" s="11" t="s">
        <v>200</v>
      </c>
      <c r="B16" s="11" t="s">
        <v>28</v>
      </c>
      <c r="C16" s="11">
        <v>15.0</v>
      </c>
      <c r="D16" s="17">
        <v>-93.166667</v>
      </c>
      <c r="E16" s="17">
        <v>19.316667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22.5" customHeight="1">
      <c r="A17" s="11" t="s">
        <v>206</v>
      </c>
      <c r="B17" s="11" t="s">
        <v>28</v>
      </c>
      <c r="C17" s="11">
        <v>16.0</v>
      </c>
      <c r="D17" s="17">
        <v>-93.0</v>
      </c>
      <c r="E17" s="17">
        <v>19.316667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22.5" customHeight="1">
      <c r="A18" s="11" t="s">
        <v>215</v>
      </c>
      <c r="B18" s="11" t="s">
        <v>28</v>
      </c>
      <c r="C18" s="11">
        <v>17.0</v>
      </c>
      <c r="D18" s="17">
        <v>-93.0</v>
      </c>
      <c r="E18" s="17">
        <v>19.325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22.5" customHeight="1">
      <c r="A19" s="11" t="s">
        <v>224</v>
      </c>
      <c r="B19" s="11" t="s">
        <v>28</v>
      </c>
      <c r="C19" s="11">
        <v>18.0</v>
      </c>
      <c r="D19" s="17">
        <v>-92.933333</v>
      </c>
      <c r="E19" s="17">
        <v>19.325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22.5" customHeight="1">
      <c r="A20" s="11" t="s">
        <v>230</v>
      </c>
      <c r="B20" s="11" t="s">
        <v>28</v>
      </c>
      <c r="C20" s="11">
        <v>19.0</v>
      </c>
      <c r="D20" s="17">
        <v>-92.933333</v>
      </c>
      <c r="E20" s="17">
        <v>19.375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22.5" customHeight="1">
      <c r="A21" s="11" t="s">
        <v>241</v>
      </c>
      <c r="B21" s="11" t="s">
        <v>28</v>
      </c>
      <c r="C21" s="11">
        <v>20.0</v>
      </c>
      <c r="D21" s="17">
        <v>-92.866667</v>
      </c>
      <c r="E21" s="17">
        <v>19.375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22.5" customHeight="1">
      <c r="A22" s="11" t="s">
        <v>248</v>
      </c>
      <c r="B22" s="11" t="s">
        <v>67</v>
      </c>
      <c r="C22" s="11">
        <v>1.0</v>
      </c>
      <c r="D22" s="17">
        <v>-96.833333</v>
      </c>
      <c r="E22" s="17">
        <v>21.308333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22.5" customHeight="1">
      <c r="A23" s="11" t="s">
        <v>256</v>
      </c>
      <c r="B23" s="11" t="s">
        <v>67</v>
      </c>
      <c r="C23" s="11">
        <v>2.0</v>
      </c>
      <c r="D23" s="17">
        <v>-96.833333</v>
      </c>
      <c r="E23" s="17">
        <v>21.116667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22.5" customHeight="1">
      <c r="A24" s="11" t="s">
        <v>265</v>
      </c>
      <c r="B24" s="11" t="s">
        <v>67</v>
      </c>
      <c r="C24" s="11">
        <v>3.0</v>
      </c>
      <c r="D24" s="17">
        <v>-97.008333</v>
      </c>
      <c r="E24" s="17">
        <v>21.116667</v>
      </c>
      <c r="F24" s="54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22.5" customHeight="1">
      <c r="A25" s="11" t="s">
        <v>276</v>
      </c>
      <c r="B25" s="11" t="s">
        <v>67</v>
      </c>
      <c r="C25" s="11">
        <v>4.0</v>
      </c>
      <c r="D25" s="17">
        <v>-97.008333</v>
      </c>
      <c r="E25" s="17">
        <v>21.1</v>
      </c>
      <c r="F25" s="54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22.5" customHeight="1">
      <c r="A26" s="11" t="s">
        <v>284</v>
      </c>
      <c r="B26" s="11" t="s">
        <v>67</v>
      </c>
      <c r="C26" s="11">
        <v>5.0</v>
      </c>
      <c r="D26" s="17">
        <v>-97.083333</v>
      </c>
      <c r="E26" s="17">
        <v>21.1</v>
      </c>
      <c r="F26" s="5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22.5" customHeight="1">
      <c r="A27" s="11" t="s">
        <v>295</v>
      </c>
      <c r="B27" s="11" t="s">
        <v>67</v>
      </c>
      <c r="C27" s="11">
        <v>6.0</v>
      </c>
      <c r="D27" s="17">
        <v>-97.083333</v>
      </c>
      <c r="E27" s="17">
        <v>21.091667</v>
      </c>
      <c r="F27" s="54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22.5" customHeight="1">
      <c r="A28" s="11" t="s">
        <v>304</v>
      </c>
      <c r="B28" s="11" t="s">
        <v>67</v>
      </c>
      <c r="C28" s="11">
        <v>7.0</v>
      </c>
      <c r="D28" s="17">
        <v>-97.075</v>
      </c>
      <c r="E28" s="17">
        <v>21.091667</v>
      </c>
      <c r="F28" s="54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22.5" customHeight="1">
      <c r="A29" s="11" t="s">
        <v>308</v>
      </c>
      <c r="B29" s="11" t="s">
        <v>67</v>
      </c>
      <c r="C29" s="11">
        <v>8.0</v>
      </c>
      <c r="D29" s="17">
        <v>-97.075</v>
      </c>
      <c r="E29" s="17">
        <v>21.075</v>
      </c>
      <c r="F29" s="54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22.5" customHeight="1">
      <c r="A30" s="11" t="s">
        <v>316</v>
      </c>
      <c r="B30" s="11" t="s">
        <v>67</v>
      </c>
      <c r="C30" s="11">
        <v>9.0</v>
      </c>
      <c r="D30" s="17">
        <v>-97.066667</v>
      </c>
      <c r="E30" s="17">
        <v>21.075</v>
      </c>
      <c r="F30" s="54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22.5" customHeight="1">
      <c r="A31" s="11" t="s">
        <v>321</v>
      </c>
      <c r="B31" s="11" t="s">
        <v>67</v>
      </c>
      <c r="C31" s="11">
        <v>10.0</v>
      </c>
      <c r="D31" s="17">
        <v>-97.066667</v>
      </c>
      <c r="E31" s="17">
        <v>21.066667</v>
      </c>
      <c r="F31" s="54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22.5" customHeight="1">
      <c r="A32" s="11" t="s">
        <v>325</v>
      </c>
      <c r="B32" s="11" t="s">
        <v>67</v>
      </c>
      <c r="C32" s="11">
        <v>11.0</v>
      </c>
      <c r="D32" s="17">
        <v>-97.075</v>
      </c>
      <c r="E32" s="17">
        <v>21.066667</v>
      </c>
      <c r="F32" s="54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22.5" customHeight="1">
      <c r="A33" s="11" t="s">
        <v>330</v>
      </c>
      <c r="B33" s="11" t="s">
        <v>67</v>
      </c>
      <c r="C33" s="11">
        <v>12.0</v>
      </c>
      <c r="D33" s="17">
        <v>-97.075</v>
      </c>
      <c r="E33" s="17">
        <v>21.058333</v>
      </c>
      <c r="F33" s="54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22.5" customHeight="1">
      <c r="A34" s="11" t="s">
        <v>339</v>
      </c>
      <c r="B34" s="11" t="s">
        <v>67</v>
      </c>
      <c r="C34" s="11">
        <v>13.0</v>
      </c>
      <c r="D34" s="17">
        <v>-97.066667</v>
      </c>
      <c r="E34" s="17">
        <v>21.058333</v>
      </c>
      <c r="F34" s="54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22.5" customHeight="1">
      <c r="A35" s="11" t="s">
        <v>343</v>
      </c>
      <c r="B35" s="11" t="s">
        <v>67</v>
      </c>
      <c r="C35" s="11">
        <v>14.0</v>
      </c>
      <c r="D35" s="17">
        <v>-97.066667</v>
      </c>
      <c r="E35" s="17">
        <v>20.991667</v>
      </c>
      <c r="F35" s="54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22.5" customHeight="1">
      <c r="A36" s="11" t="s">
        <v>346</v>
      </c>
      <c r="B36" s="11" t="s">
        <v>67</v>
      </c>
      <c r="C36" s="11">
        <v>15.0</v>
      </c>
      <c r="D36" s="17">
        <v>-97.116667</v>
      </c>
      <c r="E36" s="17">
        <v>20.991667</v>
      </c>
      <c r="F36" s="54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22.5" customHeight="1">
      <c r="A37" s="11" t="s">
        <v>351</v>
      </c>
      <c r="B37" s="11" t="s">
        <v>67</v>
      </c>
      <c r="C37" s="11">
        <v>16.0</v>
      </c>
      <c r="D37" s="17">
        <v>-97.116667</v>
      </c>
      <c r="E37" s="17">
        <v>21.05</v>
      </c>
      <c r="F37" s="54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22.5" customHeight="1">
      <c r="A38" s="11" t="s">
        <v>354</v>
      </c>
      <c r="B38" s="11" t="s">
        <v>67</v>
      </c>
      <c r="C38" s="11">
        <v>17.0</v>
      </c>
      <c r="D38" s="17">
        <v>-97.183333</v>
      </c>
      <c r="E38" s="17">
        <v>21.05</v>
      </c>
      <c r="F38" s="54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22.5" customHeight="1">
      <c r="A39" s="11" t="s">
        <v>358</v>
      </c>
      <c r="B39" s="11" t="s">
        <v>67</v>
      </c>
      <c r="C39" s="11">
        <v>18.0</v>
      </c>
      <c r="D39" s="17">
        <v>-97.183333</v>
      </c>
      <c r="E39" s="17">
        <v>21.116667</v>
      </c>
      <c r="F39" s="54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22.5" customHeight="1">
      <c r="A40" s="11" t="s">
        <v>361</v>
      </c>
      <c r="B40" s="11" t="s">
        <v>67</v>
      </c>
      <c r="C40" s="11">
        <v>19.0</v>
      </c>
      <c r="D40" s="17">
        <v>-97.191667</v>
      </c>
      <c r="E40" s="17">
        <v>21.116667</v>
      </c>
      <c r="F40" s="54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22.5" customHeight="1">
      <c r="A41" s="11" t="s">
        <v>366</v>
      </c>
      <c r="B41" s="11" t="s">
        <v>67</v>
      </c>
      <c r="C41" s="11">
        <v>20.0</v>
      </c>
      <c r="D41" s="17">
        <v>-97.191667</v>
      </c>
      <c r="E41" s="17">
        <v>21.175</v>
      </c>
      <c r="F41" s="54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22.5" customHeight="1">
      <c r="A42" s="11" t="s">
        <v>372</v>
      </c>
      <c r="B42" s="11" t="s">
        <v>67</v>
      </c>
      <c r="C42" s="11">
        <v>21.0</v>
      </c>
      <c r="D42" s="17">
        <v>-97.233333</v>
      </c>
      <c r="E42" s="17">
        <v>21.175</v>
      </c>
      <c r="F42" s="54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22.5" customHeight="1">
      <c r="A43" s="11" t="s">
        <v>375</v>
      </c>
      <c r="B43" s="11" t="s">
        <v>67</v>
      </c>
      <c r="C43" s="11">
        <v>22.0</v>
      </c>
      <c r="D43" s="17">
        <v>-97.233333</v>
      </c>
      <c r="E43" s="17">
        <v>21.241667</v>
      </c>
      <c r="F43" s="54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22.5" customHeight="1">
      <c r="A44" s="11" t="s">
        <v>381</v>
      </c>
      <c r="B44" s="11" t="s">
        <v>67</v>
      </c>
      <c r="C44" s="11">
        <v>23.0</v>
      </c>
      <c r="D44" s="17">
        <v>-97.125</v>
      </c>
      <c r="E44" s="17">
        <v>21.241667</v>
      </c>
      <c r="F44" s="54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22.5" customHeight="1">
      <c r="A45" s="11" t="s">
        <v>388</v>
      </c>
      <c r="B45" s="11" t="s">
        <v>67</v>
      </c>
      <c r="C45" s="11">
        <v>24.0</v>
      </c>
      <c r="D45" s="17">
        <v>-97.125</v>
      </c>
      <c r="E45" s="17">
        <v>21.216667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22.5" customHeight="1">
      <c r="A46" s="11" t="s">
        <v>392</v>
      </c>
      <c r="B46" s="11" t="s">
        <v>67</v>
      </c>
      <c r="C46" s="11">
        <v>25.0</v>
      </c>
      <c r="D46" s="17">
        <v>-97.108333</v>
      </c>
      <c r="E46" s="17">
        <v>21.216667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ht="22.5" customHeight="1">
      <c r="A47" s="11" t="s">
        <v>396</v>
      </c>
      <c r="B47" s="11" t="s">
        <v>67</v>
      </c>
      <c r="C47" s="11">
        <v>26.0</v>
      </c>
      <c r="D47" s="17">
        <v>-97.108333</v>
      </c>
      <c r="E47" s="17">
        <v>21.225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ht="22.5" customHeight="1">
      <c r="A48" s="11" t="s">
        <v>400</v>
      </c>
      <c r="B48" s="11" t="s">
        <v>67</v>
      </c>
      <c r="C48" s="11">
        <v>27.0</v>
      </c>
      <c r="D48" s="17">
        <v>-97.1</v>
      </c>
      <c r="E48" s="17">
        <v>21.225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ht="22.5" customHeight="1">
      <c r="A49" s="11" t="s">
        <v>406</v>
      </c>
      <c r="B49" s="11" t="s">
        <v>67</v>
      </c>
      <c r="C49" s="11">
        <v>28.0</v>
      </c>
      <c r="D49" s="17">
        <v>-97.1</v>
      </c>
      <c r="E49" s="17">
        <v>21.241667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22.5" customHeight="1">
      <c r="A50" s="11" t="s">
        <v>410</v>
      </c>
      <c r="B50" s="11" t="s">
        <v>67</v>
      </c>
      <c r="C50" s="11">
        <v>29.0</v>
      </c>
      <c r="D50" s="17">
        <v>-96.991667</v>
      </c>
      <c r="E50" s="17">
        <v>21.241667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ht="22.5" customHeight="1">
      <c r="A51" s="11" t="s">
        <v>414</v>
      </c>
      <c r="B51" s="11" t="s">
        <v>67</v>
      </c>
      <c r="C51" s="11">
        <v>30.0</v>
      </c>
      <c r="D51" s="17">
        <v>-96.991667</v>
      </c>
      <c r="E51" s="17">
        <v>21.308333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ht="22.5" customHeight="1">
      <c r="A52" s="11" t="s">
        <v>417</v>
      </c>
      <c r="B52" s="11" t="s">
        <v>103</v>
      </c>
      <c r="C52" s="11">
        <v>1.0</v>
      </c>
      <c r="D52" s="17">
        <v>-93.5</v>
      </c>
      <c r="E52" s="17">
        <v>20.65</v>
      </c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</row>
    <row r="53" ht="22.5" customHeight="1">
      <c r="A53" s="11" t="s">
        <v>421</v>
      </c>
      <c r="B53" s="11" t="s">
        <v>103</v>
      </c>
      <c r="C53" s="11">
        <v>2.0</v>
      </c>
      <c r="D53" s="17">
        <v>-93.016667</v>
      </c>
      <c r="E53" s="17">
        <v>20.65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22.5" customHeight="1">
      <c r="A54" s="11" t="s">
        <v>425</v>
      </c>
      <c r="B54" s="11" t="s">
        <v>103</v>
      </c>
      <c r="C54" s="11">
        <v>3.0</v>
      </c>
      <c r="D54" s="17">
        <v>-93.016667</v>
      </c>
      <c r="E54" s="17">
        <v>20.383333</v>
      </c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</row>
    <row r="55" ht="22.5" customHeight="1">
      <c r="A55" s="11" t="s">
        <v>430</v>
      </c>
      <c r="B55" s="11" t="s">
        <v>103</v>
      </c>
      <c r="C55" s="11">
        <v>4.0</v>
      </c>
      <c r="D55" s="17">
        <v>-93.675</v>
      </c>
      <c r="E55" s="17">
        <v>20.383333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22.5" customHeight="1">
      <c r="A56" s="11" t="s">
        <v>433</v>
      </c>
      <c r="B56" s="11" t="s">
        <v>103</v>
      </c>
      <c r="C56" s="11">
        <v>5.0</v>
      </c>
      <c r="D56" s="17">
        <v>-93.675</v>
      </c>
      <c r="E56" s="17">
        <v>20.7</v>
      </c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</row>
    <row r="57" ht="22.5" customHeight="1">
      <c r="A57" s="11" t="s">
        <v>437</v>
      </c>
      <c r="B57" s="11" t="s">
        <v>103</v>
      </c>
      <c r="C57" s="11">
        <v>6.0</v>
      </c>
      <c r="D57" s="17">
        <v>-93.866667</v>
      </c>
      <c r="E57" s="17">
        <v>20.7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ht="22.5" customHeight="1">
      <c r="A58" s="11" t="s">
        <v>441</v>
      </c>
      <c r="B58" s="11" t="s">
        <v>103</v>
      </c>
      <c r="C58" s="11">
        <v>7.0</v>
      </c>
      <c r="D58" s="17">
        <v>-93.866667</v>
      </c>
      <c r="E58" s="17">
        <v>20.883333</v>
      </c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</row>
    <row r="59" ht="22.5" customHeight="1">
      <c r="A59" s="11" t="s">
        <v>446</v>
      </c>
      <c r="B59" s="11" t="s">
        <v>103</v>
      </c>
      <c r="C59" s="11">
        <v>8.0</v>
      </c>
      <c r="D59" s="17">
        <v>-93.5</v>
      </c>
      <c r="E59" s="17">
        <v>20.883333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22.5" customHeight="1">
      <c r="A60" s="11" t="s">
        <v>450</v>
      </c>
      <c r="B60" s="11" t="s">
        <v>133</v>
      </c>
      <c r="C60" s="11">
        <v>1.0</v>
      </c>
      <c r="D60" s="17">
        <v>-96.0</v>
      </c>
      <c r="E60" s="17">
        <v>25.0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22.5" customHeight="1">
      <c r="A61" s="11" t="s">
        <v>456</v>
      </c>
      <c r="B61" s="11" t="s">
        <v>133</v>
      </c>
      <c r="C61" s="11">
        <v>2.0</v>
      </c>
      <c r="D61" s="17">
        <v>-96.0</v>
      </c>
      <c r="E61" s="17">
        <v>25.15833333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ht="22.5" customHeight="1">
      <c r="A62" s="11" t="s">
        <v>461</v>
      </c>
      <c r="B62" s="11" t="s">
        <v>133</v>
      </c>
      <c r="C62" s="11">
        <v>3.0</v>
      </c>
      <c r="D62" s="17">
        <v>-95.86666667</v>
      </c>
      <c r="E62" s="17">
        <v>25.15833333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ht="22.5" customHeight="1">
      <c r="A63" s="11" t="s">
        <v>465</v>
      </c>
      <c r="B63" s="11" t="s">
        <v>133</v>
      </c>
      <c r="C63" s="11">
        <v>4.0</v>
      </c>
      <c r="D63" s="17">
        <v>-95.86666667</v>
      </c>
      <c r="E63" s="17">
        <v>25.86666667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ht="22.5" customHeight="1">
      <c r="A64" s="11" t="s">
        <v>469</v>
      </c>
      <c r="B64" s="11" t="s">
        <v>133</v>
      </c>
      <c r="C64" s="11">
        <v>5.0</v>
      </c>
      <c r="D64" s="17">
        <v>-95.66666667</v>
      </c>
      <c r="E64" s="17">
        <v>25.86666667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ht="22.5" customHeight="1">
      <c r="A65" s="11" t="s">
        <v>473</v>
      </c>
      <c r="B65" s="11" t="s">
        <v>133</v>
      </c>
      <c r="C65" s="11">
        <v>6.0</v>
      </c>
      <c r="D65" s="17">
        <v>-95.66666667</v>
      </c>
      <c r="E65" s="17">
        <v>25.0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22.5" customHeight="1">
      <c r="A66" s="11" t="s">
        <v>478</v>
      </c>
      <c r="B66" s="11" t="s">
        <v>142</v>
      </c>
      <c r="C66" s="11">
        <v>1.0</v>
      </c>
      <c r="D66" s="17">
        <v>-97.066667</v>
      </c>
      <c r="E66" s="17">
        <v>20.991667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22.5" customHeight="1">
      <c r="A67" s="11" t="s">
        <v>482</v>
      </c>
      <c r="B67" s="11" t="s">
        <v>142</v>
      </c>
      <c r="C67" s="11">
        <v>2.0</v>
      </c>
      <c r="D67" s="17">
        <v>-97.066667</v>
      </c>
      <c r="E67" s="17">
        <v>20.941667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ht="22.5" customHeight="1">
      <c r="A68" s="11" t="s">
        <v>489</v>
      </c>
      <c r="B68" s="11" t="s">
        <v>142</v>
      </c>
      <c r="C68" s="11">
        <v>3.0</v>
      </c>
      <c r="D68" s="17">
        <v>-97.058333</v>
      </c>
      <c r="E68" s="17">
        <v>20.941667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ht="22.5" customHeight="1">
      <c r="A69" s="11" t="s">
        <v>493</v>
      </c>
      <c r="B69" s="11" t="s">
        <v>142</v>
      </c>
      <c r="C69" s="11">
        <v>4.0</v>
      </c>
      <c r="D69" s="17">
        <v>-97.058333</v>
      </c>
      <c r="E69" s="17">
        <v>20.908333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ht="22.5" customHeight="1">
      <c r="A70" s="11" t="s">
        <v>497</v>
      </c>
      <c r="B70" s="11" t="s">
        <v>142</v>
      </c>
      <c r="C70" s="11">
        <v>5.0</v>
      </c>
      <c r="D70" s="17">
        <v>-97.041667</v>
      </c>
      <c r="E70" s="17">
        <v>20.908333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ht="22.5" customHeight="1">
      <c r="A71" s="11" t="s">
        <v>500</v>
      </c>
      <c r="B71" s="11" t="s">
        <v>142</v>
      </c>
      <c r="C71" s="11">
        <v>6.0</v>
      </c>
      <c r="D71" s="17">
        <v>-97.041667</v>
      </c>
      <c r="E71" s="17">
        <v>20.9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ht="22.5" customHeight="1">
      <c r="A72" s="11" t="s">
        <v>505</v>
      </c>
      <c r="B72" s="11" t="s">
        <v>142</v>
      </c>
      <c r="C72" s="11">
        <v>7.0</v>
      </c>
      <c r="D72" s="17">
        <v>-97.05</v>
      </c>
      <c r="E72" s="17">
        <v>20.9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ht="22.5" customHeight="1">
      <c r="A73" s="11" t="s">
        <v>509</v>
      </c>
      <c r="B73" s="11" t="s">
        <v>142</v>
      </c>
      <c r="C73" s="11">
        <v>8.0</v>
      </c>
      <c r="D73" s="17">
        <v>-97.05</v>
      </c>
      <c r="E73" s="17">
        <v>20.891667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ht="22.5" customHeight="1">
      <c r="A74" s="11" t="s">
        <v>514</v>
      </c>
      <c r="B74" s="11" t="s">
        <v>142</v>
      </c>
      <c r="C74" s="11">
        <v>9.0</v>
      </c>
      <c r="D74" s="17">
        <v>-97.041667</v>
      </c>
      <c r="E74" s="17">
        <v>20.891667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ht="22.5" customHeight="1">
      <c r="A75" s="11" t="s">
        <v>518</v>
      </c>
      <c r="B75" s="11" t="s">
        <v>142</v>
      </c>
      <c r="C75" s="11">
        <v>10.0</v>
      </c>
      <c r="D75" s="17">
        <v>-97.041667</v>
      </c>
      <c r="E75" s="17">
        <v>20.875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ht="22.5" customHeight="1">
      <c r="A76" s="11" t="s">
        <v>521</v>
      </c>
      <c r="B76" s="11" t="s">
        <v>142</v>
      </c>
      <c r="C76" s="11">
        <v>11.0</v>
      </c>
      <c r="D76" s="17">
        <v>-97.033333</v>
      </c>
      <c r="E76" s="17">
        <v>20.875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ht="22.5" customHeight="1">
      <c r="A77" s="11" t="s">
        <v>525</v>
      </c>
      <c r="B77" s="11" t="s">
        <v>142</v>
      </c>
      <c r="C77" s="11">
        <v>12.0</v>
      </c>
      <c r="D77" s="17">
        <v>-97.033333</v>
      </c>
      <c r="E77" s="17">
        <v>20.858333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ht="22.5" customHeight="1">
      <c r="A78" s="11" t="s">
        <v>529</v>
      </c>
      <c r="B78" s="11" t="s">
        <v>142</v>
      </c>
      <c r="C78" s="11">
        <v>13.0</v>
      </c>
      <c r="D78" s="17">
        <v>-97.025</v>
      </c>
      <c r="E78" s="17">
        <v>20.858333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ht="22.5" customHeight="1">
      <c r="A79" s="11" t="s">
        <v>535</v>
      </c>
      <c r="B79" s="11" t="s">
        <v>142</v>
      </c>
      <c r="C79" s="11">
        <v>14.0</v>
      </c>
      <c r="D79" s="17">
        <v>-97.025</v>
      </c>
      <c r="E79" s="17">
        <v>20.85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ht="22.5" customHeight="1">
      <c r="A80" s="11" t="s">
        <v>540</v>
      </c>
      <c r="B80" s="11" t="s">
        <v>142</v>
      </c>
      <c r="C80" s="11">
        <v>15.0</v>
      </c>
      <c r="D80" s="17">
        <v>-97.016667</v>
      </c>
      <c r="E80" s="17">
        <v>20.85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ht="22.5" customHeight="1">
      <c r="A81" s="11" t="s">
        <v>544</v>
      </c>
      <c r="B81" s="11" t="s">
        <v>142</v>
      </c>
      <c r="C81" s="11">
        <v>16.0</v>
      </c>
      <c r="D81" s="17">
        <v>-97.016667</v>
      </c>
      <c r="E81" s="17">
        <v>20.833333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ht="22.5" customHeight="1">
      <c r="A82" s="11" t="s">
        <v>546</v>
      </c>
      <c r="B82" s="11" t="s">
        <v>142</v>
      </c>
      <c r="C82" s="11">
        <v>17.0</v>
      </c>
      <c r="D82" s="17">
        <v>-97.008333</v>
      </c>
      <c r="E82" s="17">
        <v>20.833333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ht="22.5" customHeight="1">
      <c r="A83" s="11" t="s">
        <v>550</v>
      </c>
      <c r="B83" s="11" t="s">
        <v>142</v>
      </c>
      <c r="C83" s="11">
        <v>18.0</v>
      </c>
      <c r="D83" s="17">
        <v>-97.008333</v>
      </c>
      <c r="E83" s="17">
        <v>20.825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ht="22.5" customHeight="1">
      <c r="A84" s="11" t="s">
        <v>554</v>
      </c>
      <c r="B84" s="11" t="s">
        <v>142</v>
      </c>
      <c r="C84" s="11">
        <v>19.0</v>
      </c>
      <c r="D84" s="17">
        <v>-97.0</v>
      </c>
      <c r="E84" s="17">
        <v>20.825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ht="22.5" customHeight="1">
      <c r="A85" s="11" t="s">
        <v>558</v>
      </c>
      <c r="B85" s="11" t="s">
        <v>142</v>
      </c>
      <c r="C85" s="11">
        <v>20.0</v>
      </c>
      <c r="D85" s="17">
        <v>-97.0</v>
      </c>
      <c r="E85" s="17">
        <v>20.816667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ht="22.5" customHeight="1">
      <c r="A86" s="11" t="s">
        <v>562</v>
      </c>
      <c r="B86" s="11" t="s">
        <v>142</v>
      </c>
      <c r="C86" s="11">
        <v>21.0</v>
      </c>
      <c r="D86" s="17">
        <v>-96.991667</v>
      </c>
      <c r="E86" s="17">
        <v>20.816667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ht="22.5" customHeight="1">
      <c r="A87" s="11" t="s">
        <v>566</v>
      </c>
      <c r="B87" s="11" t="s">
        <v>142</v>
      </c>
      <c r="C87" s="11">
        <v>22.0</v>
      </c>
      <c r="D87" s="17">
        <v>-96.991667</v>
      </c>
      <c r="E87" s="17">
        <v>20.683333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ht="22.5" customHeight="1">
      <c r="A88" s="11" t="s">
        <v>570</v>
      </c>
      <c r="B88" s="11" t="s">
        <v>142</v>
      </c>
      <c r="C88" s="11">
        <v>23.0</v>
      </c>
      <c r="D88" s="17">
        <v>-96.958333</v>
      </c>
      <c r="E88" s="17">
        <v>20.683333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ht="22.5" customHeight="1">
      <c r="A89" s="11" t="s">
        <v>574</v>
      </c>
      <c r="B89" s="11" t="s">
        <v>142</v>
      </c>
      <c r="C89" s="11">
        <v>24.0</v>
      </c>
      <c r="D89" s="17">
        <v>-96.958333</v>
      </c>
      <c r="E89" s="17">
        <v>20.641667</v>
      </c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ht="22.5" customHeight="1">
      <c r="A90" s="11" t="s">
        <v>577</v>
      </c>
      <c r="B90" s="11" t="s">
        <v>142</v>
      </c>
      <c r="C90" s="11">
        <v>25.0</v>
      </c>
      <c r="D90" s="17">
        <v>-97.158333</v>
      </c>
      <c r="E90" s="17">
        <v>20.641667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ht="22.5" customHeight="1">
      <c r="A91" s="11" t="s">
        <v>581</v>
      </c>
      <c r="B91" s="11" t="s">
        <v>142</v>
      </c>
      <c r="C91" s="11">
        <v>26.0</v>
      </c>
      <c r="D91" s="17">
        <v>-97.158333</v>
      </c>
      <c r="E91" s="17">
        <v>20.65</v>
      </c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ht="22.5" customHeight="1">
      <c r="A92" s="11" t="s">
        <v>586</v>
      </c>
      <c r="B92" s="11" t="s">
        <v>142</v>
      </c>
      <c r="C92" s="11">
        <v>27.0</v>
      </c>
      <c r="D92" s="17">
        <v>-97.166667</v>
      </c>
      <c r="E92" s="17">
        <v>20.65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ht="22.5" customHeight="1">
      <c r="A93" s="11" t="s">
        <v>590</v>
      </c>
      <c r="B93" s="11" t="s">
        <v>142</v>
      </c>
      <c r="C93" s="11">
        <v>28.0</v>
      </c>
      <c r="D93" s="17">
        <v>-97.166667</v>
      </c>
      <c r="E93" s="17">
        <v>20.683333</v>
      </c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ht="22.5" customHeight="1">
      <c r="A94" s="11" t="s">
        <v>593</v>
      </c>
      <c r="B94" s="11" t="s">
        <v>142</v>
      </c>
      <c r="C94" s="11">
        <v>29.0</v>
      </c>
      <c r="D94" s="17">
        <v>-97.183333</v>
      </c>
      <c r="E94" s="17">
        <v>20.683333</v>
      </c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ht="22.5" customHeight="1">
      <c r="A95" s="11" t="s">
        <v>594</v>
      </c>
      <c r="B95" s="11" t="s">
        <v>142</v>
      </c>
      <c r="C95" s="11">
        <v>30.0</v>
      </c>
      <c r="D95" s="17">
        <v>-97.183333</v>
      </c>
      <c r="E95" s="17">
        <v>20.708333</v>
      </c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ht="22.5" customHeight="1">
      <c r="A96" s="11" t="s">
        <v>596</v>
      </c>
      <c r="B96" s="11" t="s">
        <v>142</v>
      </c>
      <c r="C96" s="11">
        <v>31.0</v>
      </c>
      <c r="D96" s="17">
        <v>-97.191667</v>
      </c>
      <c r="E96" s="17">
        <v>20.708333</v>
      </c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ht="22.5" customHeight="1">
      <c r="A97" s="11" t="s">
        <v>599</v>
      </c>
      <c r="B97" s="11" t="s">
        <v>142</v>
      </c>
      <c r="C97" s="11">
        <v>32.0</v>
      </c>
      <c r="D97" s="17">
        <v>-97.191667</v>
      </c>
      <c r="E97" s="17">
        <v>20.758333</v>
      </c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22.5" customHeight="1">
      <c r="A98" s="11" t="s">
        <v>603</v>
      </c>
      <c r="B98" s="11" t="s">
        <v>142</v>
      </c>
      <c r="C98" s="11">
        <v>33.0</v>
      </c>
      <c r="D98" s="17">
        <v>-97.2</v>
      </c>
      <c r="E98" s="17">
        <v>20.758333</v>
      </c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ht="22.5" customHeight="1">
      <c r="A99" s="11" t="s">
        <v>605</v>
      </c>
      <c r="B99" s="11" t="s">
        <v>142</v>
      </c>
      <c r="C99" s="11">
        <v>34.0</v>
      </c>
      <c r="D99" s="17">
        <v>-97.2</v>
      </c>
      <c r="E99" s="17">
        <v>20.791667</v>
      </c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22.5" customHeight="1">
      <c r="A100" s="11" t="s">
        <v>609</v>
      </c>
      <c r="B100" s="11" t="s">
        <v>142</v>
      </c>
      <c r="C100" s="11">
        <v>35.0</v>
      </c>
      <c r="D100" s="17">
        <v>-97.208333</v>
      </c>
      <c r="E100" s="17">
        <v>20.791667</v>
      </c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22.5" customHeight="1">
      <c r="A101" s="11" t="s">
        <v>613</v>
      </c>
      <c r="B101" s="11" t="s">
        <v>142</v>
      </c>
      <c r="C101" s="11">
        <v>36.0</v>
      </c>
      <c r="D101" s="17">
        <v>-97.208333</v>
      </c>
      <c r="E101" s="17">
        <v>20.841667</v>
      </c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ht="22.5" customHeight="1">
      <c r="A102" s="11" t="s">
        <v>615</v>
      </c>
      <c r="B102" s="11" t="s">
        <v>142</v>
      </c>
      <c r="C102" s="11">
        <v>37.0</v>
      </c>
      <c r="D102" s="17">
        <v>-97.225</v>
      </c>
      <c r="E102" s="17">
        <v>20.841667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ht="22.5" customHeight="1">
      <c r="A103" s="11" t="s">
        <v>618</v>
      </c>
      <c r="B103" s="11" t="s">
        <v>142</v>
      </c>
      <c r="C103" s="11">
        <v>38.0</v>
      </c>
      <c r="D103" s="17">
        <v>-97.225</v>
      </c>
      <c r="E103" s="17">
        <v>20.875</v>
      </c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22.5" customHeight="1">
      <c r="A104" s="11" t="s">
        <v>622</v>
      </c>
      <c r="B104" s="11" t="s">
        <v>142</v>
      </c>
      <c r="C104" s="11">
        <v>39.0</v>
      </c>
      <c r="D104" s="17">
        <v>-97.25</v>
      </c>
      <c r="E104" s="17">
        <v>20.875</v>
      </c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ht="22.5" customHeight="1">
      <c r="A105" s="11" t="s">
        <v>625</v>
      </c>
      <c r="B105" s="11" t="s">
        <v>142</v>
      </c>
      <c r="C105" s="11">
        <v>40.0</v>
      </c>
      <c r="D105" s="17">
        <v>-97.25</v>
      </c>
      <c r="E105" s="17">
        <v>20.9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ht="22.5" customHeight="1">
      <c r="A106" s="11" t="s">
        <v>629</v>
      </c>
      <c r="B106" s="11" t="s">
        <v>142</v>
      </c>
      <c r="C106" s="11">
        <v>41.0</v>
      </c>
      <c r="D106" s="17">
        <v>-97.266667</v>
      </c>
      <c r="E106" s="17">
        <v>20.9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ht="22.5" customHeight="1">
      <c r="A107" s="11" t="s">
        <v>633</v>
      </c>
      <c r="B107" s="11" t="s">
        <v>142</v>
      </c>
      <c r="C107" s="11">
        <v>42.0</v>
      </c>
      <c r="D107" s="17">
        <v>-97.266667</v>
      </c>
      <c r="E107" s="17">
        <v>20.933333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ht="22.5" customHeight="1">
      <c r="A108" s="11" t="s">
        <v>637</v>
      </c>
      <c r="B108" s="11" t="s">
        <v>142</v>
      </c>
      <c r="C108" s="11">
        <v>43.0</v>
      </c>
      <c r="D108" s="17">
        <v>-97.283333</v>
      </c>
      <c r="E108" s="17">
        <v>20.933333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ht="22.5" customHeight="1">
      <c r="A109" s="11" t="s">
        <v>641</v>
      </c>
      <c r="B109" s="11" t="s">
        <v>142</v>
      </c>
      <c r="C109" s="11">
        <v>44.0</v>
      </c>
      <c r="D109" s="17">
        <v>-97.283333</v>
      </c>
      <c r="E109" s="17">
        <v>20.991667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ht="22.5" customHeight="1">
      <c r="A110" s="11" t="s">
        <v>646</v>
      </c>
      <c r="B110" s="11" t="s">
        <v>142</v>
      </c>
      <c r="C110" s="11">
        <v>45.0</v>
      </c>
      <c r="D110" s="17">
        <v>-97.208333</v>
      </c>
      <c r="E110" s="17">
        <v>20.991667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22.5" customHeight="1">
      <c r="A111" s="11" t="s">
        <v>650</v>
      </c>
      <c r="B111" s="11" t="s">
        <v>142</v>
      </c>
      <c r="C111" s="11">
        <v>46.0</v>
      </c>
      <c r="D111" s="17">
        <v>-97.208333</v>
      </c>
      <c r="E111" s="17">
        <v>20.975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ht="22.5" customHeight="1">
      <c r="A112" s="11" t="s">
        <v>651</v>
      </c>
      <c r="B112" s="11" t="s">
        <v>142</v>
      </c>
      <c r="C112" s="11">
        <v>47.0</v>
      </c>
      <c r="D112" s="17">
        <v>-97.141667</v>
      </c>
      <c r="E112" s="17">
        <v>20.975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ht="22.5" customHeight="1">
      <c r="A113" s="11" t="s">
        <v>653</v>
      </c>
      <c r="B113" s="11" t="s">
        <v>142</v>
      </c>
      <c r="C113" s="11">
        <v>48.0</v>
      </c>
      <c r="D113" s="17">
        <v>-97.141667</v>
      </c>
      <c r="E113" s="17">
        <v>20.991667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ht="22.5" customHeight="1">
      <c r="A114" s="11" t="s">
        <v>658</v>
      </c>
      <c r="B114" s="11" t="s">
        <v>169</v>
      </c>
      <c r="C114" s="11">
        <v>1.0</v>
      </c>
      <c r="D114" s="17">
        <v>-94.0</v>
      </c>
      <c r="E114" s="17">
        <v>18.833333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ht="22.5" customHeight="1">
      <c r="A115" s="11" t="s">
        <v>661</v>
      </c>
      <c r="B115" s="11" t="s">
        <v>169</v>
      </c>
      <c r="C115" s="11">
        <v>2.0</v>
      </c>
      <c r="D115" s="17">
        <v>-93.95</v>
      </c>
      <c r="E115" s="17">
        <v>18.833333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ht="22.5" customHeight="1">
      <c r="A116" s="11" t="s">
        <v>666</v>
      </c>
      <c r="B116" s="11" t="s">
        <v>169</v>
      </c>
      <c r="C116" s="11">
        <v>3.0</v>
      </c>
      <c r="D116" s="17">
        <v>-93.95</v>
      </c>
      <c r="E116" s="17">
        <v>18.641667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ht="22.5" customHeight="1">
      <c r="A117" s="11" t="s">
        <v>669</v>
      </c>
      <c r="B117" s="11" t="s">
        <v>169</v>
      </c>
      <c r="C117" s="11">
        <v>4.0</v>
      </c>
      <c r="D117" s="17">
        <v>-94.175</v>
      </c>
      <c r="E117" s="17">
        <v>18.641667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ht="22.5" customHeight="1">
      <c r="A118" s="11" t="s">
        <v>673</v>
      </c>
      <c r="B118" s="11" t="s">
        <v>169</v>
      </c>
      <c r="C118" s="11">
        <v>5.0</v>
      </c>
      <c r="D118" s="17">
        <v>-94.175</v>
      </c>
      <c r="E118" s="17">
        <v>18.741667</v>
      </c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ht="22.5" customHeight="1">
      <c r="A119" s="11" t="s">
        <v>677</v>
      </c>
      <c r="B119" s="11" t="s">
        <v>169</v>
      </c>
      <c r="C119" s="11">
        <v>6.0</v>
      </c>
      <c r="D119" s="17">
        <v>-94.133333</v>
      </c>
      <c r="E119" s="17">
        <v>18.741667</v>
      </c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ht="22.5" customHeight="1">
      <c r="A120" s="11" t="s">
        <v>680</v>
      </c>
      <c r="B120" s="11" t="s">
        <v>169</v>
      </c>
      <c r="C120" s="11">
        <v>7.0</v>
      </c>
      <c r="D120" s="17">
        <v>-94.133333</v>
      </c>
      <c r="E120" s="17">
        <v>18.916667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ht="22.5" customHeight="1">
      <c r="A121" s="11" t="s">
        <v>684</v>
      </c>
      <c r="B121" s="11" t="s">
        <v>169</v>
      </c>
      <c r="C121" s="11">
        <v>8.0</v>
      </c>
      <c r="D121" s="17">
        <v>-94.0</v>
      </c>
      <c r="E121" s="17">
        <v>18.916667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ht="22.5" customHeight="1">
      <c r="A122" s="11" t="s">
        <v>687</v>
      </c>
      <c r="B122" s="11" t="s">
        <v>188</v>
      </c>
      <c r="C122" s="11">
        <v>1.0</v>
      </c>
      <c r="D122" s="17">
        <v>-96.833333</v>
      </c>
      <c r="E122" s="17">
        <v>21.116667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ht="22.5" customHeight="1">
      <c r="A123" s="11" t="s">
        <v>691</v>
      </c>
      <c r="B123" s="11" t="s">
        <v>188</v>
      </c>
      <c r="C123" s="11">
        <v>2.0</v>
      </c>
      <c r="D123" s="17">
        <v>-96.833333</v>
      </c>
      <c r="E123" s="17">
        <v>21.1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22.5" customHeight="1">
      <c r="A124" s="11" t="s">
        <v>695</v>
      </c>
      <c r="B124" s="11" t="s">
        <v>188</v>
      </c>
      <c r="C124" s="11">
        <v>3.0</v>
      </c>
      <c r="D124" s="17">
        <v>-96.783333</v>
      </c>
      <c r="E124" s="17">
        <v>21.1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22.5" customHeight="1">
      <c r="A125" s="11" t="s">
        <v>699</v>
      </c>
      <c r="B125" s="11" t="s">
        <v>188</v>
      </c>
      <c r="C125" s="11">
        <v>4.0</v>
      </c>
      <c r="D125" s="17">
        <v>-96.783333</v>
      </c>
      <c r="E125" s="17">
        <v>20.95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22.5" customHeight="1">
      <c r="A126" s="11" t="s">
        <v>703</v>
      </c>
      <c r="B126" s="11" t="s">
        <v>188</v>
      </c>
      <c r="C126" s="11">
        <v>5.0</v>
      </c>
      <c r="D126" s="17">
        <v>-96.758333</v>
      </c>
      <c r="E126" s="17">
        <v>20.95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22.5" customHeight="1">
      <c r="A127" s="11" t="s">
        <v>706</v>
      </c>
      <c r="B127" s="11" t="s">
        <v>188</v>
      </c>
      <c r="C127" s="11">
        <v>6.0</v>
      </c>
      <c r="D127" s="17">
        <v>-96.758333</v>
      </c>
      <c r="E127" s="17">
        <v>20.9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22.5" customHeight="1">
      <c r="A128" s="11" t="s">
        <v>710</v>
      </c>
      <c r="B128" s="11" t="s">
        <v>188</v>
      </c>
      <c r="C128" s="11">
        <v>7.0</v>
      </c>
      <c r="D128" s="17">
        <v>-96.716667</v>
      </c>
      <c r="E128" s="17">
        <v>20.9</v>
      </c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22.5" customHeight="1">
      <c r="A129" s="11" t="s">
        <v>713</v>
      </c>
      <c r="B129" s="11" t="s">
        <v>188</v>
      </c>
      <c r="C129" s="11">
        <v>8.0</v>
      </c>
      <c r="D129" s="17">
        <v>-96.716667</v>
      </c>
      <c r="E129" s="17">
        <v>20.833333</v>
      </c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22.5" customHeight="1">
      <c r="A130" s="11" t="s">
        <v>715</v>
      </c>
      <c r="B130" s="11" t="s">
        <v>188</v>
      </c>
      <c r="C130" s="11">
        <v>9.0</v>
      </c>
      <c r="D130" s="17">
        <v>-96.983333</v>
      </c>
      <c r="E130" s="17">
        <v>20.833333</v>
      </c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22.5" customHeight="1">
      <c r="A131" s="11" t="s">
        <v>719</v>
      </c>
      <c r="B131" s="11" t="s">
        <v>188</v>
      </c>
      <c r="C131" s="11">
        <v>10.0</v>
      </c>
      <c r="D131" s="17">
        <v>-96.983333</v>
      </c>
      <c r="E131" s="17">
        <v>20.841667</v>
      </c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22.5" customHeight="1">
      <c r="A132" s="11" t="s">
        <v>724</v>
      </c>
      <c r="B132" s="11" t="s">
        <v>188</v>
      </c>
      <c r="C132" s="11">
        <v>11.0</v>
      </c>
      <c r="D132" s="17">
        <v>-96.991667</v>
      </c>
      <c r="E132" s="17">
        <v>20.841667</v>
      </c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22.5" customHeight="1">
      <c r="A133" s="11" t="s">
        <v>727</v>
      </c>
      <c r="B133" s="11" t="s">
        <v>188</v>
      </c>
      <c r="C133" s="11">
        <v>12.0</v>
      </c>
      <c r="D133" s="17">
        <v>-96.991667</v>
      </c>
      <c r="E133" s="17">
        <v>20.866667</v>
      </c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22.5" customHeight="1">
      <c r="A134" s="11" t="s">
        <v>731</v>
      </c>
      <c r="B134" s="11" t="s">
        <v>188</v>
      </c>
      <c r="C134" s="11">
        <v>13.0</v>
      </c>
      <c r="D134" s="17">
        <v>-97.0</v>
      </c>
      <c r="E134" s="17">
        <v>20.866667</v>
      </c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22.5" customHeight="1">
      <c r="A135" s="11" t="s">
        <v>736</v>
      </c>
      <c r="B135" s="11" t="s">
        <v>188</v>
      </c>
      <c r="C135" s="11">
        <v>14.0</v>
      </c>
      <c r="D135" s="17">
        <v>-97.0</v>
      </c>
      <c r="E135" s="17">
        <v>20.875</v>
      </c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22.5" customHeight="1">
      <c r="A136" s="11" t="s">
        <v>739</v>
      </c>
      <c r="B136" s="11" t="s">
        <v>188</v>
      </c>
      <c r="C136" s="11">
        <v>15.0</v>
      </c>
      <c r="D136" s="17">
        <v>-97.008333</v>
      </c>
      <c r="E136" s="17">
        <v>20.875</v>
      </c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22.5" customHeight="1">
      <c r="A137" s="11" t="s">
        <v>744</v>
      </c>
      <c r="B137" s="11" t="s">
        <v>188</v>
      </c>
      <c r="C137" s="11">
        <v>16.0</v>
      </c>
      <c r="D137" s="17">
        <v>-97.008333</v>
      </c>
      <c r="E137" s="17">
        <v>20.891667</v>
      </c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22.5" customHeight="1">
      <c r="A138" s="11" t="s">
        <v>748</v>
      </c>
      <c r="B138" s="11" t="s">
        <v>188</v>
      </c>
      <c r="C138" s="11">
        <v>17.0</v>
      </c>
      <c r="D138" s="17">
        <v>-97.016667</v>
      </c>
      <c r="E138" s="17">
        <v>20.891667</v>
      </c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22.5" customHeight="1">
      <c r="A139" s="11" t="s">
        <v>752</v>
      </c>
      <c r="B139" s="11" t="s">
        <v>188</v>
      </c>
      <c r="C139" s="11">
        <v>18.0</v>
      </c>
      <c r="D139" s="17">
        <v>-97.016667</v>
      </c>
      <c r="E139" s="17">
        <v>20.908333</v>
      </c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22.5" customHeight="1">
      <c r="A140" s="11" t="s">
        <v>756</v>
      </c>
      <c r="B140" s="11" t="s">
        <v>188</v>
      </c>
      <c r="C140" s="11">
        <v>19.0</v>
      </c>
      <c r="D140" s="17">
        <v>-97.033333</v>
      </c>
      <c r="E140" s="17">
        <v>20.908333</v>
      </c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22.5" customHeight="1">
      <c r="A141" s="11" t="s">
        <v>760</v>
      </c>
      <c r="B141" s="11" t="s">
        <v>188</v>
      </c>
      <c r="C141" s="11">
        <v>20.0</v>
      </c>
      <c r="D141" s="17">
        <v>-97.033333</v>
      </c>
      <c r="E141" s="17">
        <v>20.916667</v>
      </c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22.5" customHeight="1">
      <c r="A142" s="11" t="s">
        <v>764</v>
      </c>
      <c r="B142" s="11" t="s">
        <v>188</v>
      </c>
      <c r="C142" s="11">
        <v>21.0</v>
      </c>
      <c r="D142" s="17">
        <v>-97.025</v>
      </c>
      <c r="E142" s="17">
        <v>20.916667</v>
      </c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22.5" customHeight="1">
      <c r="A143" s="11" t="s">
        <v>769</v>
      </c>
      <c r="B143" s="11" t="s">
        <v>188</v>
      </c>
      <c r="C143" s="11">
        <v>22.0</v>
      </c>
      <c r="D143" s="17">
        <v>-97.025</v>
      </c>
      <c r="E143" s="17">
        <v>20.975</v>
      </c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22.5" customHeight="1">
      <c r="A144" s="11" t="s">
        <v>772</v>
      </c>
      <c r="B144" s="11" t="s">
        <v>188</v>
      </c>
      <c r="C144" s="11">
        <v>23.0</v>
      </c>
      <c r="D144" s="17">
        <v>-97.033333</v>
      </c>
      <c r="E144" s="17">
        <v>20.975</v>
      </c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22.5" customHeight="1">
      <c r="A145" s="11" t="s">
        <v>777</v>
      </c>
      <c r="B145" s="11" t="s">
        <v>188</v>
      </c>
      <c r="C145" s="11">
        <v>24.0</v>
      </c>
      <c r="D145" s="17">
        <v>-97.033333</v>
      </c>
      <c r="E145" s="17">
        <v>21.033333</v>
      </c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22.5" customHeight="1">
      <c r="A146" s="11" t="s">
        <v>781</v>
      </c>
      <c r="B146" s="11" t="s">
        <v>188</v>
      </c>
      <c r="C146" s="11">
        <v>25.0</v>
      </c>
      <c r="D146" s="17">
        <v>-97.066667</v>
      </c>
      <c r="E146" s="17">
        <v>21.033333</v>
      </c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22.5" customHeight="1">
      <c r="A147" s="11" t="s">
        <v>786</v>
      </c>
      <c r="B147" s="11" t="s">
        <v>188</v>
      </c>
      <c r="C147" s="11">
        <v>26.0</v>
      </c>
      <c r="D147" s="17">
        <v>-97.066667</v>
      </c>
      <c r="E147" s="17">
        <v>21.05</v>
      </c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22.5" customHeight="1">
      <c r="A148" s="11" t="s">
        <v>792</v>
      </c>
      <c r="B148" s="11" t="s">
        <v>188</v>
      </c>
      <c r="C148" s="11">
        <v>27.0</v>
      </c>
      <c r="D148" s="17">
        <v>-97.05</v>
      </c>
      <c r="E148" s="17">
        <v>21.05</v>
      </c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22.5" customHeight="1">
      <c r="A149" s="11" t="s">
        <v>797</v>
      </c>
      <c r="B149" s="11" t="s">
        <v>188</v>
      </c>
      <c r="C149" s="11">
        <v>28.0</v>
      </c>
      <c r="D149" s="17">
        <v>-97.05</v>
      </c>
      <c r="E149" s="17">
        <v>21.091667</v>
      </c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22.5" customHeight="1">
      <c r="A150" s="11" t="s">
        <v>801</v>
      </c>
      <c r="B150" s="11" t="s">
        <v>188</v>
      </c>
      <c r="C150" s="11">
        <v>29.0</v>
      </c>
      <c r="D150" s="17">
        <v>-97.058333</v>
      </c>
      <c r="E150" s="17">
        <v>21.091667</v>
      </c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22.5" customHeight="1">
      <c r="A151" s="11" t="s">
        <v>806</v>
      </c>
      <c r="B151" s="11" t="s">
        <v>188</v>
      </c>
      <c r="C151" s="11">
        <v>30.0</v>
      </c>
      <c r="D151" s="17">
        <v>-97.058333</v>
      </c>
      <c r="E151" s="17">
        <v>21.1</v>
      </c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22.5" customHeight="1">
      <c r="A152" s="11" t="s">
        <v>810</v>
      </c>
      <c r="B152" s="11" t="s">
        <v>188</v>
      </c>
      <c r="C152" s="11">
        <v>31.0</v>
      </c>
      <c r="D152" s="17">
        <v>-97.008333</v>
      </c>
      <c r="E152" s="17">
        <v>21.1</v>
      </c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22.5" customHeight="1">
      <c r="A153" s="11" t="s">
        <v>815</v>
      </c>
      <c r="B153" s="11" t="s">
        <v>188</v>
      </c>
      <c r="C153" s="11">
        <v>32.0</v>
      </c>
      <c r="D153" s="17">
        <v>-97.008333</v>
      </c>
      <c r="E153" s="17">
        <v>21.116667</v>
      </c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22.5" customHeight="1">
      <c r="A154" s="11" t="s">
        <v>820</v>
      </c>
      <c r="B154" s="11" t="s">
        <v>207</v>
      </c>
      <c r="C154" s="11">
        <v>1.0</v>
      </c>
      <c r="D154" s="17">
        <v>-95.6667</v>
      </c>
      <c r="E154" s="17">
        <v>24.7417</v>
      </c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</row>
    <row r="155" ht="22.5" customHeight="1">
      <c r="A155" s="11" t="s">
        <v>825</v>
      </c>
      <c r="B155" s="11" t="s">
        <v>207</v>
      </c>
      <c r="C155" s="11">
        <v>2.0</v>
      </c>
      <c r="D155" s="17">
        <v>-95.475</v>
      </c>
      <c r="E155" s="17">
        <v>24.7417</v>
      </c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22.5" customHeight="1">
      <c r="A156" s="11" t="s">
        <v>829</v>
      </c>
      <c r="B156" s="11" t="s">
        <v>207</v>
      </c>
      <c r="C156" s="11">
        <v>3.0</v>
      </c>
      <c r="D156" s="17">
        <v>-95.475</v>
      </c>
      <c r="E156" s="17">
        <v>24.5833</v>
      </c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</row>
    <row r="157" ht="22.5" customHeight="1">
      <c r="A157" s="11" t="s">
        <v>833</v>
      </c>
      <c r="B157" s="11" t="s">
        <v>207</v>
      </c>
      <c r="C157" s="11">
        <v>4.0</v>
      </c>
      <c r="D157" s="17">
        <v>-95.6667</v>
      </c>
      <c r="E157" s="17">
        <v>24.5833</v>
      </c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22.5" customHeight="1">
      <c r="A158" s="11" t="s">
        <v>838</v>
      </c>
      <c r="B158" s="11" t="s">
        <v>207</v>
      </c>
      <c r="C158" s="11">
        <v>5.0</v>
      </c>
      <c r="D158" s="17">
        <v>-95.6667</v>
      </c>
      <c r="E158" s="17">
        <v>24.6</v>
      </c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22.5" customHeight="1">
      <c r="A159" s="11" t="s">
        <v>840</v>
      </c>
      <c r="B159" s="11" t="s">
        <v>207</v>
      </c>
      <c r="C159" s="11">
        <v>6.0</v>
      </c>
      <c r="D159" s="17">
        <v>-95.9333</v>
      </c>
      <c r="E159" s="17">
        <v>24.6</v>
      </c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22.5" customHeight="1">
      <c r="A160" s="11" t="s">
        <v>843</v>
      </c>
      <c r="B160" s="11" t="s">
        <v>207</v>
      </c>
      <c r="C160" s="11">
        <v>7.0</v>
      </c>
      <c r="D160" s="17">
        <v>-95.9333</v>
      </c>
      <c r="E160" s="17">
        <v>24.75</v>
      </c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22.5" customHeight="1">
      <c r="A161" s="11" t="s">
        <v>845</v>
      </c>
      <c r="B161" s="11" t="s">
        <v>207</v>
      </c>
      <c r="C161" s="11">
        <v>8.0</v>
      </c>
      <c r="D161" s="17">
        <v>-95.8</v>
      </c>
      <c r="E161" s="17">
        <v>24.75</v>
      </c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22.5" customHeight="1">
      <c r="A162" s="11" t="s">
        <v>849</v>
      </c>
      <c r="B162" s="11" t="s">
        <v>207</v>
      </c>
      <c r="C162" s="11">
        <v>9.0</v>
      </c>
      <c r="D162" s="17">
        <v>-95.8</v>
      </c>
      <c r="E162" s="17">
        <v>24.8</v>
      </c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22.5" customHeight="1">
      <c r="A163" s="11" t="s">
        <v>852</v>
      </c>
      <c r="B163" s="11" t="s">
        <v>207</v>
      </c>
      <c r="C163" s="11">
        <v>10.0</v>
      </c>
      <c r="D163" s="17">
        <v>-95.6667</v>
      </c>
      <c r="E163" s="17">
        <v>24.8</v>
      </c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22.5" customHeight="1">
      <c r="A164" s="11" t="s">
        <v>854</v>
      </c>
      <c r="B164" s="11" t="s">
        <v>207</v>
      </c>
      <c r="C164" s="11">
        <v>11.0</v>
      </c>
      <c r="D164" s="17">
        <v>-95.6667</v>
      </c>
      <c r="E164" s="17">
        <v>24.3083</v>
      </c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22.5" customHeight="1">
      <c r="A165" s="11" t="s">
        <v>855</v>
      </c>
      <c r="B165" s="11" t="s">
        <v>207</v>
      </c>
      <c r="C165" s="11">
        <v>12.0</v>
      </c>
      <c r="D165" s="17">
        <v>-95.5667</v>
      </c>
      <c r="E165" s="17">
        <v>24.3083</v>
      </c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22.5" customHeight="1">
      <c r="A166" s="11" t="s">
        <v>856</v>
      </c>
      <c r="B166" s="11" t="s">
        <v>207</v>
      </c>
      <c r="C166" s="11">
        <v>13.0</v>
      </c>
      <c r="D166" s="17">
        <v>-95.5667</v>
      </c>
      <c r="E166" s="17">
        <v>24.2167</v>
      </c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22.5" customHeight="1">
      <c r="A167" s="11" t="s">
        <v>857</v>
      </c>
      <c r="B167" s="11" t="s">
        <v>207</v>
      </c>
      <c r="C167" s="11">
        <v>14.0</v>
      </c>
      <c r="D167" s="17">
        <v>-95.6583</v>
      </c>
      <c r="E167" s="17">
        <v>24.2167</v>
      </c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22.5" customHeight="1">
      <c r="A168" s="11" t="s">
        <v>858</v>
      </c>
      <c r="B168" s="11" t="s">
        <v>207</v>
      </c>
      <c r="C168" s="11">
        <v>15.0</v>
      </c>
      <c r="D168" s="17">
        <v>-95.6583</v>
      </c>
      <c r="E168" s="17">
        <v>24.0333</v>
      </c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22.5" customHeight="1">
      <c r="A169" s="11" t="s">
        <v>859</v>
      </c>
      <c r="B169" s="11" t="s">
        <v>207</v>
      </c>
      <c r="C169" s="11">
        <v>16.0</v>
      </c>
      <c r="D169" s="17">
        <v>-95.5667</v>
      </c>
      <c r="E169" s="17">
        <v>24.0333</v>
      </c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22.5" customHeight="1">
      <c r="A170" s="11" t="s">
        <v>860</v>
      </c>
      <c r="B170" s="11" t="s">
        <v>207</v>
      </c>
      <c r="C170" s="11">
        <v>17.0</v>
      </c>
      <c r="D170" s="17">
        <v>-95.5667</v>
      </c>
      <c r="E170" s="17">
        <v>23.9417</v>
      </c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22.5" customHeight="1">
      <c r="A171" s="11" t="s">
        <v>861</v>
      </c>
      <c r="B171" s="11" t="s">
        <v>207</v>
      </c>
      <c r="C171" s="11">
        <v>18.0</v>
      </c>
      <c r="D171" s="17">
        <v>-95.9333</v>
      </c>
      <c r="E171" s="17">
        <v>23.9417</v>
      </c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22.5" customHeight="1">
      <c r="A172" s="11" t="s">
        <v>862</v>
      </c>
      <c r="B172" s="11" t="s">
        <v>207</v>
      </c>
      <c r="C172" s="11">
        <v>19.0</v>
      </c>
      <c r="D172" s="17">
        <v>-95.9333</v>
      </c>
      <c r="E172" s="17">
        <v>24.5</v>
      </c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22.5" customHeight="1">
      <c r="A173" s="11" t="s">
        <v>863</v>
      </c>
      <c r="B173" s="11" t="s">
        <v>207</v>
      </c>
      <c r="C173" s="11">
        <v>20.0</v>
      </c>
      <c r="D173" s="17">
        <v>-95.6667</v>
      </c>
      <c r="E173" s="17">
        <v>24.5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22.5" customHeight="1">
      <c r="A174" s="11" t="s">
        <v>864</v>
      </c>
      <c r="B174" s="11" t="s">
        <v>216</v>
      </c>
      <c r="C174" s="11">
        <v>1.0</v>
      </c>
      <c r="D174" s="17">
        <v>-96.2833</v>
      </c>
      <c r="E174" s="17">
        <v>25.1583</v>
      </c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22.5" customHeight="1">
      <c r="A175" s="11" t="s">
        <v>865</v>
      </c>
      <c r="B175" s="11" t="s">
        <v>216</v>
      </c>
      <c r="C175" s="11">
        <v>2.0</v>
      </c>
      <c r="D175" s="17">
        <v>-96.2833</v>
      </c>
      <c r="E175" s="17">
        <v>25.525</v>
      </c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22.5" customHeight="1">
      <c r="A176" s="11" t="s">
        <v>866</v>
      </c>
      <c r="B176" s="11" t="s">
        <v>216</v>
      </c>
      <c r="C176" s="11">
        <v>3.0</v>
      </c>
      <c r="D176" s="17">
        <v>-95.8667</v>
      </c>
      <c r="E176" s="17">
        <v>25.525</v>
      </c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22.5" customHeight="1">
      <c r="A177" s="11" t="s">
        <v>867</v>
      </c>
      <c r="B177" s="11" t="s">
        <v>216</v>
      </c>
      <c r="C177" s="11">
        <v>4.0</v>
      </c>
      <c r="D177" s="17">
        <v>-95.8667</v>
      </c>
      <c r="E177" s="17">
        <v>25.1583</v>
      </c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22.5" customHeight="1">
      <c r="A178" s="11" t="s">
        <v>868</v>
      </c>
      <c r="B178" s="11" t="s">
        <v>239</v>
      </c>
      <c r="C178" s="11">
        <v>1.0</v>
      </c>
      <c r="D178" s="17">
        <v>-94.058333</v>
      </c>
      <c r="E178" s="17">
        <v>18.5</v>
      </c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22.5" customHeight="1">
      <c r="A179" s="11" t="s">
        <v>869</v>
      </c>
      <c r="B179" s="11" t="s">
        <v>239</v>
      </c>
      <c r="C179" s="11">
        <v>2.0</v>
      </c>
      <c r="D179" s="17">
        <v>-94.358333</v>
      </c>
      <c r="E179" s="17">
        <v>18.5</v>
      </c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22.5" customHeight="1">
      <c r="A180" s="11" t="s">
        <v>870</v>
      </c>
      <c r="B180" s="11" t="s">
        <v>239</v>
      </c>
      <c r="C180" s="11">
        <v>3.0</v>
      </c>
      <c r="D180" s="17">
        <v>-94.358333</v>
      </c>
      <c r="E180" s="17">
        <v>18.558333</v>
      </c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22.5" customHeight="1">
      <c r="A181" s="11" t="s">
        <v>871</v>
      </c>
      <c r="B181" s="11" t="s">
        <v>239</v>
      </c>
      <c r="C181" s="11">
        <v>4.0</v>
      </c>
      <c r="D181" s="17">
        <v>-94.333333</v>
      </c>
      <c r="E181" s="17">
        <v>18.558333</v>
      </c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22.5" customHeight="1">
      <c r="A182" s="11" t="s">
        <v>872</v>
      </c>
      <c r="B182" s="11" t="s">
        <v>239</v>
      </c>
      <c r="C182" s="11">
        <v>5.0</v>
      </c>
      <c r="D182" s="17">
        <v>-94.333333</v>
      </c>
      <c r="E182" s="17">
        <v>18.641667</v>
      </c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22.5" customHeight="1">
      <c r="A183" s="11" t="s">
        <v>873</v>
      </c>
      <c r="B183" s="11" t="s">
        <v>239</v>
      </c>
      <c r="C183" s="11">
        <v>6.0</v>
      </c>
      <c r="D183" s="17">
        <v>-94.058333</v>
      </c>
      <c r="E183" s="17">
        <v>18.641667</v>
      </c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22.5" customHeight="1">
      <c r="A184" s="11" t="s">
        <v>874</v>
      </c>
      <c r="B184" s="11" t="s">
        <v>245</v>
      </c>
      <c r="C184" s="11">
        <v>1.0</v>
      </c>
      <c r="D184" s="17">
        <v>-96.758333</v>
      </c>
      <c r="E184" s="17">
        <v>20.616667</v>
      </c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22.5" customHeight="1">
      <c r="A185" s="11" t="s">
        <v>875</v>
      </c>
      <c r="B185" s="11" t="s">
        <v>245</v>
      </c>
      <c r="C185" s="11">
        <v>2.0</v>
      </c>
      <c r="D185" s="17">
        <v>-96.958333</v>
      </c>
      <c r="E185" s="17">
        <v>20.616667</v>
      </c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22.5" customHeight="1">
      <c r="A186" s="11" t="s">
        <v>876</v>
      </c>
      <c r="B186" s="11" t="s">
        <v>245</v>
      </c>
      <c r="C186" s="11">
        <v>3.0</v>
      </c>
      <c r="D186" s="17">
        <v>-96.958333</v>
      </c>
      <c r="E186" s="17">
        <v>20.683333</v>
      </c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22.5" customHeight="1">
      <c r="A187" s="11" t="s">
        <v>877</v>
      </c>
      <c r="B187" s="11" t="s">
        <v>245</v>
      </c>
      <c r="C187" s="11">
        <v>4.0</v>
      </c>
      <c r="D187" s="17">
        <v>-96.991667</v>
      </c>
      <c r="E187" s="17">
        <v>20.683333</v>
      </c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22.5" customHeight="1">
      <c r="A188" s="11" t="s">
        <v>878</v>
      </c>
      <c r="B188" s="11" t="s">
        <v>245</v>
      </c>
      <c r="C188" s="11">
        <v>5.0</v>
      </c>
      <c r="D188" s="17">
        <v>-96.991667</v>
      </c>
      <c r="E188" s="17">
        <v>20.808333</v>
      </c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22.5" customHeight="1">
      <c r="A189" s="11" t="s">
        <v>879</v>
      </c>
      <c r="B189" s="11" t="s">
        <v>245</v>
      </c>
      <c r="C189" s="11">
        <v>6.0</v>
      </c>
      <c r="D189" s="17">
        <v>-96.975</v>
      </c>
      <c r="E189" s="17">
        <v>20.808333</v>
      </c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22.5" customHeight="1">
      <c r="A190" s="11" t="s">
        <v>880</v>
      </c>
      <c r="B190" s="11" t="s">
        <v>245</v>
      </c>
      <c r="C190" s="11">
        <v>7.0</v>
      </c>
      <c r="D190" s="17">
        <v>-96.975</v>
      </c>
      <c r="E190" s="17">
        <v>20.825</v>
      </c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22.5" customHeight="1">
      <c r="A191" s="11" t="s">
        <v>881</v>
      </c>
      <c r="B191" s="11" t="s">
        <v>245</v>
      </c>
      <c r="C191" s="11">
        <v>8.0</v>
      </c>
      <c r="D191" s="17">
        <v>-96.983333</v>
      </c>
      <c r="E191" s="17">
        <v>20.825</v>
      </c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22.5" customHeight="1">
      <c r="A192" s="11" t="s">
        <v>882</v>
      </c>
      <c r="B192" s="11" t="s">
        <v>245</v>
      </c>
      <c r="C192" s="11">
        <v>9.0</v>
      </c>
      <c r="D192" s="17">
        <v>-96.983333</v>
      </c>
      <c r="E192" s="17">
        <v>20.833333</v>
      </c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22.5" customHeight="1">
      <c r="A193" s="11" t="s">
        <v>883</v>
      </c>
      <c r="B193" s="11" t="s">
        <v>245</v>
      </c>
      <c r="C193" s="11">
        <v>10.0</v>
      </c>
      <c r="D193" s="17">
        <v>-96.758333</v>
      </c>
      <c r="E193" s="17">
        <v>20.833333</v>
      </c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22.5" customHeight="1">
      <c r="A194" s="11" t="s">
        <v>884</v>
      </c>
      <c r="B194" s="11" t="s">
        <v>268</v>
      </c>
      <c r="C194" s="11">
        <v>1.0</v>
      </c>
      <c r="D194" s="17">
        <v>-93.2</v>
      </c>
      <c r="E194" s="17">
        <v>18.75</v>
      </c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22.5" customHeight="1">
      <c r="A195" s="11" t="s">
        <v>885</v>
      </c>
      <c r="B195" s="11" t="s">
        <v>268</v>
      </c>
      <c r="C195" s="11">
        <v>2.0</v>
      </c>
      <c r="D195" s="17">
        <v>-93.2</v>
      </c>
      <c r="E195" s="17">
        <v>18.9</v>
      </c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22.5" customHeight="1">
      <c r="A196" s="11" t="s">
        <v>886</v>
      </c>
      <c r="B196" s="11" t="s">
        <v>268</v>
      </c>
      <c r="C196" s="11">
        <v>3.0</v>
      </c>
      <c r="D196" s="17">
        <v>-92.866667</v>
      </c>
      <c r="E196" s="17">
        <v>18.9</v>
      </c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22.5" customHeight="1">
      <c r="A197" s="11" t="s">
        <v>887</v>
      </c>
      <c r="B197" s="11" t="s">
        <v>268</v>
      </c>
      <c r="C197" s="11">
        <v>4.0</v>
      </c>
      <c r="D197" s="17">
        <v>-92.866667</v>
      </c>
      <c r="E197" s="17">
        <v>18.75</v>
      </c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22.5" customHeight="1">
      <c r="A198" s="11" t="s">
        <v>888</v>
      </c>
      <c r="B198" s="11" t="s">
        <v>292</v>
      </c>
      <c r="C198" s="11">
        <v>1.0</v>
      </c>
      <c r="D198" s="17">
        <v>-91.766666</v>
      </c>
      <c r="E198" s="17">
        <v>19.75</v>
      </c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22.5" customHeight="1">
      <c r="A199" s="11" t="s">
        <v>889</v>
      </c>
      <c r="B199" s="11" t="s">
        <v>292</v>
      </c>
      <c r="C199" s="11">
        <v>2.0</v>
      </c>
      <c r="D199" s="17">
        <v>-91.766666</v>
      </c>
      <c r="E199" s="17">
        <v>19.741666</v>
      </c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22.5" customHeight="1">
      <c r="A200" s="11" t="s">
        <v>890</v>
      </c>
      <c r="B200" s="11" t="s">
        <v>292</v>
      </c>
      <c r="C200" s="11">
        <v>3.0</v>
      </c>
      <c r="D200" s="17">
        <v>-91.666666</v>
      </c>
      <c r="E200" s="17">
        <v>19.741666</v>
      </c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22.5" customHeight="1">
      <c r="A201" s="11" t="s">
        <v>891</v>
      </c>
      <c r="B201" s="11" t="s">
        <v>292</v>
      </c>
      <c r="C201" s="11">
        <v>4.0</v>
      </c>
      <c r="D201" s="17">
        <v>-91.666666</v>
      </c>
      <c r="E201" s="17">
        <v>19.5</v>
      </c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22.5" customHeight="1">
      <c r="A202" s="11" t="s">
        <v>892</v>
      </c>
      <c r="B202" s="11" t="s">
        <v>292</v>
      </c>
      <c r="C202" s="11">
        <v>5.0</v>
      </c>
      <c r="D202" s="17">
        <v>-91.866666</v>
      </c>
      <c r="E202" s="17">
        <v>19.5</v>
      </c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22.5" customHeight="1">
      <c r="A203" s="11" t="s">
        <v>893</v>
      </c>
      <c r="B203" s="11" t="s">
        <v>292</v>
      </c>
      <c r="C203" s="11">
        <v>6.0</v>
      </c>
      <c r="D203" s="17">
        <v>-91.866666</v>
      </c>
      <c r="E203" s="17">
        <v>19.6</v>
      </c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22.5" customHeight="1">
      <c r="A204" s="11" t="s">
        <v>894</v>
      </c>
      <c r="B204" s="11" t="s">
        <v>292</v>
      </c>
      <c r="C204" s="11">
        <v>7.0</v>
      </c>
      <c r="D204" s="17">
        <v>-92.0</v>
      </c>
      <c r="E204" s="17">
        <v>19.6</v>
      </c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22.5" customHeight="1">
      <c r="A205" s="11" t="s">
        <v>895</v>
      </c>
      <c r="B205" s="11" t="s">
        <v>292</v>
      </c>
      <c r="C205" s="11">
        <v>8.0</v>
      </c>
      <c r="D205" s="17">
        <v>-92.0</v>
      </c>
      <c r="E205" s="17">
        <v>19.75</v>
      </c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22.5" customHeight="1">
      <c r="A206" s="11" t="s">
        <v>896</v>
      </c>
      <c r="B206" s="11" t="s">
        <v>317</v>
      </c>
      <c r="C206" s="11">
        <v>1.0</v>
      </c>
      <c r="D206" s="145">
        <v>-95.291667</v>
      </c>
      <c r="E206" s="17">
        <v>19.816667</v>
      </c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22.5" customHeight="1">
      <c r="A207" s="11" t="s">
        <v>897</v>
      </c>
      <c r="B207" s="11" t="s">
        <v>317</v>
      </c>
      <c r="C207" s="11">
        <v>2.0</v>
      </c>
      <c r="D207" s="145">
        <v>-95.016667</v>
      </c>
      <c r="E207" s="17">
        <v>19.816667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22.5" customHeight="1">
      <c r="A208" s="11" t="s">
        <v>898</v>
      </c>
      <c r="B208" s="11" t="s">
        <v>317</v>
      </c>
      <c r="C208" s="11">
        <v>3.0</v>
      </c>
      <c r="D208" s="145">
        <v>-95.016667</v>
      </c>
      <c r="E208" s="17">
        <v>19.908333</v>
      </c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22.5" customHeight="1">
      <c r="A209" s="11" t="s">
        <v>899</v>
      </c>
      <c r="B209" s="11" t="s">
        <v>317</v>
      </c>
      <c r="C209" s="11">
        <v>4.0</v>
      </c>
      <c r="D209" s="145">
        <v>-94.933333</v>
      </c>
      <c r="E209" s="17">
        <v>19.908333</v>
      </c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22.5" customHeight="1">
      <c r="A210" s="11" t="s">
        <v>900</v>
      </c>
      <c r="B210" s="11" t="s">
        <v>317</v>
      </c>
      <c r="C210" s="11">
        <v>5.0</v>
      </c>
      <c r="D210" s="145">
        <v>-94.933333</v>
      </c>
      <c r="E210" s="17">
        <v>19.525</v>
      </c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22.5" customHeight="1">
      <c r="A211" s="11" t="s">
        <v>901</v>
      </c>
      <c r="B211" s="11" t="s">
        <v>317</v>
      </c>
      <c r="C211" s="11">
        <v>6.0</v>
      </c>
      <c r="D211" s="145">
        <v>-94.95</v>
      </c>
      <c r="E211" s="17">
        <v>19.525</v>
      </c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22.5" customHeight="1">
      <c r="A212" s="11" t="s">
        <v>902</v>
      </c>
      <c r="B212" s="11" t="s">
        <v>317</v>
      </c>
      <c r="C212" s="11">
        <v>7.0</v>
      </c>
      <c r="D212" s="145">
        <v>-94.95</v>
      </c>
      <c r="E212" s="17">
        <v>19.5</v>
      </c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22.5" customHeight="1">
      <c r="A213" s="11" t="s">
        <v>903</v>
      </c>
      <c r="B213" s="11" t="s">
        <v>317</v>
      </c>
      <c r="C213" s="11">
        <v>8.0</v>
      </c>
      <c r="D213" s="145">
        <v>-95.333333</v>
      </c>
      <c r="E213" s="17">
        <v>19.5</v>
      </c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22.5" customHeight="1">
      <c r="A214" s="11" t="s">
        <v>904</v>
      </c>
      <c r="B214" s="11" t="s">
        <v>317</v>
      </c>
      <c r="C214" s="11">
        <v>9.0</v>
      </c>
      <c r="D214" s="145">
        <v>-95.333333</v>
      </c>
      <c r="E214" s="17">
        <v>19.375</v>
      </c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22.5" customHeight="1">
      <c r="A215" s="11" t="s">
        <v>905</v>
      </c>
      <c r="B215" s="11" t="s">
        <v>317</v>
      </c>
      <c r="C215" s="11">
        <v>10.0</v>
      </c>
      <c r="D215" s="145">
        <v>-95.416667</v>
      </c>
      <c r="E215" s="17">
        <v>19.375</v>
      </c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22.5" customHeight="1">
      <c r="A216" s="11" t="s">
        <v>906</v>
      </c>
      <c r="B216" s="11" t="s">
        <v>317</v>
      </c>
      <c r="C216" s="11">
        <v>11.0</v>
      </c>
      <c r="D216" s="145">
        <v>-95.416667</v>
      </c>
      <c r="E216" s="17">
        <v>19.416667</v>
      </c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22.5" customHeight="1">
      <c r="A217" s="11" t="s">
        <v>907</v>
      </c>
      <c r="B217" s="11" t="s">
        <v>317</v>
      </c>
      <c r="C217" s="11">
        <v>12.0</v>
      </c>
      <c r="D217" s="145">
        <v>-95.458333</v>
      </c>
      <c r="E217" s="17">
        <v>19.416667</v>
      </c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22.5" customHeight="1">
      <c r="A218" s="11" t="s">
        <v>908</v>
      </c>
      <c r="B218" s="11" t="s">
        <v>317</v>
      </c>
      <c r="C218" s="11">
        <v>13.0</v>
      </c>
      <c r="D218" s="145">
        <v>-95.458333</v>
      </c>
      <c r="E218" s="17">
        <v>19.566667</v>
      </c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22.5" customHeight="1">
      <c r="A219" s="11" t="s">
        <v>909</v>
      </c>
      <c r="B219" s="11" t="s">
        <v>317</v>
      </c>
      <c r="C219" s="11">
        <v>14.0</v>
      </c>
      <c r="D219" s="145">
        <v>-95.491667</v>
      </c>
      <c r="E219" s="17">
        <v>19.566667</v>
      </c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22.5" customHeight="1">
      <c r="A220" s="11" t="s">
        <v>910</v>
      </c>
      <c r="B220" s="11" t="s">
        <v>317</v>
      </c>
      <c r="C220" s="11">
        <v>15.0</v>
      </c>
      <c r="D220" s="145">
        <v>-95.491667</v>
      </c>
      <c r="E220" s="17">
        <v>19.725</v>
      </c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22.5" customHeight="1">
      <c r="A221" s="11" t="s">
        <v>911</v>
      </c>
      <c r="B221" s="11" t="s">
        <v>317</v>
      </c>
      <c r="C221" s="11">
        <v>16.0</v>
      </c>
      <c r="D221" s="145">
        <v>-95.566667</v>
      </c>
      <c r="E221" s="17">
        <v>19.725</v>
      </c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22.5" customHeight="1">
      <c r="A222" s="11" t="s">
        <v>912</v>
      </c>
      <c r="B222" s="11" t="s">
        <v>317</v>
      </c>
      <c r="C222" s="11">
        <v>17.0</v>
      </c>
      <c r="D222" s="145">
        <v>-95.566667</v>
      </c>
      <c r="E222" s="17">
        <v>20.0</v>
      </c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22.5" customHeight="1">
      <c r="A223" s="11" t="s">
        <v>913</v>
      </c>
      <c r="B223" s="11" t="s">
        <v>317</v>
      </c>
      <c r="C223" s="11">
        <v>18.0</v>
      </c>
      <c r="D223" s="145">
        <v>-95.291667</v>
      </c>
      <c r="E223" s="17">
        <v>20.0</v>
      </c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>
      <c r="A224" s="60"/>
      <c r="B224" s="60"/>
      <c r="C224" s="60"/>
      <c r="D224" s="60"/>
      <c r="E224" s="60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>
      <c r="A225" s="60"/>
      <c r="B225" s="60"/>
      <c r="C225" s="60"/>
      <c r="D225" s="60"/>
      <c r="E225" s="60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>
      <c r="A226" s="60"/>
      <c r="B226" s="60"/>
      <c r="C226" s="60"/>
      <c r="D226" s="60"/>
      <c r="E226" s="60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>
      <c r="A227" s="60"/>
      <c r="B227" s="60"/>
      <c r="C227" s="60"/>
      <c r="D227" s="60"/>
      <c r="E227" s="60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>
      <c r="A228" s="60"/>
      <c r="B228" s="60"/>
      <c r="C228" s="60"/>
      <c r="D228" s="60"/>
      <c r="E228" s="60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>
      <c r="A229" s="60"/>
      <c r="B229" s="60"/>
      <c r="C229" s="60"/>
      <c r="D229" s="60"/>
      <c r="E229" s="60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>
      <c r="A230" s="60"/>
      <c r="B230" s="60"/>
      <c r="C230" s="60"/>
      <c r="D230" s="60"/>
      <c r="E230" s="60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>
      <c r="A231" s="60"/>
      <c r="B231" s="60"/>
      <c r="C231" s="60"/>
      <c r="D231" s="60"/>
      <c r="E231" s="60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>
      <c r="A232" s="60"/>
      <c r="B232" s="60"/>
      <c r="C232" s="60"/>
      <c r="D232" s="60"/>
      <c r="E232" s="60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>
      <c r="A233" s="60"/>
      <c r="B233" s="60"/>
      <c r="C233" s="60"/>
      <c r="D233" s="60"/>
      <c r="E233" s="60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>
      <c r="A234" s="60"/>
      <c r="B234" s="60"/>
      <c r="C234" s="60"/>
      <c r="D234" s="60"/>
      <c r="E234" s="60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>
      <c r="A235" s="60"/>
      <c r="B235" s="60"/>
      <c r="C235" s="60"/>
      <c r="D235" s="60"/>
      <c r="E235" s="60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>
      <c r="A236" s="60"/>
      <c r="B236" s="60"/>
      <c r="C236" s="60"/>
      <c r="D236" s="60"/>
      <c r="E236" s="60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>
      <c r="A237" s="60"/>
      <c r="B237" s="60"/>
      <c r="C237" s="60"/>
      <c r="D237" s="60"/>
      <c r="E237" s="60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>
      <c r="A238" s="60"/>
      <c r="B238" s="60"/>
      <c r="C238" s="60"/>
      <c r="D238" s="60"/>
      <c r="E238" s="60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>
      <c r="A239" s="60"/>
      <c r="B239" s="60"/>
      <c r="C239" s="60"/>
      <c r="D239" s="60"/>
      <c r="E239" s="60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>
      <c r="A240" s="60"/>
      <c r="B240" s="60"/>
      <c r="C240" s="60"/>
      <c r="D240" s="60"/>
      <c r="E240" s="60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>
      <c r="A241" s="60"/>
      <c r="B241" s="60"/>
      <c r="C241" s="60"/>
      <c r="D241" s="60"/>
      <c r="E241" s="60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>
      <c r="A242" s="60"/>
      <c r="B242" s="60"/>
      <c r="C242" s="60"/>
      <c r="D242" s="60"/>
      <c r="E242" s="60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>
      <c r="A243" s="60"/>
      <c r="B243" s="60"/>
      <c r="C243" s="60"/>
      <c r="D243" s="60"/>
      <c r="E243" s="60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>
      <c r="A244" s="60"/>
      <c r="B244" s="60"/>
      <c r="C244" s="60"/>
      <c r="D244" s="60"/>
      <c r="E244" s="60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>
      <c r="A245" s="60"/>
      <c r="B245" s="60"/>
      <c r="C245" s="60"/>
      <c r="D245" s="60"/>
      <c r="E245" s="60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>
      <c r="A246" s="60"/>
      <c r="B246" s="60"/>
      <c r="C246" s="60"/>
      <c r="D246" s="60"/>
      <c r="E246" s="60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>
      <c r="A247" s="60"/>
      <c r="B247" s="60"/>
      <c r="C247" s="60"/>
      <c r="D247" s="60"/>
      <c r="E247" s="60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>
      <c r="A248" s="60"/>
      <c r="B248" s="60"/>
      <c r="C248" s="60"/>
      <c r="D248" s="60"/>
      <c r="E248" s="60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>
      <c r="A249" s="60"/>
      <c r="B249" s="60"/>
      <c r="C249" s="60"/>
      <c r="D249" s="60"/>
      <c r="E249" s="60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>
      <c r="A250" s="60"/>
      <c r="B250" s="60"/>
      <c r="C250" s="60"/>
      <c r="D250" s="60"/>
      <c r="E250" s="60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>
      <c r="A251" s="60"/>
      <c r="B251" s="60"/>
      <c r="C251" s="60"/>
      <c r="D251" s="60"/>
      <c r="E251" s="60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>
      <c r="A252" s="60"/>
      <c r="B252" s="60"/>
      <c r="C252" s="60"/>
      <c r="D252" s="60"/>
      <c r="E252" s="60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>
      <c r="A253" s="60"/>
      <c r="B253" s="60"/>
      <c r="C253" s="60"/>
      <c r="D253" s="60"/>
      <c r="E253" s="60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>
      <c r="A254" s="60"/>
      <c r="B254" s="60"/>
      <c r="C254" s="60"/>
      <c r="D254" s="60"/>
      <c r="E254" s="60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>
      <c r="A255" s="60"/>
      <c r="B255" s="60"/>
      <c r="C255" s="60"/>
      <c r="D255" s="60"/>
      <c r="E255" s="60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>
      <c r="A256" s="60"/>
      <c r="B256" s="60"/>
      <c r="C256" s="60"/>
      <c r="D256" s="60"/>
      <c r="E256" s="60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>
      <c r="A257" s="60"/>
      <c r="B257" s="60"/>
      <c r="C257" s="60"/>
      <c r="D257" s="60"/>
      <c r="E257" s="60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>
      <c r="A258" s="60"/>
      <c r="B258" s="60"/>
      <c r="C258" s="60"/>
      <c r="D258" s="60"/>
      <c r="E258" s="60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>
      <c r="A259" s="60"/>
      <c r="B259" s="60"/>
      <c r="C259" s="60"/>
      <c r="D259" s="60"/>
      <c r="E259" s="60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>
      <c r="A260" s="60"/>
      <c r="B260" s="60"/>
      <c r="C260" s="60"/>
      <c r="D260" s="60"/>
      <c r="E260" s="60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>
      <c r="A261" s="60"/>
      <c r="B261" s="60"/>
      <c r="C261" s="60"/>
      <c r="D261" s="60"/>
      <c r="E261" s="60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>
      <c r="A262" s="60"/>
      <c r="B262" s="60"/>
      <c r="C262" s="60"/>
      <c r="D262" s="60"/>
      <c r="E262" s="60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>
      <c r="A263" s="60"/>
      <c r="B263" s="60"/>
      <c r="C263" s="60"/>
      <c r="D263" s="60"/>
      <c r="E263" s="60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>
      <c r="A264" s="60"/>
      <c r="B264" s="60"/>
      <c r="C264" s="60"/>
      <c r="D264" s="60"/>
      <c r="E264" s="60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>
      <c r="A265" s="60"/>
      <c r="B265" s="60"/>
      <c r="C265" s="60"/>
      <c r="D265" s="60"/>
      <c r="E265" s="60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>
      <c r="A266" s="60"/>
      <c r="B266" s="60"/>
      <c r="C266" s="60"/>
      <c r="D266" s="60"/>
      <c r="E266" s="60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>
      <c r="A267" s="60"/>
      <c r="B267" s="60"/>
      <c r="C267" s="60"/>
      <c r="D267" s="60"/>
      <c r="E267" s="60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>
      <c r="A268" s="60"/>
      <c r="B268" s="60"/>
      <c r="C268" s="60"/>
      <c r="D268" s="60"/>
      <c r="E268" s="60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>
      <c r="A269" s="60"/>
      <c r="B269" s="60"/>
      <c r="C269" s="60"/>
      <c r="D269" s="60"/>
      <c r="E269" s="60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>
      <c r="A270" s="60"/>
      <c r="B270" s="60"/>
      <c r="C270" s="60"/>
      <c r="D270" s="60"/>
      <c r="E270" s="60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>
      <c r="A271" s="60"/>
      <c r="B271" s="60"/>
      <c r="C271" s="60"/>
      <c r="D271" s="60"/>
      <c r="E271" s="60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>
      <c r="A272" s="60"/>
      <c r="B272" s="60"/>
      <c r="C272" s="60"/>
      <c r="D272" s="60"/>
      <c r="E272" s="60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>
      <c r="A273" s="60"/>
      <c r="B273" s="60"/>
      <c r="C273" s="60"/>
      <c r="D273" s="60"/>
      <c r="E273" s="60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>
      <c r="A274" s="60"/>
      <c r="B274" s="60"/>
      <c r="C274" s="60"/>
      <c r="D274" s="60"/>
      <c r="E274" s="60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>
      <c r="A275" s="60"/>
      <c r="B275" s="60"/>
      <c r="C275" s="60"/>
      <c r="D275" s="60"/>
      <c r="E275" s="60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>
      <c r="A276" s="60"/>
      <c r="B276" s="60"/>
      <c r="C276" s="60"/>
      <c r="D276" s="60"/>
      <c r="E276" s="60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>
      <c r="A277" s="60"/>
      <c r="B277" s="60"/>
      <c r="C277" s="60"/>
      <c r="D277" s="60"/>
      <c r="E277" s="60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>
      <c r="A278" s="60"/>
      <c r="B278" s="60"/>
      <c r="C278" s="60"/>
      <c r="D278" s="60"/>
      <c r="E278" s="60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>
      <c r="A279" s="60"/>
      <c r="B279" s="60"/>
      <c r="C279" s="60"/>
      <c r="D279" s="60"/>
      <c r="E279" s="60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>
      <c r="A280" s="60"/>
      <c r="B280" s="60"/>
      <c r="C280" s="60"/>
      <c r="D280" s="60"/>
      <c r="E280" s="60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>
      <c r="A281" s="60"/>
      <c r="B281" s="60"/>
      <c r="C281" s="60"/>
      <c r="D281" s="60"/>
      <c r="E281" s="60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>
      <c r="A282" s="60"/>
      <c r="B282" s="60"/>
      <c r="C282" s="60"/>
      <c r="D282" s="60"/>
      <c r="E282" s="60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>
      <c r="A283" s="60"/>
      <c r="B283" s="60"/>
      <c r="C283" s="60"/>
      <c r="D283" s="60"/>
      <c r="E283" s="60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>
      <c r="A284" s="60"/>
      <c r="B284" s="60"/>
      <c r="C284" s="60"/>
      <c r="D284" s="60"/>
      <c r="E284" s="60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>
      <c r="A285" s="60"/>
      <c r="B285" s="60"/>
      <c r="C285" s="60"/>
      <c r="D285" s="60"/>
      <c r="E285" s="60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>
      <c r="A286" s="60"/>
      <c r="B286" s="60"/>
      <c r="C286" s="60"/>
      <c r="D286" s="60"/>
      <c r="E286" s="60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>
      <c r="A287" s="60"/>
      <c r="B287" s="60"/>
      <c r="C287" s="60"/>
      <c r="D287" s="60"/>
      <c r="E287" s="60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>
      <c r="A288" s="60"/>
      <c r="B288" s="60"/>
      <c r="C288" s="60"/>
      <c r="D288" s="60"/>
      <c r="E288" s="60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>
      <c r="A289" s="60"/>
      <c r="B289" s="60"/>
      <c r="C289" s="60"/>
      <c r="D289" s="60"/>
      <c r="E289" s="60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>
      <c r="A290" s="60"/>
      <c r="B290" s="60"/>
      <c r="C290" s="60"/>
      <c r="D290" s="60"/>
      <c r="E290" s="60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>
      <c r="A291" s="60"/>
      <c r="B291" s="60"/>
      <c r="C291" s="60"/>
      <c r="D291" s="60"/>
      <c r="E291" s="60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>
      <c r="A292" s="60"/>
      <c r="B292" s="60"/>
      <c r="C292" s="60"/>
      <c r="D292" s="60"/>
      <c r="E292" s="60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>
      <c r="A293" s="60"/>
      <c r="B293" s="60"/>
      <c r="C293" s="60"/>
      <c r="D293" s="60"/>
      <c r="E293" s="60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>
      <c r="A294" s="60"/>
      <c r="B294" s="60"/>
      <c r="C294" s="60"/>
      <c r="D294" s="60"/>
      <c r="E294" s="60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>
      <c r="A295" s="60"/>
      <c r="B295" s="60"/>
      <c r="C295" s="60"/>
      <c r="D295" s="60"/>
      <c r="E295" s="60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>
      <c r="A296" s="60"/>
      <c r="B296" s="60"/>
      <c r="C296" s="60"/>
      <c r="D296" s="60"/>
      <c r="E296" s="60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>
      <c r="A297" s="60"/>
      <c r="B297" s="60"/>
      <c r="C297" s="60"/>
      <c r="D297" s="60"/>
      <c r="E297" s="60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>
      <c r="A298" s="60"/>
      <c r="B298" s="60"/>
      <c r="C298" s="60"/>
      <c r="D298" s="60"/>
      <c r="E298" s="60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>
      <c r="A299" s="60"/>
      <c r="B299" s="60"/>
      <c r="C299" s="60"/>
      <c r="D299" s="60"/>
      <c r="E299" s="60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>
      <c r="A300" s="60"/>
      <c r="B300" s="60"/>
      <c r="C300" s="60"/>
      <c r="D300" s="60"/>
      <c r="E300" s="60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>
      <c r="A301" s="60"/>
      <c r="B301" s="60"/>
      <c r="C301" s="60"/>
      <c r="D301" s="60"/>
      <c r="E301" s="60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>
      <c r="A302" s="60"/>
      <c r="B302" s="60"/>
      <c r="C302" s="60"/>
      <c r="D302" s="60"/>
      <c r="E302" s="60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>
      <c r="A303" s="60"/>
      <c r="B303" s="60"/>
      <c r="C303" s="60"/>
      <c r="D303" s="60"/>
      <c r="E303" s="60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>
      <c r="A304" s="60"/>
      <c r="B304" s="60"/>
      <c r="C304" s="60"/>
      <c r="D304" s="60"/>
      <c r="E304" s="60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>
      <c r="A305" s="60"/>
      <c r="B305" s="60"/>
      <c r="C305" s="60"/>
      <c r="D305" s="60"/>
      <c r="E305" s="60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>
      <c r="A306" s="60"/>
      <c r="B306" s="60"/>
      <c r="C306" s="60"/>
      <c r="D306" s="60"/>
      <c r="E306" s="60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>
      <c r="A307" s="60"/>
      <c r="B307" s="60"/>
      <c r="C307" s="60"/>
      <c r="D307" s="60"/>
      <c r="E307" s="60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>
      <c r="A308" s="60"/>
      <c r="B308" s="60"/>
      <c r="C308" s="60"/>
      <c r="D308" s="60"/>
      <c r="E308" s="60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>
      <c r="A309" s="60"/>
      <c r="B309" s="60"/>
      <c r="C309" s="60"/>
      <c r="D309" s="60"/>
      <c r="E309" s="60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>
      <c r="A310" s="60"/>
      <c r="B310" s="60"/>
      <c r="C310" s="60"/>
      <c r="D310" s="60"/>
      <c r="E310" s="60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>
      <c r="A311" s="60"/>
      <c r="B311" s="60"/>
      <c r="C311" s="60"/>
      <c r="D311" s="60"/>
      <c r="E311" s="60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>
      <c r="A312" s="60"/>
      <c r="B312" s="60"/>
      <c r="C312" s="60"/>
      <c r="D312" s="60"/>
      <c r="E312" s="60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>
      <c r="A313" s="60"/>
      <c r="B313" s="60"/>
      <c r="C313" s="60"/>
      <c r="D313" s="60"/>
      <c r="E313" s="60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>
      <c r="A314" s="60"/>
      <c r="B314" s="60"/>
      <c r="C314" s="60"/>
      <c r="D314" s="60"/>
      <c r="E314" s="60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>
      <c r="A315" s="60"/>
      <c r="B315" s="60"/>
      <c r="C315" s="60"/>
      <c r="D315" s="60"/>
      <c r="E315" s="60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>
      <c r="A316" s="60"/>
      <c r="B316" s="60"/>
      <c r="C316" s="60"/>
      <c r="D316" s="60"/>
      <c r="E316" s="60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>
      <c r="A317" s="60"/>
      <c r="B317" s="60"/>
      <c r="C317" s="60"/>
      <c r="D317" s="60"/>
      <c r="E317" s="60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>
      <c r="A318" s="60"/>
      <c r="B318" s="60"/>
      <c r="C318" s="60"/>
      <c r="D318" s="60"/>
      <c r="E318" s="60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>
      <c r="A319" s="60"/>
      <c r="B319" s="60"/>
      <c r="C319" s="60"/>
      <c r="D319" s="60"/>
      <c r="E319" s="60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>
      <c r="A320" s="60"/>
      <c r="B320" s="60"/>
      <c r="C320" s="60"/>
      <c r="D320" s="60"/>
      <c r="E320" s="60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>
      <c r="A321" s="60"/>
      <c r="B321" s="60"/>
      <c r="C321" s="60"/>
      <c r="D321" s="60"/>
      <c r="E321" s="60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>
      <c r="A322" s="60"/>
      <c r="B322" s="60"/>
      <c r="C322" s="60"/>
      <c r="D322" s="60"/>
      <c r="E322" s="60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>
      <c r="A323" s="60"/>
      <c r="B323" s="60"/>
      <c r="C323" s="60"/>
      <c r="D323" s="60"/>
      <c r="E323" s="60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>
      <c r="A324" s="60"/>
      <c r="B324" s="60"/>
      <c r="C324" s="60"/>
      <c r="D324" s="60"/>
      <c r="E324" s="60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>
      <c r="A325" s="60"/>
      <c r="B325" s="60"/>
      <c r="C325" s="60"/>
      <c r="D325" s="60"/>
      <c r="E325" s="60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>
      <c r="A326" s="60"/>
      <c r="B326" s="60"/>
      <c r="C326" s="60"/>
      <c r="D326" s="60"/>
      <c r="E326" s="60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>
      <c r="A327" s="60"/>
      <c r="B327" s="60"/>
      <c r="C327" s="60"/>
      <c r="D327" s="60"/>
      <c r="E327" s="60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>
      <c r="A328" s="60"/>
      <c r="B328" s="60"/>
      <c r="C328" s="60"/>
      <c r="D328" s="60"/>
      <c r="E328" s="60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>
      <c r="A329" s="60"/>
      <c r="B329" s="60"/>
      <c r="C329" s="60"/>
      <c r="D329" s="60"/>
      <c r="E329" s="60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>
      <c r="A330" s="60"/>
      <c r="B330" s="60"/>
      <c r="C330" s="60"/>
      <c r="D330" s="60"/>
      <c r="E330" s="60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>
      <c r="A331" s="60"/>
      <c r="B331" s="60"/>
      <c r="C331" s="60"/>
      <c r="D331" s="60"/>
      <c r="E331" s="60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>
      <c r="A332" s="60"/>
      <c r="B332" s="60"/>
      <c r="C332" s="60"/>
      <c r="D332" s="60"/>
      <c r="E332" s="60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>
      <c r="A333" s="60"/>
      <c r="B333" s="60"/>
      <c r="C333" s="60"/>
      <c r="D333" s="60"/>
      <c r="E333" s="60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>
      <c r="A334" s="60"/>
      <c r="B334" s="60"/>
      <c r="C334" s="60"/>
      <c r="D334" s="60"/>
      <c r="E334" s="60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>
      <c r="A335" s="60"/>
      <c r="B335" s="60"/>
      <c r="C335" s="60"/>
      <c r="D335" s="60"/>
      <c r="E335" s="60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>
      <c r="A336" s="60"/>
      <c r="B336" s="60"/>
      <c r="C336" s="60"/>
      <c r="D336" s="60"/>
      <c r="E336" s="60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>
      <c r="A337" s="60"/>
      <c r="B337" s="60"/>
      <c r="C337" s="60"/>
      <c r="D337" s="60"/>
      <c r="E337" s="60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>
      <c r="A338" s="60"/>
      <c r="B338" s="60"/>
      <c r="C338" s="60"/>
      <c r="D338" s="60"/>
      <c r="E338" s="60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>
      <c r="A339" s="60"/>
      <c r="B339" s="60"/>
      <c r="C339" s="60"/>
      <c r="D339" s="60"/>
      <c r="E339" s="60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>
      <c r="A340" s="60"/>
      <c r="B340" s="60"/>
      <c r="C340" s="60"/>
      <c r="D340" s="60"/>
      <c r="E340" s="60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>
      <c r="A341" s="60"/>
      <c r="B341" s="60"/>
      <c r="C341" s="60"/>
      <c r="D341" s="60"/>
      <c r="E341" s="60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>
      <c r="A342" s="60"/>
      <c r="B342" s="60"/>
      <c r="C342" s="60"/>
      <c r="D342" s="60"/>
      <c r="E342" s="60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>
      <c r="A343" s="60"/>
      <c r="B343" s="60"/>
      <c r="C343" s="60"/>
      <c r="D343" s="60"/>
      <c r="E343" s="60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>
      <c r="A344" s="60"/>
      <c r="B344" s="60"/>
      <c r="C344" s="60"/>
      <c r="D344" s="60"/>
      <c r="E344" s="60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>
      <c r="A345" s="60"/>
      <c r="B345" s="60"/>
      <c r="C345" s="60"/>
      <c r="D345" s="60"/>
      <c r="E345" s="60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>
      <c r="A346" s="60"/>
      <c r="B346" s="60"/>
      <c r="C346" s="60"/>
      <c r="D346" s="60"/>
      <c r="E346" s="60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>
      <c r="A347" s="60"/>
      <c r="B347" s="60"/>
      <c r="C347" s="60"/>
      <c r="D347" s="60"/>
      <c r="E347" s="60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>
      <c r="A348" s="60"/>
      <c r="B348" s="60"/>
      <c r="C348" s="60"/>
      <c r="D348" s="60"/>
      <c r="E348" s="60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>
      <c r="A349" s="60"/>
      <c r="B349" s="60"/>
      <c r="C349" s="60"/>
      <c r="D349" s="60"/>
      <c r="E349" s="60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>
      <c r="A350" s="60"/>
      <c r="B350" s="60"/>
      <c r="C350" s="60"/>
      <c r="D350" s="60"/>
      <c r="E350" s="60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>
      <c r="A351" s="60"/>
      <c r="B351" s="60"/>
      <c r="C351" s="60"/>
      <c r="D351" s="60"/>
      <c r="E351" s="60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>
      <c r="A352" s="60"/>
      <c r="B352" s="60"/>
      <c r="C352" s="60"/>
      <c r="D352" s="60"/>
      <c r="E352" s="60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>
      <c r="A353" s="60"/>
      <c r="B353" s="60"/>
      <c r="C353" s="60"/>
      <c r="D353" s="60"/>
      <c r="E353" s="60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>
      <c r="A354" s="60"/>
      <c r="B354" s="60"/>
      <c r="C354" s="60"/>
      <c r="D354" s="60"/>
      <c r="E354" s="60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>
      <c r="A355" s="60"/>
      <c r="B355" s="60"/>
      <c r="C355" s="60"/>
      <c r="D355" s="60"/>
      <c r="E355" s="60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>
      <c r="A356" s="60"/>
      <c r="B356" s="60"/>
      <c r="C356" s="60"/>
      <c r="D356" s="60"/>
      <c r="E356" s="60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>
      <c r="A357" s="60"/>
      <c r="B357" s="60"/>
      <c r="C357" s="60"/>
      <c r="D357" s="60"/>
      <c r="E357" s="60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>
      <c r="A358" s="60"/>
      <c r="B358" s="60"/>
      <c r="C358" s="60"/>
      <c r="D358" s="60"/>
      <c r="E358" s="60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>
      <c r="A359" s="60"/>
      <c r="B359" s="60"/>
      <c r="C359" s="60"/>
      <c r="D359" s="60"/>
      <c r="E359" s="60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>
      <c r="A360" s="60"/>
      <c r="B360" s="60"/>
      <c r="C360" s="60"/>
      <c r="D360" s="60"/>
      <c r="E360" s="60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>
      <c r="A361" s="60"/>
      <c r="B361" s="60"/>
      <c r="C361" s="60"/>
      <c r="D361" s="60"/>
      <c r="E361" s="60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>
      <c r="A362" s="60"/>
      <c r="B362" s="60"/>
      <c r="C362" s="60"/>
      <c r="D362" s="60"/>
      <c r="E362" s="60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>
      <c r="A363" s="60"/>
      <c r="B363" s="60"/>
      <c r="C363" s="60"/>
      <c r="D363" s="60"/>
      <c r="E363" s="60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>
      <c r="A364" s="60"/>
      <c r="B364" s="60"/>
      <c r="C364" s="60"/>
      <c r="D364" s="60"/>
      <c r="E364" s="60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>
      <c r="A365" s="60"/>
      <c r="B365" s="60"/>
      <c r="C365" s="60"/>
      <c r="D365" s="60"/>
      <c r="E365" s="60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>
      <c r="A366" s="60"/>
      <c r="B366" s="60"/>
      <c r="C366" s="60"/>
      <c r="D366" s="60"/>
      <c r="E366" s="60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>
      <c r="A367" s="60"/>
      <c r="B367" s="60"/>
      <c r="C367" s="60"/>
      <c r="D367" s="60"/>
      <c r="E367" s="60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>
      <c r="A368" s="60"/>
      <c r="B368" s="60"/>
      <c r="C368" s="60"/>
      <c r="D368" s="60"/>
      <c r="E368" s="60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>
      <c r="A369" s="60"/>
      <c r="B369" s="60"/>
      <c r="C369" s="60"/>
      <c r="D369" s="60"/>
      <c r="E369" s="60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>
      <c r="A370" s="60"/>
      <c r="B370" s="60"/>
      <c r="C370" s="60"/>
      <c r="D370" s="60"/>
      <c r="E370" s="60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>
      <c r="A371" s="60"/>
      <c r="B371" s="60"/>
      <c r="C371" s="60"/>
      <c r="D371" s="60"/>
      <c r="E371" s="60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>
      <c r="A372" s="60"/>
      <c r="B372" s="60"/>
      <c r="C372" s="60"/>
      <c r="D372" s="60"/>
      <c r="E372" s="60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>
      <c r="A373" s="60"/>
      <c r="B373" s="60"/>
      <c r="C373" s="60"/>
      <c r="D373" s="60"/>
      <c r="E373" s="60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>
      <c r="A374" s="60"/>
      <c r="B374" s="60"/>
      <c r="C374" s="60"/>
      <c r="D374" s="60"/>
      <c r="E374" s="60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>
      <c r="A375" s="60"/>
      <c r="B375" s="60"/>
      <c r="C375" s="60"/>
      <c r="D375" s="60"/>
      <c r="E375" s="60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>
      <c r="A376" s="60"/>
      <c r="B376" s="60"/>
      <c r="C376" s="60"/>
      <c r="D376" s="60"/>
      <c r="E376" s="60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>
      <c r="A377" s="60"/>
      <c r="B377" s="60"/>
      <c r="C377" s="60"/>
      <c r="D377" s="60"/>
      <c r="E377" s="60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>
      <c r="A378" s="60"/>
      <c r="B378" s="60"/>
      <c r="C378" s="60"/>
      <c r="D378" s="60"/>
      <c r="E378" s="60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>
      <c r="A379" s="60"/>
      <c r="B379" s="60"/>
      <c r="C379" s="60"/>
      <c r="D379" s="60"/>
      <c r="E379" s="60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>
      <c r="A380" s="60"/>
      <c r="B380" s="60"/>
      <c r="C380" s="60"/>
      <c r="D380" s="60"/>
      <c r="E380" s="60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>
      <c r="A381" s="60"/>
      <c r="B381" s="60"/>
      <c r="C381" s="60"/>
      <c r="D381" s="60"/>
      <c r="E381" s="60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>
      <c r="A382" s="60"/>
      <c r="B382" s="60"/>
      <c r="C382" s="60"/>
      <c r="D382" s="60"/>
      <c r="E382" s="60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>
      <c r="A383" s="60"/>
      <c r="B383" s="60"/>
      <c r="C383" s="60"/>
      <c r="D383" s="60"/>
      <c r="E383" s="60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>
      <c r="A384" s="60"/>
      <c r="B384" s="60"/>
      <c r="C384" s="60"/>
      <c r="D384" s="60"/>
      <c r="E384" s="60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>
      <c r="A385" s="60"/>
      <c r="B385" s="60"/>
      <c r="C385" s="60"/>
      <c r="D385" s="60"/>
      <c r="E385" s="60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>
      <c r="A386" s="60"/>
      <c r="B386" s="60"/>
      <c r="C386" s="60"/>
      <c r="D386" s="60"/>
      <c r="E386" s="60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>
      <c r="A387" s="60"/>
      <c r="B387" s="60"/>
      <c r="C387" s="60"/>
      <c r="D387" s="60"/>
      <c r="E387" s="60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>
      <c r="A388" s="60"/>
      <c r="B388" s="60"/>
      <c r="C388" s="60"/>
      <c r="D388" s="60"/>
      <c r="E388" s="60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>
      <c r="A389" s="60"/>
      <c r="B389" s="60"/>
      <c r="C389" s="60"/>
      <c r="D389" s="60"/>
      <c r="E389" s="60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>
      <c r="A390" s="60"/>
      <c r="B390" s="60"/>
      <c r="C390" s="60"/>
      <c r="D390" s="60"/>
      <c r="E390" s="60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>
      <c r="A391" s="60"/>
      <c r="B391" s="60"/>
      <c r="C391" s="60"/>
      <c r="D391" s="60"/>
      <c r="E391" s="60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>
      <c r="A392" s="60"/>
      <c r="B392" s="60"/>
      <c r="C392" s="60"/>
      <c r="D392" s="60"/>
      <c r="E392" s="60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>
      <c r="A393" s="60"/>
      <c r="B393" s="60"/>
      <c r="C393" s="60"/>
      <c r="D393" s="60"/>
      <c r="E393" s="60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>
      <c r="A394" s="60"/>
      <c r="B394" s="60"/>
      <c r="C394" s="60"/>
      <c r="D394" s="60"/>
      <c r="E394" s="60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>
      <c r="A395" s="60"/>
      <c r="B395" s="60"/>
      <c r="C395" s="60"/>
      <c r="D395" s="60"/>
      <c r="E395" s="60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>
      <c r="A396" s="60"/>
      <c r="B396" s="60"/>
      <c r="C396" s="60"/>
      <c r="D396" s="60"/>
      <c r="E396" s="60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>
      <c r="A397" s="60"/>
      <c r="B397" s="60"/>
      <c r="C397" s="60"/>
      <c r="D397" s="60"/>
      <c r="E397" s="60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>
      <c r="A398" s="60"/>
      <c r="B398" s="60"/>
      <c r="C398" s="60"/>
      <c r="D398" s="60"/>
      <c r="E398" s="60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>
      <c r="A399" s="60"/>
      <c r="B399" s="60"/>
      <c r="C399" s="60"/>
      <c r="D399" s="60"/>
      <c r="E399" s="60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>
      <c r="A400" s="60"/>
      <c r="B400" s="60"/>
      <c r="C400" s="60"/>
      <c r="D400" s="60"/>
      <c r="E400" s="60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>
      <c r="A401" s="60"/>
      <c r="B401" s="60"/>
      <c r="C401" s="60"/>
      <c r="D401" s="60"/>
      <c r="E401" s="60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>
      <c r="A402" s="60"/>
      <c r="B402" s="60"/>
      <c r="C402" s="60"/>
      <c r="D402" s="60"/>
      <c r="E402" s="60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>
      <c r="A403" s="60"/>
      <c r="B403" s="60"/>
      <c r="C403" s="60"/>
      <c r="D403" s="60"/>
      <c r="E403" s="60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>
      <c r="A404" s="60"/>
      <c r="B404" s="60"/>
      <c r="C404" s="60"/>
      <c r="D404" s="60"/>
      <c r="E404" s="60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>
      <c r="A405" s="60"/>
      <c r="B405" s="60"/>
      <c r="C405" s="60"/>
      <c r="D405" s="60"/>
      <c r="E405" s="60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>
      <c r="A406" s="60"/>
      <c r="B406" s="60"/>
      <c r="C406" s="60"/>
      <c r="D406" s="60"/>
      <c r="E406" s="60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>
      <c r="A407" s="60"/>
      <c r="B407" s="60"/>
      <c r="C407" s="60"/>
      <c r="D407" s="60"/>
      <c r="E407" s="60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>
      <c r="A408" s="60"/>
      <c r="B408" s="60"/>
      <c r="C408" s="60"/>
      <c r="D408" s="60"/>
      <c r="E408" s="60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>
      <c r="A409" s="60"/>
      <c r="B409" s="60"/>
      <c r="C409" s="60"/>
      <c r="D409" s="60"/>
      <c r="E409" s="60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>
      <c r="A410" s="60"/>
      <c r="B410" s="60"/>
      <c r="C410" s="60"/>
      <c r="D410" s="60"/>
      <c r="E410" s="60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>
      <c r="A411" s="60"/>
      <c r="B411" s="60"/>
      <c r="C411" s="60"/>
      <c r="D411" s="60"/>
      <c r="E411" s="60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>
      <c r="A412" s="60"/>
      <c r="B412" s="60"/>
      <c r="C412" s="60"/>
      <c r="D412" s="60"/>
      <c r="E412" s="60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>
      <c r="A413" s="60"/>
      <c r="B413" s="60"/>
      <c r="C413" s="60"/>
      <c r="D413" s="60"/>
      <c r="E413" s="60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>
      <c r="A414" s="60"/>
      <c r="B414" s="60"/>
      <c r="C414" s="60"/>
      <c r="D414" s="60"/>
      <c r="E414" s="60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>
      <c r="A415" s="60"/>
      <c r="B415" s="60"/>
      <c r="C415" s="60"/>
      <c r="D415" s="60"/>
      <c r="E415" s="60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>
      <c r="A416" s="60"/>
      <c r="B416" s="60"/>
      <c r="C416" s="60"/>
      <c r="D416" s="60"/>
      <c r="E416" s="60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>
      <c r="A417" s="60"/>
      <c r="B417" s="60"/>
      <c r="C417" s="60"/>
      <c r="D417" s="60"/>
      <c r="E417" s="60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>
      <c r="A418" s="60"/>
      <c r="B418" s="60"/>
      <c r="C418" s="60"/>
      <c r="D418" s="60"/>
      <c r="E418" s="60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>
      <c r="A419" s="60"/>
      <c r="B419" s="60"/>
      <c r="C419" s="60"/>
      <c r="D419" s="60"/>
      <c r="E419" s="60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>
      <c r="A420" s="60"/>
      <c r="B420" s="60"/>
      <c r="C420" s="60"/>
      <c r="D420" s="60"/>
      <c r="E420" s="60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>
      <c r="A421" s="60"/>
      <c r="B421" s="60"/>
      <c r="C421" s="60"/>
      <c r="D421" s="60"/>
      <c r="E421" s="60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>
      <c r="A422" s="60"/>
      <c r="B422" s="60"/>
      <c r="C422" s="60"/>
      <c r="D422" s="60"/>
      <c r="E422" s="60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>
      <c r="A423" s="60"/>
      <c r="B423" s="60"/>
      <c r="C423" s="60"/>
      <c r="D423" s="60"/>
      <c r="E423" s="60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>
      <c r="A424" s="60"/>
      <c r="B424" s="60"/>
      <c r="C424" s="60"/>
      <c r="D424" s="60"/>
      <c r="E424" s="60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>
      <c r="A425" s="60"/>
      <c r="B425" s="60"/>
      <c r="C425" s="60"/>
      <c r="D425" s="60"/>
      <c r="E425" s="60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>
      <c r="A426" s="60"/>
      <c r="B426" s="60"/>
      <c r="C426" s="60"/>
      <c r="D426" s="60"/>
      <c r="E426" s="60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>
      <c r="A427" s="60"/>
      <c r="B427" s="60"/>
      <c r="C427" s="60"/>
      <c r="D427" s="60"/>
      <c r="E427" s="60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>
      <c r="A428" s="60"/>
      <c r="B428" s="60"/>
      <c r="C428" s="60"/>
      <c r="D428" s="60"/>
      <c r="E428" s="60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>
      <c r="A429" s="60"/>
      <c r="B429" s="60"/>
      <c r="C429" s="60"/>
      <c r="D429" s="60"/>
      <c r="E429" s="60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>
      <c r="A430" s="60"/>
      <c r="B430" s="60"/>
      <c r="C430" s="60"/>
      <c r="D430" s="60"/>
      <c r="E430" s="60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>
      <c r="A431" s="60"/>
      <c r="B431" s="60"/>
      <c r="C431" s="60"/>
      <c r="D431" s="60"/>
      <c r="E431" s="60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>
      <c r="A432" s="60"/>
      <c r="B432" s="60"/>
      <c r="C432" s="60"/>
      <c r="D432" s="60"/>
      <c r="E432" s="60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>
      <c r="A433" s="60"/>
      <c r="B433" s="60"/>
      <c r="C433" s="60"/>
      <c r="D433" s="60"/>
      <c r="E433" s="60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>
      <c r="A434" s="60"/>
      <c r="B434" s="60"/>
      <c r="C434" s="60"/>
      <c r="D434" s="60"/>
      <c r="E434" s="60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>
      <c r="A435" s="60"/>
      <c r="B435" s="60"/>
      <c r="C435" s="60"/>
      <c r="D435" s="60"/>
      <c r="E435" s="60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>
      <c r="A436" s="60"/>
      <c r="B436" s="60"/>
      <c r="C436" s="60"/>
      <c r="D436" s="60"/>
      <c r="E436" s="60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>
      <c r="A437" s="60"/>
      <c r="B437" s="60"/>
      <c r="C437" s="60"/>
      <c r="D437" s="60"/>
      <c r="E437" s="60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>
      <c r="A438" s="60"/>
      <c r="B438" s="60"/>
      <c r="C438" s="60"/>
      <c r="D438" s="60"/>
      <c r="E438" s="60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>
      <c r="A439" s="60"/>
      <c r="B439" s="60"/>
      <c r="C439" s="60"/>
      <c r="D439" s="60"/>
      <c r="E439" s="60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>
      <c r="A440" s="60"/>
      <c r="B440" s="60"/>
      <c r="C440" s="60"/>
      <c r="D440" s="60"/>
      <c r="E440" s="60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>
      <c r="A441" s="60"/>
      <c r="B441" s="60"/>
      <c r="C441" s="60"/>
      <c r="D441" s="60"/>
      <c r="E441" s="60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>
      <c r="A442" s="60"/>
      <c r="B442" s="60"/>
      <c r="C442" s="60"/>
      <c r="D442" s="60"/>
      <c r="E442" s="60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>
      <c r="A443" s="60"/>
      <c r="B443" s="60"/>
      <c r="C443" s="60"/>
      <c r="D443" s="60"/>
      <c r="E443" s="60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>
      <c r="A444" s="60"/>
      <c r="B444" s="60"/>
      <c r="C444" s="60"/>
      <c r="D444" s="60"/>
      <c r="E444" s="60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>
      <c r="A445" s="60"/>
      <c r="B445" s="60"/>
      <c r="C445" s="60"/>
      <c r="D445" s="60"/>
      <c r="E445" s="60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>
      <c r="A446" s="60"/>
      <c r="B446" s="60"/>
      <c r="C446" s="60"/>
      <c r="D446" s="60"/>
      <c r="E446" s="60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>
      <c r="A447" s="60"/>
      <c r="B447" s="60"/>
      <c r="C447" s="60"/>
      <c r="D447" s="60"/>
      <c r="E447" s="60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>
      <c r="A448" s="60"/>
      <c r="B448" s="60"/>
      <c r="C448" s="60"/>
      <c r="D448" s="60"/>
      <c r="E448" s="60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>
      <c r="A449" s="60"/>
      <c r="B449" s="60"/>
      <c r="C449" s="60"/>
      <c r="D449" s="60"/>
      <c r="E449" s="60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>
      <c r="A450" s="60"/>
      <c r="B450" s="60"/>
      <c r="C450" s="60"/>
      <c r="D450" s="60"/>
      <c r="E450" s="60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>
      <c r="A451" s="60"/>
      <c r="B451" s="60"/>
      <c r="C451" s="60"/>
      <c r="D451" s="60"/>
      <c r="E451" s="60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>
      <c r="A452" s="60"/>
      <c r="B452" s="60"/>
      <c r="C452" s="60"/>
      <c r="D452" s="60"/>
      <c r="E452" s="60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>
      <c r="A453" s="60"/>
      <c r="B453" s="60"/>
      <c r="C453" s="60"/>
      <c r="D453" s="60"/>
      <c r="E453" s="60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>
      <c r="A454" s="60"/>
      <c r="B454" s="60"/>
      <c r="C454" s="60"/>
      <c r="D454" s="60"/>
      <c r="E454" s="60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>
      <c r="A455" s="60"/>
      <c r="B455" s="60"/>
      <c r="C455" s="60"/>
      <c r="D455" s="60"/>
      <c r="E455" s="60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>
      <c r="A456" s="60"/>
      <c r="B456" s="60"/>
      <c r="C456" s="60"/>
      <c r="D456" s="60"/>
      <c r="E456" s="60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>
      <c r="A457" s="60"/>
      <c r="B457" s="60"/>
      <c r="C457" s="60"/>
      <c r="D457" s="60"/>
      <c r="E457" s="60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>
      <c r="A458" s="60"/>
      <c r="B458" s="60"/>
      <c r="C458" s="60"/>
      <c r="D458" s="60"/>
      <c r="E458" s="60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>
      <c r="A459" s="60"/>
      <c r="B459" s="60"/>
      <c r="C459" s="60"/>
      <c r="D459" s="60"/>
      <c r="E459" s="60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>
      <c r="A460" s="60"/>
      <c r="B460" s="60"/>
      <c r="C460" s="60"/>
      <c r="D460" s="60"/>
      <c r="E460" s="60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>
      <c r="A461" s="60"/>
      <c r="B461" s="60"/>
      <c r="C461" s="60"/>
      <c r="D461" s="60"/>
      <c r="E461" s="60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>
      <c r="A462" s="60"/>
      <c r="B462" s="60"/>
      <c r="C462" s="60"/>
      <c r="D462" s="60"/>
      <c r="E462" s="60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>
      <c r="A463" s="60"/>
      <c r="B463" s="60"/>
      <c r="C463" s="60"/>
      <c r="D463" s="60"/>
      <c r="E463" s="60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>
      <c r="A464" s="60"/>
      <c r="B464" s="60"/>
      <c r="C464" s="60"/>
      <c r="D464" s="60"/>
      <c r="E464" s="60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>
      <c r="A465" s="60"/>
      <c r="B465" s="60"/>
      <c r="C465" s="60"/>
      <c r="D465" s="60"/>
      <c r="E465" s="60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>
      <c r="A466" s="60"/>
      <c r="B466" s="60"/>
      <c r="C466" s="60"/>
      <c r="D466" s="60"/>
      <c r="E466" s="60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>
      <c r="A467" s="60"/>
      <c r="B467" s="60"/>
      <c r="C467" s="60"/>
      <c r="D467" s="60"/>
      <c r="E467" s="60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>
      <c r="A468" s="60"/>
      <c r="B468" s="60"/>
      <c r="C468" s="60"/>
      <c r="D468" s="60"/>
      <c r="E468" s="60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>
      <c r="A469" s="60"/>
      <c r="B469" s="60"/>
      <c r="C469" s="60"/>
      <c r="D469" s="60"/>
      <c r="E469" s="60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>
      <c r="A470" s="60"/>
      <c r="B470" s="60"/>
      <c r="C470" s="60"/>
      <c r="D470" s="60"/>
      <c r="E470" s="60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>
      <c r="A471" s="60"/>
      <c r="B471" s="60"/>
      <c r="C471" s="60"/>
      <c r="D471" s="60"/>
      <c r="E471" s="60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>
      <c r="A472" s="60"/>
      <c r="B472" s="60"/>
      <c r="C472" s="60"/>
      <c r="D472" s="60"/>
      <c r="E472" s="60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>
      <c r="A473" s="60"/>
      <c r="B473" s="60"/>
      <c r="C473" s="60"/>
      <c r="D473" s="60"/>
      <c r="E473" s="60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>
      <c r="A474" s="60"/>
      <c r="B474" s="60"/>
      <c r="C474" s="60"/>
      <c r="D474" s="60"/>
      <c r="E474" s="60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>
      <c r="A475" s="60"/>
      <c r="B475" s="60"/>
      <c r="C475" s="60"/>
      <c r="D475" s="60"/>
      <c r="E475" s="60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>
      <c r="A476" s="60"/>
      <c r="B476" s="60"/>
      <c r="C476" s="60"/>
      <c r="D476" s="60"/>
      <c r="E476" s="60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>
      <c r="A477" s="60"/>
      <c r="B477" s="60"/>
      <c r="C477" s="60"/>
      <c r="D477" s="60"/>
      <c r="E477" s="60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>
      <c r="A478" s="60"/>
      <c r="B478" s="60"/>
      <c r="C478" s="60"/>
      <c r="D478" s="60"/>
      <c r="E478" s="60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>
      <c r="A479" s="60"/>
      <c r="B479" s="60"/>
      <c r="C479" s="60"/>
      <c r="D479" s="60"/>
      <c r="E479" s="60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>
      <c r="A480" s="60"/>
      <c r="B480" s="60"/>
      <c r="C480" s="60"/>
      <c r="D480" s="60"/>
      <c r="E480" s="60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>
      <c r="A481" s="60"/>
      <c r="B481" s="60"/>
      <c r="C481" s="60"/>
      <c r="D481" s="60"/>
      <c r="E481" s="60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>
      <c r="A482" s="60"/>
      <c r="B482" s="60"/>
      <c r="C482" s="60"/>
      <c r="D482" s="60"/>
      <c r="E482" s="60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>
      <c r="A483" s="60"/>
      <c r="B483" s="60"/>
      <c r="C483" s="60"/>
      <c r="D483" s="60"/>
      <c r="E483" s="60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>
      <c r="A484" s="60"/>
      <c r="B484" s="60"/>
      <c r="C484" s="60"/>
      <c r="D484" s="60"/>
      <c r="E484" s="60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>
      <c r="A485" s="60"/>
      <c r="B485" s="60"/>
      <c r="C485" s="60"/>
      <c r="D485" s="60"/>
      <c r="E485" s="60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>
      <c r="A486" s="60"/>
      <c r="B486" s="60"/>
      <c r="C486" s="60"/>
      <c r="D486" s="60"/>
      <c r="E486" s="60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>
      <c r="A487" s="60"/>
      <c r="B487" s="60"/>
      <c r="C487" s="60"/>
      <c r="D487" s="60"/>
      <c r="E487" s="60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>
      <c r="A488" s="60"/>
      <c r="B488" s="60"/>
      <c r="C488" s="60"/>
      <c r="D488" s="60"/>
      <c r="E488" s="60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>
      <c r="A489" s="60"/>
      <c r="B489" s="60"/>
      <c r="C489" s="60"/>
      <c r="D489" s="60"/>
      <c r="E489" s="60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>
      <c r="A490" s="60"/>
      <c r="B490" s="60"/>
      <c r="C490" s="60"/>
      <c r="D490" s="60"/>
      <c r="E490" s="60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>
      <c r="A491" s="60"/>
      <c r="B491" s="60"/>
      <c r="C491" s="60"/>
      <c r="D491" s="60"/>
      <c r="E491" s="60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>
      <c r="A492" s="60"/>
      <c r="B492" s="60"/>
      <c r="C492" s="60"/>
      <c r="D492" s="60"/>
      <c r="E492" s="60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>
      <c r="A493" s="60"/>
      <c r="B493" s="60"/>
      <c r="C493" s="60"/>
      <c r="D493" s="60"/>
      <c r="E493" s="60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>
      <c r="A494" s="60"/>
      <c r="B494" s="60"/>
      <c r="C494" s="60"/>
      <c r="D494" s="60"/>
      <c r="E494" s="60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>
      <c r="A495" s="60"/>
      <c r="B495" s="60"/>
      <c r="C495" s="60"/>
      <c r="D495" s="60"/>
      <c r="E495" s="60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>
      <c r="A496" s="60"/>
      <c r="B496" s="60"/>
      <c r="C496" s="60"/>
      <c r="D496" s="60"/>
      <c r="E496" s="60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>
      <c r="A497" s="60"/>
      <c r="B497" s="60"/>
      <c r="C497" s="60"/>
      <c r="D497" s="60"/>
      <c r="E497" s="60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>
      <c r="A498" s="60"/>
      <c r="B498" s="60"/>
      <c r="C498" s="60"/>
      <c r="D498" s="60"/>
      <c r="E498" s="60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>
      <c r="A499" s="60"/>
      <c r="B499" s="60"/>
      <c r="C499" s="60"/>
      <c r="D499" s="60"/>
      <c r="E499" s="60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>
      <c r="A500" s="60"/>
      <c r="B500" s="60"/>
      <c r="C500" s="60"/>
      <c r="D500" s="60"/>
      <c r="E500" s="60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>
      <c r="A501" s="60"/>
      <c r="B501" s="60"/>
      <c r="C501" s="60"/>
      <c r="D501" s="60"/>
      <c r="E501" s="60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>
      <c r="A502" s="60"/>
      <c r="B502" s="60"/>
      <c r="C502" s="60"/>
      <c r="D502" s="60"/>
      <c r="E502" s="60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>
      <c r="A503" s="60"/>
      <c r="B503" s="60"/>
      <c r="C503" s="60"/>
      <c r="D503" s="60"/>
      <c r="E503" s="60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>
      <c r="A504" s="60"/>
      <c r="B504" s="60"/>
      <c r="C504" s="60"/>
      <c r="D504" s="60"/>
      <c r="E504" s="60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>
      <c r="A505" s="60"/>
      <c r="B505" s="60"/>
      <c r="C505" s="60"/>
      <c r="D505" s="60"/>
      <c r="E505" s="60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>
      <c r="A506" s="60"/>
      <c r="B506" s="60"/>
      <c r="C506" s="60"/>
      <c r="D506" s="60"/>
      <c r="E506" s="60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>
      <c r="A507" s="60"/>
      <c r="B507" s="60"/>
      <c r="C507" s="60"/>
      <c r="D507" s="60"/>
      <c r="E507" s="60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>
      <c r="A508" s="60"/>
      <c r="B508" s="60"/>
      <c r="C508" s="60"/>
      <c r="D508" s="60"/>
      <c r="E508" s="60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>
      <c r="A509" s="60"/>
      <c r="B509" s="60"/>
      <c r="C509" s="60"/>
      <c r="D509" s="60"/>
      <c r="E509" s="60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>
      <c r="A510" s="60"/>
      <c r="B510" s="60"/>
      <c r="C510" s="60"/>
      <c r="D510" s="60"/>
      <c r="E510" s="60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>
      <c r="A511" s="60"/>
      <c r="B511" s="60"/>
      <c r="C511" s="60"/>
      <c r="D511" s="60"/>
      <c r="E511" s="60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>
      <c r="A512" s="60"/>
      <c r="B512" s="60"/>
      <c r="C512" s="60"/>
      <c r="D512" s="60"/>
      <c r="E512" s="60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>
      <c r="A513" s="60"/>
      <c r="B513" s="60"/>
      <c r="C513" s="60"/>
      <c r="D513" s="60"/>
      <c r="E513" s="60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>
      <c r="A514" s="60"/>
      <c r="B514" s="60"/>
      <c r="C514" s="60"/>
      <c r="D514" s="60"/>
      <c r="E514" s="60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>
      <c r="A515" s="60"/>
      <c r="B515" s="60"/>
      <c r="C515" s="60"/>
      <c r="D515" s="60"/>
      <c r="E515" s="60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>
      <c r="A516" s="60"/>
      <c r="B516" s="60"/>
      <c r="C516" s="60"/>
      <c r="D516" s="60"/>
      <c r="E516" s="60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>
      <c r="A517" s="60"/>
      <c r="B517" s="60"/>
      <c r="C517" s="60"/>
      <c r="D517" s="60"/>
      <c r="E517" s="60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>
      <c r="A518" s="60"/>
      <c r="B518" s="60"/>
      <c r="C518" s="60"/>
      <c r="D518" s="60"/>
      <c r="E518" s="60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>
      <c r="A519" s="60"/>
      <c r="B519" s="60"/>
      <c r="C519" s="60"/>
      <c r="D519" s="60"/>
      <c r="E519" s="60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>
      <c r="A520" s="60"/>
      <c r="B520" s="60"/>
      <c r="C520" s="60"/>
      <c r="D520" s="60"/>
      <c r="E520" s="60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>
      <c r="A521" s="60"/>
      <c r="B521" s="60"/>
      <c r="C521" s="60"/>
      <c r="D521" s="60"/>
      <c r="E521" s="60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>
      <c r="A522" s="60"/>
      <c r="B522" s="60"/>
      <c r="C522" s="60"/>
      <c r="D522" s="60"/>
      <c r="E522" s="60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>
      <c r="A523" s="60"/>
      <c r="B523" s="60"/>
      <c r="C523" s="60"/>
      <c r="D523" s="60"/>
      <c r="E523" s="60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>
      <c r="A524" s="60"/>
      <c r="B524" s="60"/>
      <c r="C524" s="60"/>
      <c r="D524" s="60"/>
      <c r="E524" s="60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>
      <c r="A525" s="60"/>
      <c r="B525" s="60"/>
      <c r="C525" s="60"/>
      <c r="D525" s="60"/>
      <c r="E525" s="60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>
      <c r="A526" s="60"/>
      <c r="B526" s="60"/>
      <c r="C526" s="60"/>
      <c r="D526" s="60"/>
      <c r="E526" s="60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>
      <c r="A527" s="60"/>
      <c r="B527" s="60"/>
      <c r="C527" s="60"/>
      <c r="D527" s="60"/>
      <c r="E527" s="60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>
      <c r="A528" s="60"/>
      <c r="B528" s="60"/>
      <c r="C528" s="60"/>
      <c r="D528" s="60"/>
      <c r="E528" s="60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>
      <c r="A529" s="60"/>
      <c r="B529" s="60"/>
      <c r="C529" s="60"/>
      <c r="D529" s="60"/>
      <c r="E529" s="60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>
      <c r="A530" s="60"/>
      <c r="B530" s="60"/>
      <c r="C530" s="60"/>
      <c r="D530" s="60"/>
      <c r="E530" s="60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>
      <c r="A531" s="60"/>
      <c r="B531" s="60"/>
      <c r="C531" s="60"/>
      <c r="D531" s="60"/>
      <c r="E531" s="60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>
      <c r="A532" s="60"/>
      <c r="B532" s="60"/>
      <c r="C532" s="60"/>
      <c r="D532" s="60"/>
      <c r="E532" s="60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>
      <c r="A533" s="60"/>
      <c r="B533" s="60"/>
      <c r="C533" s="60"/>
      <c r="D533" s="60"/>
      <c r="E533" s="60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>
      <c r="A534" s="60"/>
      <c r="B534" s="60"/>
      <c r="C534" s="60"/>
      <c r="D534" s="60"/>
      <c r="E534" s="60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>
      <c r="A535" s="60"/>
      <c r="B535" s="60"/>
      <c r="C535" s="60"/>
      <c r="D535" s="60"/>
      <c r="E535" s="60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>
      <c r="A536" s="60"/>
      <c r="B536" s="60"/>
      <c r="C536" s="60"/>
      <c r="D536" s="60"/>
      <c r="E536" s="60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>
      <c r="A537" s="60"/>
      <c r="B537" s="60"/>
      <c r="C537" s="60"/>
      <c r="D537" s="60"/>
      <c r="E537" s="60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>
      <c r="A538" s="60"/>
      <c r="B538" s="60"/>
      <c r="C538" s="60"/>
      <c r="D538" s="60"/>
      <c r="E538" s="60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>
      <c r="A539" s="60"/>
      <c r="B539" s="60"/>
      <c r="C539" s="60"/>
      <c r="D539" s="60"/>
      <c r="E539" s="60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>
      <c r="A540" s="60"/>
      <c r="B540" s="60"/>
      <c r="C540" s="60"/>
      <c r="D540" s="60"/>
      <c r="E540" s="60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>
      <c r="A541" s="60"/>
      <c r="B541" s="60"/>
      <c r="C541" s="60"/>
      <c r="D541" s="60"/>
      <c r="E541" s="60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>
      <c r="A542" s="60"/>
      <c r="B542" s="60"/>
      <c r="C542" s="60"/>
      <c r="D542" s="60"/>
      <c r="E542" s="60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>
      <c r="A543" s="60"/>
      <c r="B543" s="60"/>
      <c r="C543" s="60"/>
      <c r="D543" s="60"/>
      <c r="E543" s="60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>
      <c r="A544" s="60"/>
      <c r="B544" s="60"/>
      <c r="C544" s="60"/>
      <c r="D544" s="60"/>
      <c r="E544" s="60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>
      <c r="A545" s="60"/>
      <c r="B545" s="60"/>
      <c r="C545" s="60"/>
      <c r="D545" s="60"/>
      <c r="E545" s="60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>
      <c r="A546" s="60"/>
      <c r="B546" s="60"/>
      <c r="C546" s="60"/>
      <c r="D546" s="60"/>
      <c r="E546" s="60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>
      <c r="A547" s="60"/>
      <c r="B547" s="60"/>
      <c r="C547" s="60"/>
      <c r="D547" s="60"/>
      <c r="E547" s="60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>
      <c r="A548" s="60"/>
      <c r="B548" s="60"/>
      <c r="C548" s="60"/>
      <c r="D548" s="60"/>
      <c r="E548" s="60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>
      <c r="A549" s="60"/>
      <c r="B549" s="60"/>
      <c r="C549" s="60"/>
      <c r="D549" s="60"/>
      <c r="E549" s="60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>
      <c r="A550" s="60"/>
      <c r="B550" s="60"/>
      <c r="C550" s="60"/>
      <c r="D550" s="60"/>
      <c r="E550" s="60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>
      <c r="A551" s="60"/>
      <c r="B551" s="60"/>
      <c r="C551" s="60"/>
      <c r="D551" s="60"/>
      <c r="E551" s="60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>
      <c r="A552" s="60"/>
      <c r="B552" s="60"/>
      <c r="C552" s="60"/>
      <c r="D552" s="60"/>
      <c r="E552" s="60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>
      <c r="A553" s="60"/>
      <c r="B553" s="60"/>
      <c r="C553" s="60"/>
      <c r="D553" s="60"/>
      <c r="E553" s="60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>
      <c r="A554" s="60"/>
      <c r="B554" s="60"/>
      <c r="C554" s="60"/>
      <c r="D554" s="60"/>
      <c r="E554" s="60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>
      <c r="A555" s="60"/>
      <c r="B555" s="60"/>
      <c r="C555" s="60"/>
      <c r="D555" s="60"/>
      <c r="E555" s="60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>
      <c r="A556" s="60"/>
      <c r="B556" s="60"/>
      <c r="C556" s="60"/>
      <c r="D556" s="60"/>
      <c r="E556" s="60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>
      <c r="A557" s="60"/>
      <c r="B557" s="60"/>
      <c r="C557" s="60"/>
      <c r="D557" s="60"/>
      <c r="E557" s="60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>
      <c r="A558" s="60"/>
      <c r="B558" s="60"/>
      <c r="C558" s="60"/>
      <c r="D558" s="60"/>
      <c r="E558" s="60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>
      <c r="A559" s="60"/>
      <c r="B559" s="60"/>
      <c r="C559" s="60"/>
      <c r="D559" s="60"/>
      <c r="E559" s="60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>
      <c r="A560" s="60"/>
      <c r="B560" s="60"/>
      <c r="C560" s="60"/>
      <c r="D560" s="60"/>
      <c r="E560" s="60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>
      <c r="A561" s="60"/>
      <c r="B561" s="60"/>
      <c r="C561" s="60"/>
      <c r="D561" s="60"/>
      <c r="E561" s="60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>
      <c r="A562" s="60"/>
      <c r="B562" s="60"/>
      <c r="C562" s="60"/>
      <c r="D562" s="60"/>
      <c r="E562" s="60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>
      <c r="A563" s="60"/>
      <c r="B563" s="60"/>
      <c r="C563" s="60"/>
      <c r="D563" s="60"/>
      <c r="E563" s="60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>
      <c r="A564" s="60"/>
      <c r="B564" s="60"/>
      <c r="C564" s="60"/>
      <c r="D564" s="60"/>
      <c r="E564" s="60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>
      <c r="A565" s="60"/>
      <c r="B565" s="60"/>
      <c r="C565" s="60"/>
      <c r="D565" s="60"/>
      <c r="E565" s="60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>
      <c r="A566" s="60"/>
      <c r="B566" s="60"/>
      <c r="C566" s="60"/>
      <c r="D566" s="60"/>
      <c r="E566" s="60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>
      <c r="A567" s="60"/>
      <c r="B567" s="60"/>
      <c r="C567" s="60"/>
      <c r="D567" s="60"/>
      <c r="E567" s="60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>
      <c r="A568" s="60"/>
      <c r="B568" s="60"/>
      <c r="C568" s="60"/>
      <c r="D568" s="60"/>
      <c r="E568" s="60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>
      <c r="A569" s="60"/>
      <c r="B569" s="60"/>
      <c r="C569" s="60"/>
      <c r="D569" s="60"/>
      <c r="E569" s="60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>
      <c r="A570" s="60"/>
      <c r="B570" s="60"/>
      <c r="C570" s="60"/>
      <c r="D570" s="60"/>
      <c r="E570" s="60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>
      <c r="A571" s="60"/>
      <c r="B571" s="60"/>
      <c r="C571" s="60"/>
      <c r="D571" s="60"/>
      <c r="E571" s="60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>
      <c r="A572" s="60"/>
      <c r="B572" s="60"/>
      <c r="C572" s="60"/>
      <c r="D572" s="60"/>
      <c r="E572" s="60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>
      <c r="A573" s="60"/>
      <c r="B573" s="60"/>
      <c r="C573" s="60"/>
      <c r="D573" s="60"/>
      <c r="E573" s="60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>
      <c r="A574" s="60"/>
      <c r="B574" s="60"/>
      <c r="C574" s="60"/>
      <c r="D574" s="60"/>
      <c r="E574" s="60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>
      <c r="A575" s="60"/>
      <c r="B575" s="60"/>
      <c r="C575" s="60"/>
      <c r="D575" s="60"/>
      <c r="E575" s="60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>
      <c r="A576" s="60"/>
      <c r="B576" s="60"/>
      <c r="C576" s="60"/>
      <c r="D576" s="60"/>
      <c r="E576" s="60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>
      <c r="A577" s="60"/>
      <c r="B577" s="60"/>
      <c r="C577" s="60"/>
      <c r="D577" s="60"/>
      <c r="E577" s="60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>
      <c r="A578" s="60"/>
      <c r="B578" s="60"/>
      <c r="C578" s="60"/>
      <c r="D578" s="60"/>
      <c r="E578" s="60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>
      <c r="A579" s="60"/>
      <c r="B579" s="60"/>
      <c r="C579" s="60"/>
      <c r="D579" s="60"/>
      <c r="E579" s="60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>
      <c r="A580" s="60"/>
      <c r="B580" s="60"/>
      <c r="C580" s="60"/>
      <c r="D580" s="60"/>
      <c r="E580" s="60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>
      <c r="A581" s="60"/>
      <c r="B581" s="60"/>
      <c r="C581" s="60"/>
      <c r="D581" s="60"/>
      <c r="E581" s="60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>
      <c r="A582" s="60"/>
      <c r="B582" s="60"/>
      <c r="C582" s="60"/>
      <c r="D582" s="60"/>
      <c r="E582" s="60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>
      <c r="A583" s="60"/>
      <c r="B583" s="60"/>
      <c r="C583" s="60"/>
      <c r="D583" s="60"/>
      <c r="E583" s="60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>
      <c r="A584" s="60"/>
      <c r="B584" s="60"/>
      <c r="C584" s="60"/>
      <c r="D584" s="60"/>
      <c r="E584" s="60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>
      <c r="A585" s="60"/>
      <c r="B585" s="60"/>
      <c r="C585" s="60"/>
      <c r="D585" s="60"/>
      <c r="E585" s="60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>
      <c r="A586" s="60"/>
      <c r="B586" s="60"/>
      <c r="C586" s="60"/>
      <c r="D586" s="60"/>
      <c r="E586" s="60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>
      <c r="A587" s="60"/>
      <c r="B587" s="60"/>
      <c r="C587" s="60"/>
      <c r="D587" s="60"/>
      <c r="E587" s="60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>
      <c r="A588" s="60"/>
      <c r="B588" s="60"/>
      <c r="C588" s="60"/>
      <c r="D588" s="60"/>
      <c r="E588" s="60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>
      <c r="A589" s="60"/>
      <c r="B589" s="60"/>
      <c r="C589" s="60"/>
      <c r="D589" s="60"/>
      <c r="E589" s="60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>
      <c r="A590" s="60"/>
      <c r="B590" s="60"/>
      <c r="C590" s="60"/>
      <c r="D590" s="60"/>
      <c r="E590" s="60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>
      <c r="A591" s="60"/>
      <c r="B591" s="60"/>
      <c r="C591" s="60"/>
      <c r="D591" s="60"/>
      <c r="E591" s="60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>
      <c r="A592" s="60"/>
      <c r="B592" s="60"/>
      <c r="C592" s="60"/>
      <c r="D592" s="60"/>
      <c r="E592" s="60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>
      <c r="A593" s="60"/>
      <c r="B593" s="60"/>
      <c r="C593" s="60"/>
      <c r="D593" s="60"/>
      <c r="E593" s="60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>
      <c r="A594" s="60"/>
      <c r="B594" s="60"/>
      <c r="C594" s="60"/>
      <c r="D594" s="60"/>
      <c r="E594" s="60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>
      <c r="A595" s="60"/>
      <c r="B595" s="60"/>
      <c r="C595" s="60"/>
      <c r="D595" s="60"/>
      <c r="E595" s="60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>
      <c r="A596" s="60"/>
      <c r="B596" s="60"/>
      <c r="C596" s="60"/>
      <c r="D596" s="60"/>
      <c r="E596" s="60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>
      <c r="A597" s="60"/>
      <c r="B597" s="60"/>
      <c r="C597" s="60"/>
      <c r="D597" s="60"/>
      <c r="E597" s="60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>
      <c r="A598" s="60"/>
      <c r="B598" s="60"/>
      <c r="C598" s="60"/>
      <c r="D598" s="60"/>
      <c r="E598" s="60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>
      <c r="A599" s="60"/>
      <c r="B599" s="60"/>
      <c r="C599" s="60"/>
      <c r="D599" s="60"/>
      <c r="E599" s="60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>
      <c r="A600" s="60"/>
      <c r="B600" s="60"/>
      <c r="C600" s="60"/>
      <c r="D600" s="60"/>
      <c r="E600" s="60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>
      <c r="A601" s="60"/>
      <c r="B601" s="60"/>
      <c r="C601" s="60"/>
      <c r="D601" s="60"/>
      <c r="E601" s="60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>
      <c r="A602" s="60"/>
      <c r="B602" s="60"/>
      <c r="C602" s="60"/>
      <c r="D602" s="60"/>
      <c r="E602" s="60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>
      <c r="A603" s="60"/>
      <c r="B603" s="60"/>
      <c r="C603" s="60"/>
      <c r="D603" s="60"/>
      <c r="E603" s="60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>
      <c r="A604" s="60"/>
      <c r="B604" s="60"/>
      <c r="C604" s="60"/>
      <c r="D604" s="60"/>
      <c r="E604" s="60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>
      <c r="A605" s="60"/>
      <c r="B605" s="60"/>
      <c r="C605" s="60"/>
      <c r="D605" s="60"/>
      <c r="E605" s="60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>
      <c r="A606" s="60"/>
      <c r="B606" s="60"/>
      <c r="C606" s="60"/>
      <c r="D606" s="60"/>
      <c r="E606" s="60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>
      <c r="A607" s="60"/>
      <c r="B607" s="60"/>
      <c r="C607" s="60"/>
      <c r="D607" s="60"/>
      <c r="E607" s="60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>
      <c r="A608" s="60"/>
      <c r="B608" s="60"/>
      <c r="C608" s="60"/>
      <c r="D608" s="60"/>
      <c r="E608" s="60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>
      <c r="A609" s="60"/>
      <c r="B609" s="60"/>
      <c r="C609" s="60"/>
      <c r="D609" s="60"/>
      <c r="E609" s="60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>
      <c r="A610" s="60"/>
      <c r="B610" s="60"/>
      <c r="C610" s="60"/>
      <c r="D610" s="60"/>
      <c r="E610" s="60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>
      <c r="A611" s="60"/>
      <c r="B611" s="60"/>
      <c r="C611" s="60"/>
      <c r="D611" s="60"/>
      <c r="E611" s="60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>
      <c r="A612" s="60"/>
      <c r="B612" s="60"/>
      <c r="C612" s="60"/>
      <c r="D612" s="60"/>
      <c r="E612" s="60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>
      <c r="A613" s="60"/>
      <c r="B613" s="60"/>
      <c r="C613" s="60"/>
      <c r="D613" s="60"/>
      <c r="E613" s="60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>
      <c r="A614" s="60"/>
      <c r="B614" s="60"/>
      <c r="C614" s="60"/>
      <c r="D614" s="60"/>
      <c r="E614" s="60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>
      <c r="A615" s="60"/>
      <c r="B615" s="60"/>
      <c r="C615" s="60"/>
      <c r="D615" s="60"/>
      <c r="E615" s="60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>
      <c r="A616" s="60"/>
      <c r="B616" s="60"/>
      <c r="C616" s="60"/>
      <c r="D616" s="60"/>
      <c r="E616" s="60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>
      <c r="A617" s="60"/>
      <c r="B617" s="60"/>
      <c r="C617" s="60"/>
      <c r="D617" s="60"/>
      <c r="E617" s="60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>
      <c r="A618" s="60"/>
      <c r="B618" s="60"/>
      <c r="C618" s="60"/>
      <c r="D618" s="60"/>
      <c r="E618" s="60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>
      <c r="A619" s="60"/>
      <c r="B619" s="60"/>
      <c r="C619" s="60"/>
      <c r="D619" s="60"/>
      <c r="E619" s="60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>
      <c r="A620" s="60"/>
      <c r="B620" s="60"/>
      <c r="C620" s="60"/>
      <c r="D620" s="60"/>
      <c r="E620" s="60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>
      <c r="A621" s="60"/>
      <c r="B621" s="60"/>
      <c r="C621" s="60"/>
      <c r="D621" s="60"/>
      <c r="E621" s="60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>
      <c r="A622" s="60"/>
      <c r="B622" s="60"/>
      <c r="C622" s="60"/>
      <c r="D622" s="60"/>
      <c r="E622" s="60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>
      <c r="A623" s="60"/>
      <c r="B623" s="60"/>
      <c r="C623" s="60"/>
      <c r="D623" s="60"/>
      <c r="E623" s="60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>
      <c r="A624" s="60"/>
      <c r="B624" s="60"/>
      <c r="C624" s="60"/>
      <c r="D624" s="60"/>
      <c r="E624" s="60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>
      <c r="A625" s="60"/>
      <c r="B625" s="60"/>
      <c r="C625" s="60"/>
      <c r="D625" s="60"/>
      <c r="E625" s="60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>
      <c r="A626" s="60"/>
      <c r="B626" s="60"/>
      <c r="C626" s="60"/>
      <c r="D626" s="60"/>
      <c r="E626" s="60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>
      <c r="A627" s="60"/>
      <c r="B627" s="60"/>
      <c r="C627" s="60"/>
      <c r="D627" s="60"/>
      <c r="E627" s="60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>
      <c r="A628" s="60"/>
      <c r="B628" s="60"/>
      <c r="C628" s="60"/>
      <c r="D628" s="60"/>
      <c r="E628" s="60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>
      <c r="A629" s="60"/>
      <c r="B629" s="60"/>
      <c r="C629" s="60"/>
      <c r="D629" s="60"/>
      <c r="E629" s="60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>
      <c r="A630" s="60"/>
      <c r="B630" s="60"/>
      <c r="C630" s="60"/>
      <c r="D630" s="60"/>
      <c r="E630" s="60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>
      <c r="A631" s="60"/>
      <c r="B631" s="60"/>
      <c r="C631" s="60"/>
      <c r="D631" s="60"/>
      <c r="E631" s="60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>
      <c r="A632" s="60"/>
      <c r="B632" s="60"/>
      <c r="C632" s="60"/>
      <c r="D632" s="60"/>
      <c r="E632" s="60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>
      <c r="A633" s="60"/>
      <c r="B633" s="60"/>
      <c r="C633" s="60"/>
      <c r="D633" s="60"/>
      <c r="E633" s="60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>
      <c r="A634" s="60"/>
      <c r="B634" s="60"/>
      <c r="C634" s="60"/>
      <c r="D634" s="60"/>
      <c r="E634" s="60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>
      <c r="A635" s="60"/>
      <c r="B635" s="60"/>
      <c r="C635" s="60"/>
      <c r="D635" s="60"/>
      <c r="E635" s="60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>
      <c r="A636" s="60"/>
      <c r="B636" s="60"/>
      <c r="C636" s="60"/>
      <c r="D636" s="60"/>
      <c r="E636" s="60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>
      <c r="A637" s="60"/>
      <c r="B637" s="60"/>
      <c r="C637" s="60"/>
      <c r="D637" s="60"/>
      <c r="E637" s="60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>
      <c r="A638" s="60"/>
      <c r="B638" s="60"/>
      <c r="C638" s="60"/>
      <c r="D638" s="60"/>
      <c r="E638" s="60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>
      <c r="A639" s="60"/>
      <c r="B639" s="60"/>
      <c r="C639" s="60"/>
      <c r="D639" s="60"/>
      <c r="E639" s="60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>
      <c r="A640" s="60"/>
      <c r="B640" s="60"/>
      <c r="C640" s="60"/>
      <c r="D640" s="60"/>
      <c r="E640" s="60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>
      <c r="A641" s="60"/>
      <c r="B641" s="60"/>
      <c r="C641" s="60"/>
      <c r="D641" s="60"/>
      <c r="E641" s="60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>
      <c r="A642" s="60"/>
      <c r="B642" s="60"/>
      <c r="C642" s="60"/>
      <c r="D642" s="60"/>
      <c r="E642" s="60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>
      <c r="A643" s="60"/>
      <c r="B643" s="60"/>
      <c r="C643" s="60"/>
      <c r="D643" s="60"/>
      <c r="E643" s="60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>
      <c r="A644" s="60"/>
      <c r="B644" s="60"/>
      <c r="C644" s="60"/>
      <c r="D644" s="60"/>
      <c r="E644" s="60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>
      <c r="A645" s="60"/>
      <c r="B645" s="60"/>
      <c r="C645" s="60"/>
      <c r="D645" s="60"/>
      <c r="E645" s="60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>
      <c r="A646" s="60"/>
      <c r="B646" s="60"/>
      <c r="C646" s="60"/>
      <c r="D646" s="60"/>
      <c r="E646" s="60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>
      <c r="A647" s="60"/>
      <c r="B647" s="60"/>
      <c r="C647" s="60"/>
      <c r="D647" s="60"/>
      <c r="E647" s="60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>
      <c r="A648" s="60"/>
      <c r="B648" s="60"/>
      <c r="C648" s="60"/>
      <c r="D648" s="60"/>
      <c r="E648" s="60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>
      <c r="A649" s="60"/>
      <c r="B649" s="60"/>
      <c r="C649" s="60"/>
      <c r="D649" s="60"/>
      <c r="E649" s="60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>
      <c r="A650" s="60"/>
      <c r="B650" s="60"/>
      <c r="C650" s="60"/>
      <c r="D650" s="60"/>
      <c r="E650" s="60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>
      <c r="A651" s="60"/>
      <c r="B651" s="60"/>
      <c r="C651" s="60"/>
      <c r="D651" s="60"/>
      <c r="E651" s="60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>
      <c r="A652" s="60"/>
      <c r="B652" s="60"/>
      <c r="C652" s="60"/>
      <c r="D652" s="60"/>
      <c r="E652" s="60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>
      <c r="A653" s="60"/>
      <c r="B653" s="60"/>
      <c r="C653" s="60"/>
      <c r="D653" s="60"/>
      <c r="E653" s="60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>
      <c r="A654" s="60"/>
      <c r="B654" s="60"/>
      <c r="C654" s="60"/>
      <c r="D654" s="60"/>
      <c r="E654" s="60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>
      <c r="A655" s="60"/>
      <c r="B655" s="60"/>
      <c r="C655" s="60"/>
      <c r="D655" s="60"/>
      <c r="E655" s="60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>
      <c r="A656" s="60"/>
      <c r="B656" s="60"/>
      <c r="C656" s="60"/>
      <c r="D656" s="60"/>
      <c r="E656" s="60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>
      <c r="A657" s="60"/>
      <c r="B657" s="60"/>
      <c r="C657" s="60"/>
      <c r="D657" s="60"/>
      <c r="E657" s="60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>
      <c r="A658" s="60"/>
      <c r="B658" s="60"/>
      <c r="C658" s="60"/>
      <c r="D658" s="60"/>
      <c r="E658" s="60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>
      <c r="A659" s="60"/>
      <c r="B659" s="60"/>
      <c r="C659" s="60"/>
      <c r="D659" s="60"/>
      <c r="E659" s="60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>
      <c r="A660" s="60"/>
      <c r="B660" s="60"/>
      <c r="C660" s="60"/>
      <c r="D660" s="60"/>
      <c r="E660" s="60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>
      <c r="A661" s="60"/>
      <c r="B661" s="60"/>
      <c r="C661" s="60"/>
      <c r="D661" s="60"/>
      <c r="E661" s="60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>
      <c r="A662" s="60"/>
      <c r="B662" s="60"/>
      <c r="C662" s="60"/>
      <c r="D662" s="60"/>
      <c r="E662" s="60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>
      <c r="A663" s="60"/>
      <c r="B663" s="60"/>
      <c r="C663" s="60"/>
      <c r="D663" s="60"/>
      <c r="E663" s="60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>
      <c r="A664" s="60"/>
      <c r="B664" s="60"/>
      <c r="C664" s="60"/>
      <c r="D664" s="60"/>
      <c r="E664" s="60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>
      <c r="A665" s="60"/>
      <c r="B665" s="60"/>
      <c r="C665" s="60"/>
      <c r="D665" s="60"/>
      <c r="E665" s="60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>
      <c r="A666" s="60"/>
      <c r="B666" s="60"/>
      <c r="C666" s="60"/>
      <c r="D666" s="60"/>
      <c r="E666" s="60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>
      <c r="A667" s="60"/>
      <c r="B667" s="60"/>
      <c r="C667" s="60"/>
      <c r="D667" s="60"/>
      <c r="E667" s="60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>
      <c r="A668" s="60"/>
      <c r="B668" s="60"/>
      <c r="C668" s="60"/>
      <c r="D668" s="60"/>
      <c r="E668" s="60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>
      <c r="A669" s="60"/>
      <c r="B669" s="60"/>
      <c r="C669" s="60"/>
      <c r="D669" s="60"/>
      <c r="E669" s="60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>
      <c r="A670" s="60"/>
      <c r="B670" s="60"/>
      <c r="C670" s="60"/>
      <c r="D670" s="60"/>
      <c r="E670" s="60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>
      <c r="A671" s="60"/>
      <c r="B671" s="60"/>
      <c r="C671" s="60"/>
      <c r="D671" s="60"/>
      <c r="E671" s="60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>
      <c r="A672" s="60"/>
      <c r="B672" s="60"/>
      <c r="C672" s="60"/>
      <c r="D672" s="60"/>
      <c r="E672" s="60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>
      <c r="A673" s="60"/>
      <c r="B673" s="60"/>
      <c r="C673" s="60"/>
      <c r="D673" s="60"/>
      <c r="E673" s="60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>
      <c r="A674" s="60"/>
      <c r="B674" s="60"/>
      <c r="C674" s="60"/>
      <c r="D674" s="60"/>
      <c r="E674" s="60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>
      <c r="A675" s="60"/>
      <c r="B675" s="60"/>
      <c r="C675" s="60"/>
      <c r="D675" s="60"/>
      <c r="E675" s="60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>
      <c r="A676" s="60"/>
      <c r="B676" s="60"/>
      <c r="C676" s="60"/>
      <c r="D676" s="60"/>
      <c r="E676" s="60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>
      <c r="A677" s="60"/>
      <c r="B677" s="60"/>
      <c r="C677" s="60"/>
      <c r="D677" s="60"/>
      <c r="E677" s="60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>
      <c r="A678" s="60"/>
      <c r="B678" s="60"/>
      <c r="C678" s="60"/>
      <c r="D678" s="60"/>
      <c r="E678" s="60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>
      <c r="A679" s="60"/>
      <c r="B679" s="60"/>
      <c r="C679" s="60"/>
      <c r="D679" s="60"/>
      <c r="E679" s="60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>
      <c r="A680" s="60"/>
      <c r="B680" s="60"/>
      <c r="C680" s="60"/>
      <c r="D680" s="60"/>
      <c r="E680" s="60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>
      <c r="A681" s="60"/>
      <c r="B681" s="60"/>
      <c r="C681" s="60"/>
      <c r="D681" s="60"/>
      <c r="E681" s="60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>
      <c r="A682" s="60"/>
      <c r="B682" s="60"/>
      <c r="C682" s="60"/>
      <c r="D682" s="60"/>
      <c r="E682" s="60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>
      <c r="A683" s="60"/>
      <c r="B683" s="60"/>
      <c r="C683" s="60"/>
      <c r="D683" s="60"/>
      <c r="E683" s="60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>
      <c r="A684" s="60"/>
      <c r="B684" s="60"/>
      <c r="C684" s="60"/>
      <c r="D684" s="60"/>
      <c r="E684" s="60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>
      <c r="A685" s="60"/>
      <c r="B685" s="60"/>
      <c r="C685" s="60"/>
      <c r="D685" s="60"/>
      <c r="E685" s="60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>
      <c r="A686" s="60"/>
      <c r="B686" s="60"/>
      <c r="C686" s="60"/>
      <c r="D686" s="60"/>
      <c r="E686" s="60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>
      <c r="A687" s="60"/>
      <c r="B687" s="60"/>
      <c r="C687" s="60"/>
      <c r="D687" s="60"/>
      <c r="E687" s="60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>
      <c r="A688" s="60"/>
      <c r="B688" s="60"/>
      <c r="C688" s="60"/>
      <c r="D688" s="60"/>
      <c r="E688" s="60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>
      <c r="A689" s="60"/>
      <c r="B689" s="60"/>
      <c r="C689" s="60"/>
      <c r="D689" s="60"/>
      <c r="E689" s="60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>
      <c r="A690" s="60"/>
      <c r="B690" s="60"/>
      <c r="C690" s="60"/>
      <c r="D690" s="60"/>
      <c r="E690" s="60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>
      <c r="A691" s="60"/>
      <c r="B691" s="60"/>
      <c r="C691" s="60"/>
      <c r="D691" s="60"/>
      <c r="E691" s="60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>
      <c r="A692" s="60"/>
      <c r="B692" s="60"/>
      <c r="C692" s="60"/>
      <c r="D692" s="60"/>
      <c r="E692" s="60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>
      <c r="A693" s="60"/>
      <c r="B693" s="60"/>
      <c r="C693" s="60"/>
      <c r="D693" s="60"/>
      <c r="E693" s="60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>
      <c r="A694" s="60"/>
      <c r="B694" s="60"/>
      <c r="C694" s="60"/>
      <c r="D694" s="60"/>
      <c r="E694" s="60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>
      <c r="A695" s="60"/>
      <c r="B695" s="60"/>
      <c r="C695" s="60"/>
      <c r="D695" s="60"/>
      <c r="E695" s="60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>
      <c r="A696" s="60"/>
      <c r="B696" s="60"/>
      <c r="C696" s="60"/>
      <c r="D696" s="60"/>
      <c r="E696" s="60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>
      <c r="A697" s="60"/>
      <c r="B697" s="60"/>
      <c r="C697" s="60"/>
      <c r="D697" s="60"/>
      <c r="E697" s="60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>
      <c r="A698" s="60"/>
      <c r="B698" s="60"/>
      <c r="C698" s="60"/>
      <c r="D698" s="60"/>
      <c r="E698" s="60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>
      <c r="A699" s="60"/>
      <c r="B699" s="60"/>
      <c r="C699" s="60"/>
      <c r="D699" s="60"/>
      <c r="E699" s="60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>
      <c r="A700" s="60"/>
      <c r="B700" s="60"/>
      <c r="C700" s="60"/>
      <c r="D700" s="60"/>
      <c r="E700" s="60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>
      <c r="A701" s="60"/>
      <c r="B701" s="60"/>
      <c r="C701" s="60"/>
      <c r="D701" s="60"/>
      <c r="E701" s="60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>
      <c r="A702" s="60"/>
      <c r="B702" s="60"/>
      <c r="C702" s="60"/>
      <c r="D702" s="60"/>
      <c r="E702" s="60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>
      <c r="A703" s="60"/>
      <c r="B703" s="60"/>
      <c r="C703" s="60"/>
      <c r="D703" s="60"/>
      <c r="E703" s="60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>
      <c r="A704" s="60"/>
      <c r="B704" s="60"/>
      <c r="C704" s="60"/>
      <c r="D704" s="60"/>
      <c r="E704" s="60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>
      <c r="A705" s="60"/>
      <c r="B705" s="60"/>
      <c r="C705" s="60"/>
      <c r="D705" s="60"/>
      <c r="E705" s="60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>
      <c r="A706" s="60"/>
      <c r="B706" s="60"/>
      <c r="C706" s="60"/>
      <c r="D706" s="60"/>
      <c r="E706" s="60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>
      <c r="A707" s="60"/>
      <c r="B707" s="60"/>
      <c r="C707" s="60"/>
      <c r="D707" s="60"/>
      <c r="E707" s="60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>
      <c r="A708" s="60"/>
      <c r="B708" s="60"/>
      <c r="C708" s="60"/>
      <c r="D708" s="60"/>
      <c r="E708" s="60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>
      <c r="A709" s="60"/>
      <c r="B709" s="60"/>
      <c r="C709" s="60"/>
      <c r="D709" s="60"/>
      <c r="E709" s="60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>
      <c r="A710" s="60"/>
      <c r="B710" s="60"/>
      <c r="C710" s="60"/>
      <c r="D710" s="60"/>
      <c r="E710" s="60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>
      <c r="A711" s="60"/>
      <c r="B711" s="60"/>
      <c r="C711" s="60"/>
      <c r="D711" s="60"/>
      <c r="E711" s="60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>
      <c r="A712" s="60"/>
      <c r="B712" s="60"/>
      <c r="C712" s="60"/>
      <c r="D712" s="60"/>
      <c r="E712" s="60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>
      <c r="A713" s="60"/>
      <c r="B713" s="60"/>
      <c r="C713" s="60"/>
      <c r="D713" s="60"/>
      <c r="E713" s="60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>
      <c r="A714" s="60"/>
      <c r="B714" s="60"/>
      <c r="C714" s="60"/>
      <c r="D714" s="60"/>
      <c r="E714" s="60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>
      <c r="A715" s="60"/>
      <c r="B715" s="60"/>
      <c r="C715" s="60"/>
      <c r="D715" s="60"/>
      <c r="E715" s="60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>
      <c r="A716" s="60"/>
      <c r="B716" s="60"/>
      <c r="C716" s="60"/>
      <c r="D716" s="60"/>
      <c r="E716" s="60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>
      <c r="A717" s="60"/>
      <c r="B717" s="60"/>
      <c r="C717" s="60"/>
      <c r="D717" s="60"/>
      <c r="E717" s="60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>
      <c r="A718" s="60"/>
      <c r="B718" s="60"/>
      <c r="C718" s="60"/>
      <c r="D718" s="60"/>
      <c r="E718" s="60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>
      <c r="A719" s="60"/>
      <c r="B719" s="60"/>
      <c r="C719" s="60"/>
      <c r="D719" s="60"/>
      <c r="E719" s="60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>
      <c r="A720" s="60"/>
      <c r="B720" s="60"/>
      <c r="C720" s="60"/>
      <c r="D720" s="60"/>
      <c r="E720" s="60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>
      <c r="A721" s="60"/>
      <c r="B721" s="60"/>
      <c r="C721" s="60"/>
      <c r="D721" s="60"/>
      <c r="E721" s="60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>
      <c r="A722" s="60"/>
      <c r="B722" s="60"/>
      <c r="C722" s="60"/>
      <c r="D722" s="60"/>
      <c r="E722" s="60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>
      <c r="A723" s="60"/>
      <c r="B723" s="60"/>
      <c r="C723" s="60"/>
      <c r="D723" s="60"/>
      <c r="E723" s="60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>
      <c r="A724" s="60"/>
      <c r="B724" s="60"/>
      <c r="C724" s="60"/>
      <c r="D724" s="60"/>
      <c r="E724" s="60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>
      <c r="A725" s="60"/>
      <c r="B725" s="60"/>
      <c r="C725" s="60"/>
      <c r="D725" s="60"/>
      <c r="E725" s="60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>
      <c r="A726" s="60"/>
      <c r="B726" s="60"/>
      <c r="C726" s="60"/>
      <c r="D726" s="60"/>
      <c r="E726" s="60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>
      <c r="A727" s="60"/>
      <c r="B727" s="60"/>
      <c r="C727" s="60"/>
      <c r="D727" s="60"/>
      <c r="E727" s="60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>
      <c r="A728" s="60"/>
      <c r="B728" s="60"/>
      <c r="C728" s="60"/>
      <c r="D728" s="60"/>
      <c r="E728" s="60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>
      <c r="A729" s="60"/>
      <c r="B729" s="60"/>
      <c r="C729" s="60"/>
      <c r="D729" s="60"/>
      <c r="E729" s="60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>
      <c r="A730" s="60"/>
      <c r="B730" s="60"/>
      <c r="C730" s="60"/>
      <c r="D730" s="60"/>
      <c r="E730" s="60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>
      <c r="A731" s="60"/>
      <c r="B731" s="60"/>
      <c r="C731" s="60"/>
      <c r="D731" s="60"/>
      <c r="E731" s="60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>
      <c r="A732" s="60"/>
      <c r="B732" s="60"/>
      <c r="C732" s="60"/>
      <c r="D732" s="60"/>
      <c r="E732" s="60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>
      <c r="A733" s="60"/>
      <c r="B733" s="60"/>
      <c r="C733" s="60"/>
      <c r="D733" s="60"/>
      <c r="E733" s="60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>
      <c r="A734" s="60"/>
      <c r="B734" s="60"/>
      <c r="C734" s="60"/>
      <c r="D734" s="60"/>
      <c r="E734" s="60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>
      <c r="A735" s="60"/>
      <c r="B735" s="60"/>
      <c r="C735" s="60"/>
      <c r="D735" s="60"/>
      <c r="E735" s="60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>
      <c r="A736" s="60"/>
      <c r="B736" s="60"/>
      <c r="C736" s="60"/>
      <c r="D736" s="60"/>
      <c r="E736" s="60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>
      <c r="A737" s="60"/>
      <c r="B737" s="60"/>
      <c r="C737" s="60"/>
      <c r="D737" s="60"/>
      <c r="E737" s="60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>
      <c r="A738" s="60"/>
      <c r="B738" s="60"/>
      <c r="C738" s="60"/>
      <c r="D738" s="60"/>
      <c r="E738" s="60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>
      <c r="A739" s="60"/>
      <c r="B739" s="60"/>
      <c r="C739" s="60"/>
      <c r="D739" s="60"/>
      <c r="E739" s="60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>
      <c r="A740" s="60"/>
      <c r="B740" s="60"/>
      <c r="C740" s="60"/>
      <c r="D740" s="60"/>
      <c r="E740" s="60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>
      <c r="A741" s="60"/>
      <c r="B741" s="60"/>
      <c r="C741" s="60"/>
      <c r="D741" s="60"/>
      <c r="E741" s="60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>
      <c r="A742" s="60"/>
      <c r="B742" s="60"/>
      <c r="C742" s="60"/>
      <c r="D742" s="60"/>
      <c r="E742" s="60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>
      <c r="A743" s="60"/>
      <c r="B743" s="60"/>
      <c r="C743" s="60"/>
      <c r="D743" s="60"/>
      <c r="E743" s="60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>
      <c r="A744" s="60"/>
      <c r="B744" s="60"/>
      <c r="C744" s="60"/>
      <c r="D744" s="60"/>
      <c r="E744" s="60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>
      <c r="A745" s="60"/>
      <c r="B745" s="60"/>
      <c r="C745" s="60"/>
      <c r="D745" s="60"/>
      <c r="E745" s="60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>
      <c r="A746" s="60"/>
      <c r="B746" s="60"/>
      <c r="C746" s="60"/>
      <c r="D746" s="60"/>
      <c r="E746" s="60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>
      <c r="A747" s="60"/>
      <c r="B747" s="60"/>
      <c r="C747" s="60"/>
      <c r="D747" s="60"/>
      <c r="E747" s="60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>
      <c r="A748" s="60"/>
      <c r="B748" s="60"/>
      <c r="C748" s="60"/>
      <c r="D748" s="60"/>
      <c r="E748" s="60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>
      <c r="A749" s="60"/>
      <c r="B749" s="60"/>
      <c r="C749" s="60"/>
      <c r="D749" s="60"/>
      <c r="E749" s="60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>
      <c r="A750" s="60"/>
      <c r="B750" s="60"/>
      <c r="C750" s="60"/>
      <c r="D750" s="60"/>
      <c r="E750" s="60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>
      <c r="A751" s="60"/>
      <c r="B751" s="60"/>
      <c r="C751" s="60"/>
      <c r="D751" s="60"/>
      <c r="E751" s="60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>
      <c r="A752" s="60"/>
      <c r="B752" s="60"/>
      <c r="C752" s="60"/>
      <c r="D752" s="60"/>
      <c r="E752" s="60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>
      <c r="A753" s="60"/>
      <c r="B753" s="60"/>
      <c r="C753" s="60"/>
      <c r="D753" s="60"/>
      <c r="E753" s="60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>
      <c r="A754" s="60"/>
      <c r="B754" s="60"/>
      <c r="C754" s="60"/>
      <c r="D754" s="60"/>
      <c r="E754" s="60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>
      <c r="A755" s="60"/>
      <c r="B755" s="60"/>
      <c r="C755" s="60"/>
      <c r="D755" s="60"/>
      <c r="E755" s="60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>
      <c r="A756" s="60"/>
      <c r="B756" s="60"/>
      <c r="C756" s="60"/>
      <c r="D756" s="60"/>
      <c r="E756" s="60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>
      <c r="A757" s="60"/>
      <c r="B757" s="60"/>
      <c r="C757" s="60"/>
      <c r="D757" s="60"/>
      <c r="E757" s="60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>
      <c r="A758" s="60"/>
      <c r="B758" s="60"/>
      <c r="C758" s="60"/>
      <c r="D758" s="60"/>
      <c r="E758" s="60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>
      <c r="A759" s="60"/>
      <c r="B759" s="60"/>
      <c r="C759" s="60"/>
      <c r="D759" s="60"/>
      <c r="E759" s="60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>
      <c r="A760" s="60"/>
      <c r="B760" s="60"/>
      <c r="C760" s="60"/>
      <c r="D760" s="60"/>
      <c r="E760" s="60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>
      <c r="A761" s="60"/>
      <c r="B761" s="60"/>
      <c r="C761" s="60"/>
      <c r="D761" s="60"/>
      <c r="E761" s="60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>
      <c r="A762" s="60"/>
      <c r="B762" s="60"/>
      <c r="C762" s="60"/>
      <c r="D762" s="60"/>
      <c r="E762" s="60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>
      <c r="A763" s="60"/>
      <c r="B763" s="60"/>
      <c r="C763" s="60"/>
      <c r="D763" s="60"/>
      <c r="E763" s="60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>
      <c r="A764" s="60"/>
      <c r="B764" s="60"/>
      <c r="C764" s="60"/>
      <c r="D764" s="60"/>
      <c r="E764" s="60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>
      <c r="A765" s="60"/>
      <c r="B765" s="60"/>
      <c r="C765" s="60"/>
      <c r="D765" s="60"/>
      <c r="E765" s="60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>
      <c r="A766" s="60"/>
      <c r="B766" s="60"/>
      <c r="C766" s="60"/>
      <c r="D766" s="60"/>
      <c r="E766" s="60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>
      <c r="A767" s="60"/>
      <c r="B767" s="60"/>
      <c r="C767" s="60"/>
      <c r="D767" s="60"/>
      <c r="E767" s="60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>
      <c r="A768" s="60"/>
      <c r="B768" s="60"/>
      <c r="C768" s="60"/>
      <c r="D768" s="60"/>
      <c r="E768" s="60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>
      <c r="A769" s="60"/>
      <c r="B769" s="60"/>
      <c r="C769" s="60"/>
      <c r="D769" s="60"/>
      <c r="E769" s="60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>
      <c r="A770" s="60"/>
      <c r="B770" s="60"/>
      <c r="C770" s="60"/>
      <c r="D770" s="60"/>
      <c r="E770" s="60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>
      <c r="A771" s="60"/>
      <c r="B771" s="60"/>
      <c r="C771" s="60"/>
      <c r="D771" s="60"/>
      <c r="E771" s="60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>
      <c r="A772" s="60"/>
      <c r="B772" s="60"/>
      <c r="C772" s="60"/>
      <c r="D772" s="60"/>
      <c r="E772" s="60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>
      <c r="A773" s="60"/>
      <c r="B773" s="60"/>
      <c r="C773" s="60"/>
      <c r="D773" s="60"/>
      <c r="E773" s="60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>
      <c r="A774" s="60"/>
      <c r="B774" s="60"/>
      <c r="C774" s="60"/>
      <c r="D774" s="60"/>
      <c r="E774" s="60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>
      <c r="A775" s="60"/>
      <c r="B775" s="60"/>
      <c r="C775" s="60"/>
      <c r="D775" s="60"/>
      <c r="E775" s="60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>
      <c r="A776" s="60"/>
      <c r="B776" s="60"/>
      <c r="C776" s="60"/>
      <c r="D776" s="60"/>
      <c r="E776" s="60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>
      <c r="A777" s="60"/>
      <c r="B777" s="60"/>
      <c r="C777" s="60"/>
      <c r="D777" s="60"/>
      <c r="E777" s="60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>
      <c r="A778" s="60"/>
      <c r="B778" s="60"/>
      <c r="C778" s="60"/>
      <c r="D778" s="60"/>
      <c r="E778" s="60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>
      <c r="A779" s="60"/>
      <c r="B779" s="60"/>
      <c r="C779" s="60"/>
      <c r="D779" s="60"/>
      <c r="E779" s="60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>
      <c r="A780" s="60"/>
      <c r="B780" s="60"/>
      <c r="C780" s="60"/>
      <c r="D780" s="60"/>
      <c r="E780" s="60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>
      <c r="A781" s="60"/>
      <c r="B781" s="60"/>
      <c r="C781" s="60"/>
      <c r="D781" s="60"/>
      <c r="E781" s="60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>
      <c r="A782" s="60"/>
      <c r="B782" s="60"/>
      <c r="C782" s="60"/>
      <c r="D782" s="60"/>
      <c r="E782" s="60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>
      <c r="A783" s="60"/>
      <c r="B783" s="60"/>
      <c r="C783" s="60"/>
      <c r="D783" s="60"/>
      <c r="E783" s="60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>
      <c r="A784" s="60"/>
      <c r="B784" s="60"/>
      <c r="C784" s="60"/>
      <c r="D784" s="60"/>
      <c r="E784" s="60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>
      <c r="A785" s="60"/>
      <c r="B785" s="60"/>
      <c r="C785" s="60"/>
      <c r="D785" s="60"/>
      <c r="E785" s="60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>
      <c r="A786" s="60"/>
      <c r="B786" s="60"/>
      <c r="C786" s="60"/>
      <c r="D786" s="60"/>
      <c r="E786" s="60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>
      <c r="A787" s="60"/>
      <c r="B787" s="60"/>
      <c r="C787" s="60"/>
      <c r="D787" s="60"/>
      <c r="E787" s="60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>
      <c r="A788" s="60"/>
      <c r="B788" s="60"/>
      <c r="C788" s="60"/>
      <c r="D788" s="60"/>
      <c r="E788" s="60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>
      <c r="A789" s="60"/>
      <c r="B789" s="60"/>
      <c r="C789" s="60"/>
      <c r="D789" s="60"/>
      <c r="E789" s="60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>
      <c r="A790" s="60"/>
      <c r="B790" s="60"/>
      <c r="C790" s="60"/>
      <c r="D790" s="60"/>
      <c r="E790" s="60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>
      <c r="A791" s="60"/>
      <c r="B791" s="60"/>
      <c r="C791" s="60"/>
      <c r="D791" s="60"/>
      <c r="E791" s="60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>
      <c r="A792" s="60"/>
      <c r="B792" s="60"/>
      <c r="C792" s="60"/>
      <c r="D792" s="60"/>
      <c r="E792" s="60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>
      <c r="A793" s="60"/>
      <c r="B793" s="60"/>
      <c r="C793" s="60"/>
      <c r="D793" s="60"/>
      <c r="E793" s="60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>
      <c r="A794" s="60"/>
      <c r="B794" s="60"/>
      <c r="C794" s="60"/>
      <c r="D794" s="60"/>
      <c r="E794" s="60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>
      <c r="A795" s="60"/>
      <c r="B795" s="60"/>
      <c r="C795" s="60"/>
      <c r="D795" s="60"/>
      <c r="E795" s="60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>
      <c r="A796" s="60"/>
      <c r="B796" s="60"/>
      <c r="C796" s="60"/>
      <c r="D796" s="60"/>
      <c r="E796" s="60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>
      <c r="A797" s="60"/>
      <c r="B797" s="60"/>
      <c r="C797" s="60"/>
      <c r="D797" s="60"/>
      <c r="E797" s="60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>
      <c r="A798" s="60"/>
      <c r="B798" s="60"/>
      <c r="C798" s="60"/>
      <c r="D798" s="60"/>
      <c r="E798" s="60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>
      <c r="A799" s="60"/>
      <c r="B799" s="60"/>
      <c r="C799" s="60"/>
      <c r="D799" s="60"/>
      <c r="E799" s="60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>
      <c r="A800" s="60"/>
      <c r="B800" s="60"/>
      <c r="C800" s="60"/>
      <c r="D800" s="60"/>
      <c r="E800" s="60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>
      <c r="A801" s="60"/>
      <c r="B801" s="60"/>
      <c r="C801" s="60"/>
      <c r="D801" s="60"/>
      <c r="E801" s="60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>
      <c r="A802" s="60"/>
      <c r="B802" s="60"/>
      <c r="C802" s="60"/>
      <c r="D802" s="60"/>
      <c r="E802" s="60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>
      <c r="A803" s="60"/>
      <c r="B803" s="60"/>
      <c r="C803" s="60"/>
      <c r="D803" s="60"/>
      <c r="E803" s="60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>
      <c r="A804" s="60"/>
      <c r="B804" s="60"/>
      <c r="C804" s="60"/>
      <c r="D804" s="60"/>
      <c r="E804" s="60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>
      <c r="A805" s="60"/>
      <c r="B805" s="60"/>
      <c r="C805" s="60"/>
      <c r="D805" s="60"/>
      <c r="E805" s="60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>
      <c r="A806" s="60"/>
      <c r="B806" s="60"/>
      <c r="C806" s="60"/>
      <c r="D806" s="60"/>
      <c r="E806" s="60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>
      <c r="A807" s="60"/>
      <c r="B807" s="60"/>
      <c r="C807" s="60"/>
      <c r="D807" s="60"/>
      <c r="E807" s="60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>
      <c r="A808" s="60"/>
      <c r="B808" s="60"/>
      <c r="C808" s="60"/>
      <c r="D808" s="60"/>
      <c r="E808" s="60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>
      <c r="A809" s="60"/>
      <c r="B809" s="60"/>
      <c r="C809" s="60"/>
      <c r="D809" s="60"/>
      <c r="E809" s="60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>
      <c r="A810" s="60"/>
      <c r="B810" s="60"/>
      <c r="C810" s="60"/>
      <c r="D810" s="60"/>
      <c r="E810" s="60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>
      <c r="A811" s="60"/>
      <c r="B811" s="60"/>
      <c r="C811" s="60"/>
      <c r="D811" s="60"/>
      <c r="E811" s="60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>
      <c r="A812" s="60"/>
      <c r="B812" s="60"/>
      <c r="C812" s="60"/>
      <c r="D812" s="60"/>
      <c r="E812" s="60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>
      <c r="A813" s="60"/>
      <c r="B813" s="60"/>
      <c r="C813" s="60"/>
      <c r="D813" s="60"/>
      <c r="E813" s="60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>
      <c r="A814" s="60"/>
      <c r="B814" s="60"/>
      <c r="C814" s="60"/>
      <c r="D814" s="60"/>
      <c r="E814" s="60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>
      <c r="A815" s="60"/>
      <c r="B815" s="60"/>
      <c r="C815" s="60"/>
      <c r="D815" s="60"/>
      <c r="E815" s="60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>
      <c r="A816" s="60"/>
      <c r="B816" s="60"/>
      <c r="C816" s="60"/>
      <c r="D816" s="60"/>
      <c r="E816" s="60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>
      <c r="A817" s="60"/>
      <c r="B817" s="60"/>
      <c r="C817" s="60"/>
      <c r="D817" s="60"/>
      <c r="E817" s="60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>
      <c r="A818" s="60"/>
      <c r="B818" s="60"/>
      <c r="C818" s="60"/>
      <c r="D818" s="60"/>
      <c r="E818" s="60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>
      <c r="A819" s="60"/>
      <c r="B819" s="60"/>
      <c r="C819" s="60"/>
      <c r="D819" s="60"/>
      <c r="E819" s="60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>
      <c r="A820" s="60"/>
      <c r="B820" s="60"/>
      <c r="C820" s="60"/>
      <c r="D820" s="60"/>
      <c r="E820" s="60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>
      <c r="A821" s="60"/>
      <c r="B821" s="60"/>
      <c r="C821" s="60"/>
      <c r="D821" s="60"/>
      <c r="E821" s="60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>
      <c r="A822" s="60"/>
      <c r="B822" s="60"/>
      <c r="C822" s="60"/>
      <c r="D822" s="60"/>
      <c r="E822" s="60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>
      <c r="A823" s="60"/>
      <c r="B823" s="60"/>
      <c r="C823" s="60"/>
      <c r="D823" s="60"/>
      <c r="E823" s="60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>
      <c r="A824" s="60"/>
      <c r="B824" s="60"/>
      <c r="C824" s="60"/>
      <c r="D824" s="60"/>
      <c r="E824" s="60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>
      <c r="A825" s="60"/>
      <c r="B825" s="60"/>
      <c r="C825" s="60"/>
      <c r="D825" s="60"/>
      <c r="E825" s="60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>
      <c r="A826" s="60"/>
      <c r="B826" s="60"/>
      <c r="C826" s="60"/>
      <c r="D826" s="60"/>
      <c r="E826" s="60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>
      <c r="A827" s="60"/>
      <c r="B827" s="60"/>
      <c r="C827" s="60"/>
      <c r="D827" s="60"/>
      <c r="E827" s="60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>
      <c r="A828" s="60"/>
      <c r="B828" s="60"/>
      <c r="C828" s="60"/>
      <c r="D828" s="60"/>
      <c r="E828" s="60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>
      <c r="A829" s="60"/>
      <c r="B829" s="60"/>
      <c r="C829" s="60"/>
      <c r="D829" s="60"/>
      <c r="E829" s="60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>
      <c r="A830" s="60"/>
      <c r="B830" s="60"/>
      <c r="C830" s="60"/>
      <c r="D830" s="60"/>
      <c r="E830" s="60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>
      <c r="A831" s="60"/>
      <c r="B831" s="60"/>
      <c r="C831" s="60"/>
      <c r="D831" s="60"/>
      <c r="E831" s="60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>
      <c r="A832" s="60"/>
      <c r="B832" s="60"/>
      <c r="C832" s="60"/>
      <c r="D832" s="60"/>
      <c r="E832" s="60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>
      <c r="A833" s="60"/>
      <c r="B833" s="60"/>
      <c r="C833" s="60"/>
      <c r="D833" s="60"/>
      <c r="E833" s="60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>
      <c r="A834" s="60"/>
      <c r="B834" s="60"/>
      <c r="C834" s="60"/>
      <c r="D834" s="60"/>
      <c r="E834" s="60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>
      <c r="A835" s="60"/>
      <c r="B835" s="60"/>
      <c r="C835" s="60"/>
      <c r="D835" s="60"/>
      <c r="E835" s="60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>
      <c r="A836" s="60"/>
      <c r="B836" s="60"/>
      <c r="C836" s="60"/>
      <c r="D836" s="60"/>
      <c r="E836" s="60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>
      <c r="A837" s="60"/>
      <c r="B837" s="60"/>
      <c r="C837" s="60"/>
      <c r="D837" s="60"/>
      <c r="E837" s="60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>
      <c r="A838" s="60"/>
      <c r="B838" s="60"/>
      <c r="C838" s="60"/>
      <c r="D838" s="60"/>
      <c r="E838" s="60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>
      <c r="A839" s="60"/>
      <c r="B839" s="60"/>
      <c r="C839" s="60"/>
      <c r="D839" s="60"/>
      <c r="E839" s="60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>
      <c r="A840" s="60"/>
      <c r="B840" s="60"/>
      <c r="C840" s="60"/>
      <c r="D840" s="60"/>
      <c r="E840" s="60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>
      <c r="A841" s="60"/>
      <c r="B841" s="60"/>
      <c r="C841" s="60"/>
      <c r="D841" s="60"/>
      <c r="E841" s="60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>
      <c r="A842" s="60"/>
      <c r="B842" s="60"/>
      <c r="C842" s="60"/>
      <c r="D842" s="60"/>
      <c r="E842" s="60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>
      <c r="A843" s="60"/>
      <c r="B843" s="60"/>
      <c r="C843" s="60"/>
      <c r="D843" s="60"/>
      <c r="E843" s="60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>
      <c r="A844" s="60"/>
      <c r="B844" s="60"/>
      <c r="C844" s="60"/>
      <c r="D844" s="60"/>
      <c r="E844" s="60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>
      <c r="A845" s="60"/>
      <c r="B845" s="60"/>
      <c r="C845" s="60"/>
      <c r="D845" s="60"/>
      <c r="E845" s="60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>
      <c r="A846" s="60"/>
      <c r="B846" s="60"/>
      <c r="C846" s="60"/>
      <c r="D846" s="60"/>
      <c r="E846" s="60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>
      <c r="A847" s="60"/>
      <c r="B847" s="60"/>
      <c r="C847" s="60"/>
      <c r="D847" s="60"/>
      <c r="E847" s="60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>
      <c r="A848" s="60"/>
      <c r="B848" s="60"/>
      <c r="C848" s="60"/>
      <c r="D848" s="60"/>
      <c r="E848" s="60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>
      <c r="A849" s="60"/>
      <c r="B849" s="60"/>
      <c r="C849" s="60"/>
      <c r="D849" s="60"/>
      <c r="E849" s="60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>
      <c r="A850" s="60"/>
      <c r="B850" s="60"/>
      <c r="C850" s="60"/>
      <c r="D850" s="60"/>
      <c r="E850" s="60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>
      <c r="A851" s="60"/>
      <c r="B851" s="60"/>
      <c r="C851" s="60"/>
      <c r="D851" s="60"/>
      <c r="E851" s="60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>
      <c r="A852" s="60"/>
      <c r="B852" s="60"/>
      <c r="C852" s="60"/>
      <c r="D852" s="60"/>
      <c r="E852" s="60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>
      <c r="A853" s="60"/>
      <c r="B853" s="60"/>
      <c r="C853" s="60"/>
      <c r="D853" s="60"/>
      <c r="E853" s="60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>
      <c r="A854" s="60"/>
      <c r="B854" s="60"/>
      <c r="C854" s="60"/>
      <c r="D854" s="60"/>
      <c r="E854" s="60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>
      <c r="A855" s="60"/>
      <c r="B855" s="60"/>
      <c r="C855" s="60"/>
      <c r="D855" s="60"/>
      <c r="E855" s="60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>
      <c r="A856" s="60"/>
      <c r="B856" s="60"/>
      <c r="C856" s="60"/>
      <c r="D856" s="60"/>
      <c r="E856" s="60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>
      <c r="A857" s="60"/>
      <c r="B857" s="60"/>
      <c r="C857" s="60"/>
      <c r="D857" s="60"/>
      <c r="E857" s="60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>
      <c r="A858" s="60"/>
      <c r="B858" s="60"/>
      <c r="C858" s="60"/>
      <c r="D858" s="60"/>
      <c r="E858" s="60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>
      <c r="A859" s="60"/>
      <c r="B859" s="60"/>
      <c r="C859" s="60"/>
      <c r="D859" s="60"/>
      <c r="E859" s="60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>
      <c r="A860" s="60"/>
      <c r="B860" s="60"/>
      <c r="C860" s="60"/>
      <c r="D860" s="60"/>
      <c r="E860" s="60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>
      <c r="A861" s="60"/>
      <c r="B861" s="60"/>
      <c r="C861" s="60"/>
      <c r="D861" s="60"/>
      <c r="E861" s="60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>
      <c r="A862" s="60"/>
      <c r="B862" s="60"/>
      <c r="C862" s="60"/>
      <c r="D862" s="60"/>
      <c r="E862" s="60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>
      <c r="A863" s="60"/>
      <c r="B863" s="60"/>
      <c r="C863" s="60"/>
      <c r="D863" s="60"/>
      <c r="E863" s="60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>
      <c r="A864" s="60"/>
      <c r="B864" s="60"/>
      <c r="C864" s="60"/>
      <c r="D864" s="60"/>
      <c r="E864" s="60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>
      <c r="A865" s="60"/>
      <c r="B865" s="60"/>
      <c r="C865" s="60"/>
      <c r="D865" s="60"/>
      <c r="E865" s="60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>
      <c r="A866" s="60"/>
      <c r="B866" s="60"/>
      <c r="C866" s="60"/>
      <c r="D866" s="60"/>
      <c r="E866" s="60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>
      <c r="A867" s="60"/>
      <c r="B867" s="60"/>
      <c r="C867" s="60"/>
      <c r="D867" s="60"/>
      <c r="E867" s="60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>
      <c r="A868" s="60"/>
      <c r="B868" s="60"/>
      <c r="C868" s="60"/>
      <c r="D868" s="60"/>
      <c r="E868" s="60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>
      <c r="A869" s="60"/>
      <c r="B869" s="60"/>
      <c r="C869" s="60"/>
      <c r="D869" s="60"/>
      <c r="E869" s="60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>
      <c r="A870" s="60"/>
      <c r="B870" s="60"/>
      <c r="C870" s="60"/>
      <c r="D870" s="60"/>
      <c r="E870" s="60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>
      <c r="A871" s="60"/>
      <c r="B871" s="60"/>
      <c r="C871" s="60"/>
      <c r="D871" s="60"/>
      <c r="E871" s="60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>
      <c r="A872" s="60"/>
      <c r="B872" s="60"/>
      <c r="C872" s="60"/>
      <c r="D872" s="60"/>
      <c r="E872" s="60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>
      <c r="A873" s="60"/>
      <c r="B873" s="60"/>
      <c r="C873" s="60"/>
      <c r="D873" s="60"/>
      <c r="E873" s="60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>
      <c r="A874" s="60"/>
      <c r="B874" s="60"/>
      <c r="C874" s="60"/>
      <c r="D874" s="60"/>
      <c r="E874" s="60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>
      <c r="A875" s="60"/>
      <c r="B875" s="60"/>
      <c r="C875" s="60"/>
      <c r="D875" s="60"/>
      <c r="E875" s="60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>
      <c r="A876" s="60"/>
      <c r="B876" s="60"/>
      <c r="C876" s="60"/>
      <c r="D876" s="60"/>
      <c r="E876" s="60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>
      <c r="A877" s="60"/>
      <c r="B877" s="60"/>
      <c r="C877" s="60"/>
      <c r="D877" s="60"/>
      <c r="E877" s="60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>
      <c r="A878" s="60"/>
      <c r="B878" s="60"/>
      <c r="C878" s="60"/>
      <c r="D878" s="60"/>
      <c r="E878" s="60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>
      <c r="A879" s="60"/>
      <c r="B879" s="60"/>
      <c r="C879" s="60"/>
      <c r="D879" s="60"/>
      <c r="E879" s="60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>
      <c r="A880" s="60"/>
      <c r="B880" s="60"/>
      <c r="C880" s="60"/>
      <c r="D880" s="60"/>
      <c r="E880" s="60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>
      <c r="A881" s="60"/>
      <c r="B881" s="60"/>
      <c r="C881" s="60"/>
      <c r="D881" s="60"/>
      <c r="E881" s="60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>
      <c r="A882" s="60"/>
      <c r="B882" s="60"/>
      <c r="C882" s="60"/>
      <c r="D882" s="60"/>
      <c r="E882" s="60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>
      <c r="A883" s="60"/>
      <c r="B883" s="60"/>
      <c r="C883" s="60"/>
      <c r="D883" s="60"/>
      <c r="E883" s="60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>
      <c r="A884" s="60"/>
      <c r="B884" s="60"/>
      <c r="C884" s="60"/>
      <c r="D884" s="60"/>
      <c r="E884" s="60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>
      <c r="A885" s="60"/>
      <c r="B885" s="60"/>
      <c r="C885" s="60"/>
      <c r="D885" s="60"/>
      <c r="E885" s="60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>
      <c r="A886" s="60"/>
      <c r="B886" s="60"/>
      <c r="C886" s="60"/>
      <c r="D886" s="60"/>
      <c r="E886" s="60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>
      <c r="A887" s="60"/>
      <c r="B887" s="60"/>
      <c r="C887" s="60"/>
      <c r="D887" s="60"/>
      <c r="E887" s="60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>
      <c r="A888" s="60"/>
      <c r="B888" s="60"/>
      <c r="C888" s="60"/>
      <c r="D888" s="60"/>
      <c r="E888" s="60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>
      <c r="A889" s="60"/>
      <c r="B889" s="60"/>
      <c r="C889" s="60"/>
      <c r="D889" s="60"/>
      <c r="E889" s="60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>
      <c r="A890" s="60"/>
      <c r="B890" s="60"/>
      <c r="C890" s="60"/>
      <c r="D890" s="60"/>
      <c r="E890" s="60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>
      <c r="A891" s="60"/>
      <c r="B891" s="60"/>
      <c r="C891" s="60"/>
      <c r="D891" s="60"/>
      <c r="E891" s="60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>
      <c r="A892" s="60"/>
      <c r="B892" s="60"/>
      <c r="C892" s="60"/>
      <c r="D892" s="60"/>
      <c r="E892" s="60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>
      <c r="A893" s="60"/>
      <c r="B893" s="60"/>
      <c r="C893" s="60"/>
      <c r="D893" s="60"/>
      <c r="E893" s="60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>
      <c r="A894" s="60"/>
      <c r="B894" s="60"/>
      <c r="C894" s="60"/>
      <c r="D894" s="60"/>
      <c r="E894" s="60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>
      <c r="A895" s="60"/>
      <c r="B895" s="60"/>
      <c r="C895" s="60"/>
      <c r="D895" s="60"/>
      <c r="E895" s="60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>
      <c r="A896" s="60"/>
      <c r="B896" s="60"/>
      <c r="C896" s="60"/>
      <c r="D896" s="60"/>
      <c r="E896" s="60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>
      <c r="A897" s="60"/>
      <c r="B897" s="60"/>
      <c r="C897" s="60"/>
      <c r="D897" s="60"/>
      <c r="E897" s="60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>
      <c r="A898" s="60"/>
      <c r="B898" s="60"/>
      <c r="C898" s="60"/>
      <c r="D898" s="60"/>
      <c r="E898" s="60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>
      <c r="A899" s="60"/>
      <c r="B899" s="60"/>
      <c r="C899" s="60"/>
      <c r="D899" s="60"/>
      <c r="E899" s="60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>
      <c r="A900" s="60"/>
      <c r="B900" s="60"/>
      <c r="C900" s="60"/>
      <c r="D900" s="60"/>
      <c r="E900" s="60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>
      <c r="A901" s="60"/>
      <c r="B901" s="60"/>
      <c r="C901" s="60"/>
      <c r="D901" s="60"/>
      <c r="E901" s="60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>
      <c r="A902" s="60"/>
      <c r="B902" s="60"/>
      <c r="C902" s="60"/>
      <c r="D902" s="60"/>
      <c r="E902" s="60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>
      <c r="A903" s="60"/>
      <c r="B903" s="60"/>
      <c r="C903" s="60"/>
      <c r="D903" s="60"/>
      <c r="E903" s="60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>
      <c r="A904" s="60"/>
      <c r="B904" s="60"/>
      <c r="C904" s="60"/>
      <c r="D904" s="60"/>
      <c r="E904" s="60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>
      <c r="A905" s="60"/>
      <c r="B905" s="60"/>
      <c r="C905" s="60"/>
      <c r="D905" s="60"/>
      <c r="E905" s="60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>
      <c r="A906" s="60"/>
      <c r="B906" s="60"/>
      <c r="C906" s="60"/>
      <c r="D906" s="60"/>
      <c r="E906" s="60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>
      <c r="A907" s="60"/>
      <c r="B907" s="60"/>
      <c r="C907" s="60"/>
      <c r="D907" s="60"/>
      <c r="E907" s="60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>
      <c r="A908" s="60"/>
      <c r="B908" s="60"/>
      <c r="C908" s="60"/>
      <c r="D908" s="60"/>
      <c r="E908" s="60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>
      <c r="A909" s="60"/>
      <c r="B909" s="60"/>
      <c r="C909" s="60"/>
      <c r="D909" s="60"/>
      <c r="E909" s="60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>
      <c r="A910" s="60"/>
      <c r="B910" s="60"/>
      <c r="C910" s="60"/>
      <c r="D910" s="60"/>
      <c r="E910" s="60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>
      <c r="A911" s="60"/>
      <c r="B911" s="60"/>
      <c r="C911" s="60"/>
      <c r="D911" s="60"/>
      <c r="E911" s="60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>
      <c r="A912" s="60"/>
      <c r="B912" s="60"/>
      <c r="C912" s="60"/>
      <c r="D912" s="60"/>
      <c r="E912" s="60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>
      <c r="A913" s="60"/>
      <c r="B913" s="60"/>
      <c r="C913" s="60"/>
      <c r="D913" s="60"/>
      <c r="E913" s="60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>
      <c r="A914" s="60"/>
      <c r="B914" s="60"/>
      <c r="C914" s="60"/>
      <c r="D914" s="60"/>
      <c r="E914" s="60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>
      <c r="A915" s="60"/>
      <c r="B915" s="60"/>
      <c r="C915" s="60"/>
      <c r="D915" s="60"/>
      <c r="E915" s="60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>
      <c r="A916" s="60"/>
      <c r="B916" s="60"/>
      <c r="C916" s="60"/>
      <c r="D916" s="60"/>
      <c r="E916" s="60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>
      <c r="A917" s="60"/>
      <c r="B917" s="60"/>
      <c r="C917" s="60"/>
      <c r="D917" s="60"/>
      <c r="E917" s="60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>
      <c r="A918" s="60"/>
      <c r="B918" s="60"/>
      <c r="C918" s="60"/>
      <c r="D918" s="60"/>
      <c r="E918" s="60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>
      <c r="A919" s="60"/>
      <c r="B919" s="60"/>
      <c r="C919" s="60"/>
      <c r="D919" s="60"/>
      <c r="E919" s="60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>
      <c r="A920" s="60"/>
      <c r="B920" s="60"/>
      <c r="C920" s="60"/>
      <c r="D920" s="60"/>
      <c r="E920" s="60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>
      <c r="A921" s="60"/>
      <c r="B921" s="60"/>
      <c r="C921" s="60"/>
      <c r="D921" s="60"/>
      <c r="E921" s="60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>
      <c r="A922" s="60"/>
      <c r="B922" s="60"/>
      <c r="C922" s="60"/>
      <c r="D922" s="60"/>
      <c r="E922" s="60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>
      <c r="A923" s="60"/>
      <c r="B923" s="60"/>
      <c r="C923" s="60"/>
      <c r="D923" s="60"/>
      <c r="E923" s="60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>
      <c r="A924" s="60"/>
      <c r="B924" s="60"/>
      <c r="C924" s="60"/>
      <c r="D924" s="60"/>
      <c r="E924" s="60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>
      <c r="A925" s="60"/>
      <c r="B925" s="60"/>
      <c r="C925" s="60"/>
      <c r="D925" s="60"/>
      <c r="E925" s="60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>
      <c r="A926" s="60"/>
      <c r="B926" s="60"/>
      <c r="C926" s="60"/>
      <c r="D926" s="60"/>
      <c r="E926" s="60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>
      <c r="A927" s="60"/>
      <c r="B927" s="60"/>
      <c r="C927" s="60"/>
      <c r="D927" s="60"/>
      <c r="E927" s="60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>
      <c r="A928" s="60"/>
      <c r="B928" s="60"/>
      <c r="C928" s="60"/>
      <c r="D928" s="60"/>
      <c r="E928" s="60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>
      <c r="A929" s="60"/>
      <c r="B929" s="60"/>
      <c r="C929" s="60"/>
      <c r="D929" s="60"/>
      <c r="E929" s="60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>
      <c r="A930" s="60"/>
      <c r="B930" s="60"/>
      <c r="C930" s="60"/>
      <c r="D930" s="60"/>
      <c r="E930" s="60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>
      <c r="A931" s="60"/>
      <c r="B931" s="60"/>
      <c r="C931" s="60"/>
      <c r="D931" s="60"/>
      <c r="E931" s="60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>
      <c r="A932" s="60"/>
      <c r="B932" s="60"/>
      <c r="C932" s="60"/>
      <c r="D932" s="60"/>
      <c r="E932" s="60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>
      <c r="A933" s="60"/>
      <c r="B933" s="60"/>
      <c r="C933" s="60"/>
      <c r="D933" s="60"/>
      <c r="E933" s="60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>
      <c r="A934" s="60"/>
      <c r="B934" s="60"/>
      <c r="C934" s="60"/>
      <c r="D934" s="60"/>
      <c r="E934" s="60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>
      <c r="A935" s="60"/>
      <c r="B935" s="60"/>
      <c r="C935" s="60"/>
      <c r="D935" s="60"/>
      <c r="E935" s="60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>
      <c r="A936" s="60"/>
      <c r="B936" s="60"/>
      <c r="C936" s="60"/>
      <c r="D936" s="60"/>
      <c r="E936" s="60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>
      <c r="A937" s="60"/>
      <c r="B937" s="60"/>
      <c r="C937" s="60"/>
      <c r="D937" s="60"/>
      <c r="E937" s="60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>
      <c r="A938" s="60"/>
      <c r="B938" s="60"/>
      <c r="C938" s="60"/>
      <c r="D938" s="60"/>
      <c r="E938" s="60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>
      <c r="A939" s="60"/>
      <c r="B939" s="60"/>
      <c r="C939" s="60"/>
      <c r="D939" s="60"/>
      <c r="E939" s="60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>
      <c r="A940" s="60"/>
      <c r="B940" s="60"/>
      <c r="C940" s="60"/>
      <c r="D940" s="60"/>
      <c r="E940" s="60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>
      <c r="A941" s="60"/>
      <c r="B941" s="60"/>
      <c r="C941" s="60"/>
      <c r="D941" s="60"/>
      <c r="E941" s="60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>
      <c r="A942" s="60"/>
      <c r="B942" s="60"/>
      <c r="C942" s="60"/>
      <c r="D942" s="60"/>
      <c r="E942" s="60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>
      <c r="A943" s="60"/>
      <c r="B943" s="60"/>
      <c r="C943" s="60"/>
      <c r="D943" s="60"/>
      <c r="E943" s="60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>
      <c r="A944" s="60"/>
      <c r="B944" s="60"/>
      <c r="C944" s="60"/>
      <c r="D944" s="60"/>
      <c r="E944" s="60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>
      <c r="A945" s="60"/>
      <c r="B945" s="60"/>
      <c r="C945" s="60"/>
      <c r="D945" s="60"/>
      <c r="E945" s="60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>
      <c r="A946" s="60"/>
      <c r="B946" s="60"/>
      <c r="C946" s="60"/>
      <c r="D946" s="60"/>
      <c r="E946" s="60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>
      <c r="A947" s="60"/>
      <c r="B947" s="60"/>
      <c r="C947" s="60"/>
      <c r="D947" s="60"/>
      <c r="E947" s="60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>
      <c r="A948" s="60"/>
      <c r="B948" s="60"/>
      <c r="C948" s="60"/>
      <c r="D948" s="60"/>
      <c r="E948" s="60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>
      <c r="A949" s="60"/>
      <c r="B949" s="60"/>
      <c r="C949" s="60"/>
      <c r="D949" s="60"/>
      <c r="E949" s="60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>
      <c r="A950" s="60"/>
      <c r="B950" s="60"/>
      <c r="C950" s="60"/>
      <c r="D950" s="60"/>
      <c r="E950" s="60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>
      <c r="A951" s="60"/>
      <c r="B951" s="60"/>
      <c r="C951" s="60"/>
      <c r="D951" s="60"/>
      <c r="E951" s="60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>
      <c r="A952" s="60"/>
      <c r="B952" s="60"/>
      <c r="C952" s="60"/>
      <c r="D952" s="60"/>
      <c r="E952" s="60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>
      <c r="A953" s="60"/>
      <c r="B953" s="60"/>
      <c r="C953" s="60"/>
      <c r="D953" s="60"/>
      <c r="E953" s="60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>
      <c r="A954" s="60"/>
      <c r="B954" s="60"/>
      <c r="C954" s="60"/>
      <c r="D954" s="60"/>
      <c r="E954" s="60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>
      <c r="A955" s="60"/>
      <c r="B955" s="60"/>
      <c r="C955" s="60"/>
      <c r="D955" s="60"/>
      <c r="E955" s="60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>
      <c r="A956" s="60"/>
      <c r="B956" s="60"/>
      <c r="C956" s="60"/>
      <c r="D956" s="60"/>
      <c r="E956" s="60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>
      <c r="A957" s="60"/>
      <c r="B957" s="60"/>
      <c r="C957" s="60"/>
      <c r="D957" s="60"/>
      <c r="E957" s="60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>
      <c r="A958" s="60"/>
      <c r="B958" s="60"/>
      <c r="C958" s="60"/>
      <c r="D958" s="60"/>
      <c r="E958" s="60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>
      <c r="A959" s="60"/>
      <c r="B959" s="60"/>
      <c r="C959" s="60"/>
      <c r="D959" s="60"/>
      <c r="E959" s="60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>
      <c r="A960" s="60"/>
      <c r="B960" s="60"/>
      <c r="C960" s="60"/>
      <c r="D960" s="60"/>
      <c r="E960" s="60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>
      <c r="A961" s="60"/>
      <c r="B961" s="60"/>
      <c r="C961" s="60"/>
      <c r="D961" s="60"/>
      <c r="E961" s="60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>
      <c r="A962" s="60"/>
      <c r="B962" s="60"/>
      <c r="C962" s="60"/>
      <c r="D962" s="60"/>
      <c r="E962" s="60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>
      <c r="A963" s="60"/>
      <c r="B963" s="60"/>
      <c r="C963" s="60"/>
      <c r="D963" s="60"/>
      <c r="E963" s="60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>
      <c r="A964" s="60"/>
      <c r="B964" s="60"/>
      <c r="C964" s="60"/>
      <c r="D964" s="60"/>
      <c r="E964" s="60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>
      <c r="A965" s="60"/>
      <c r="B965" s="60"/>
      <c r="C965" s="60"/>
      <c r="D965" s="60"/>
      <c r="E965" s="60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>
      <c r="A966" s="60"/>
      <c r="B966" s="60"/>
      <c r="C966" s="60"/>
      <c r="D966" s="60"/>
      <c r="E966" s="60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>
      <c r="A967" s="60"/>
      <c r="B967" s="60"/>
      <c r="C967" s="60"/>
      <c r="D967" s="60"/>
      <c r="E967" s="60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>
      <c r="A968" s="60"/>
      <c r="B968" s="60"/>
      <c r="C968" s="60"/>
      <c r="D968" s="60"/>
      <c r="E968" s="60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>
      <c r="A969" s="60"/>
      <c r="B969" s="60"/>
      <c r="C969" s="60"/>
      <c r="D969" s="60"/>
      <c r="E969" s="60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>
      <c r="A970" s="60"/>
      <c r="B970" s="60"/>
      <c r="C970" s="60"/>
      <c r="D970" s="60"/>
      <c r="E970" s="60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>
      <c r="A971" s="60"/>
      <c r="B971" s="60"/>
      <c r="C971" s="60"/>
      <c r="D971" s="60"/>
      <c r="E971" s="60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>
      <c r="A972" s="60"/>
      <c r="B972" s="60"/>
      <c r="C972" s="60"/>
      <c r="D972" s="60"/>
      <c r="E972" s="60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>
      <c r="A973" s="60"/>
      <c r="B973" s="60"/>
      <c r="C973" s="60"/>
      <c r="D973" s="60"/>
      <c r="E973" s="60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>
      <c r="A974" s="60"/>
      <c r="B974" s="60"/>
      <c r="C974" s="60"/>
      <c r="D974" s="60"/>
      <c r="E974" s="60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>
      <c r="A975" s="60"/>
      <c r="B975" s="60"/>
      <c r="C975" s="60"/>
      <c r="D975" s="60"/>
      <c r="E975" s="60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>
      <c r="A976" s="60"/>
      <c r="B976" s="60"/>
      <c r="C976" s="60"/>
      <c r="D976" s="60"/>
      <c r="E976" s="60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>
      <c r="A977" s="60"/>
      <c r="B977" s="60"/>
      <c r="C977" s="60"/>
      <c r="D977" s="60"/>
      <c r="E977" s="60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>
      <c r="A978" s="60"/>
      <c r="B978" s="60"/>
      <c r="C978" s="60"/>
      <c r="D978" s="60"/>
      <c r="E978" s="60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>
      <c r="A979" s="60"/>
      <c r="B979" s="60"/>
      <c r="C979" s="60"/>
      <c r="D979" s="60"/>
      <c r="E979" s="60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>
      <c r="A980" s="60"/>
      <c r="B980" s="60"/>
      <c r="C980" s="60"/>
      <c r="D980" s="60"/>
      <c r="E980" s="60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>
      <c r="A981" s="60"/>
      <c r="B981" s="60"/>
      <c r="C981" s="60"/>
      <c r="D981" s="60"/>
      <c r="E981" s="60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>
      <c r="A982" s="60"/>
      <c r="B982" s="60"/>
      <c r="C982" s="60"/>
      <c r="D982" s="60"/>
      <c r="E982" s="60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>
      <c r="A983" s="60"/>
      <c r="B983" s="60"/>
      <c r="C983" s="60"/>
      <c r="D983" s="60"/>
      <c r="E983" s="60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>
      <c r="A984" s="60"/>
      <c r="B984" s="60"/>
      <c r="C984" s="60"/>
      <c r="D984" s="60"/>
      <c r="E984" s="60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>
      <c r="A985" s="60"/>
      <c r="B985" s="60"/>
      <c r="C985" s="60"/>
      <c r="D985" s="60"/>
      <c r="E985" s="60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>
      <c r="A986" s="60"/>
      <c r="B986" s="60"/>
      <c r="C986" s="60"/>
      <c r="D986" s="60"/>
      <c r="E986" s="60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>
      <c r="A987" s="60"/>
      <c r="B987" s="60"/>
      <c r="C987" s="60"/>
      <c r="D987" s="60"/>
      <c r="E987" s="60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>
      <c r="A988" s="60"/>
      <c r="B988" s="60"/>
      <c r="C988" s="60"/>
      <c r="D988" s="60"/>
      <c r="E988" s="60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>
      <c r="A989" s="60"/>
      <c r="B989" s="60"/>
      <c r="C989" s="60"/>
      <c r="D989" s="60"/>
      <c r="E989" s="60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>
      <c r="A990" s="60"/>
      <c r="B990" s="60"/>
      <c r="C990" s="60"/>
      <c r="D990" s="60"/>
      <c r="E990" s="60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>
      <c r="A991" s="60"/>
      <c r="B991" s="60"/>
      <c r="C991" s="60"/>
      <c r="D991" s="60"/>
      <c r="E991" s="60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>
      <c r="A992" s="60"/>
      <c r="B992" s="60"/>
      <c r="C992" s="60"/>
      <c r="D992" s="60"/>
      <c r="E992" s="60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>
      <c r="A993" s="60"/>
      <c r="B993" s="60"/>
      <c r="C993" s="60"/>
      <c r="D993" s="60"/>
      <c r="E993" s="60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>
      <c r="A994" s="60"/>
      <c r="B994" s="60"/>
      <c r="C994" s="60"/>
      <c r="D994" s="60"/>
      <c r="E994" s="60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>
      <c r="A995" s="60"/>
      <c r="B995" s="60"/>
      <c r="C995" s="60"/>
      <c r="D995" s="60"/>
      <c r="E995" s="60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>
      <c r="A996" s="60"/>
      <c r="B996" s="60"/>
      <c r="C996" s="60"/>
      <c r="D996" s="60"/>
      <c r="E996" s="60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>
      <c r="A997" s="60"/>
      <c r="B997" s="60"/>
      <c r="C997" s="60"/>
      <c r="D997" s="60"/>
      <c r="E997" s="60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>
      <c r="A998" s="60"/>
      <c r="B998" s="60"/>
      <c r="C998" s="60"/>
      <c r="D998" s="60"/>
      <c r="E998" s="60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>
      <c r="A999" s="60"/>
      <c r="B999" s="60"/>
      <c r="C999" s="60"/>
      <c r="D999" s="60"/>
      <c r="E999" s="60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</sheetData>
  <dataValidations>
    <dataValidation type="custom" allowBlank="1" showDropDown="1" sqref="D2:E223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32.38"/>
    <col customWidth="1" min="3" max="3" width="29.88"/>
    <col customWidth="1" min="4" max="4" width="19.5"/>
    <col customWidth="1" min="5" max="5" width="27.5"/>
    <col customWidth="1" min="6" max="6" width="14.38"/>
    <col customWidth="1" min="7" max="7" width="34.13"/>
    <col customWidth="1" min="8" max="8" width="37.63"/>
    <col customWidth="1" min="9" max="9" width="18.38"/>
  </cols>
  <sheetData>
    <row r="1" ht="22.5" customHeight="1">
      <c r="A1" s="1" t="s">
        <v>0</v>
      </c>
      <c r="B1" s="1" t="s">
        <v>2</v>
      </c>
      <c r="C1" s="4" t="s">
        <v>4</v>
      </c>
      <c r="D1" s="1" t="s">
        <v>8</v>
      </c>
      <c r="E1" s="1" t="s">
        <v>11</v>
      </c>
      <c r="F1" s="4" t="s">
        <v>15</v>
      </c>
      <c r="G1" s="4" t="s">
        <v>18</v>
      </c>
      <c r="H1" s="4" t="s">
        <v>19</v>
      </c>
      <c r="I1" s="1" t="s">
        <v>21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10" t="s">
        <v>26</v>
      </c>
      <c r="B2" s="10" t="s">
        <v>28</v>
      </c>
      <c r="C2" s="12" t="s">
        <v>32</v>
      </c>
      <c r="D2" s="10" t="s">
        <v>34</v>
      </c>
      <c r="E2" s="15">
        <v>0.5</v>
      </c>
      <c r="F2" s="12" t="s">
        <v>39</v>
      </c>
      <c r="G2" s="12" t="s">
        <v>40</v>
      </c>
      <c r="H2" s="12" t="s">
        <v>41</v>
      </c>
      <c r="I2" s="10" t="s">
        <v>43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10" t="s">
        <v>48</v>
      </c>
      <c r="B3" s="10" t="s">
        <v>28</v>
      </c>
      <c r="C3" s="12" t="s">
        <v>51</v>
      </c>
      <c r="D3" s="10" t="s">
        <v>54</v>
      </c>
      <c r="E3" s="15">
        <v>0.5</v>
      </c>
      <c r="F3" s="12" t="s">
        <v>57</v>
      </c>
      <c r="G3" s="12" t="s">
        <v>40</v>
      </c>
      <c r="H3" s="12" t="s">
        <v>59</v>
      </c>
      <c r="I3" s="10" t="s">
        <v>60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10" t="s">
        <v>64</v>
      </c>
      <c r="B4" s="10" t="s">
        <v>67</v>
      </c>
      <c r="C4" s="12" t="s">
        <v>71</v>
      </c>
      <c r="D4" s="10" t="s">
        <v>34</v>
      </c>
      <c r="E4" s="15">
        <v>0.5</v>
      </c>
      <c r="F4" s="12" t="s">
        <v>73</v>
      </c>
      <c r="G4" s="12" t="s">
        <v>40</v>
      </c>
      <c r="H4" s="12" t="s">
        <v>76</v>
      </c>
      <c r="I4" s="10" t="s">
        <v>78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10" t="s">
        <v>82</v>
      </c>
      <c r="B5" s="10" t="s">
        <v>67</v>
      </c>
      <c r="C5" s="12" t="s">
        <v>84</v>
      </c>
      <c r="D5" s="10" t="s">
        <v>54</v>
      </c>
      <c r="E5" s="15">
        <v>0.5</v>
      </c>
      <c r="F5" s="12" t="s">
        <v>39</v>
      </c>
      <c r="G5" s="12" t="s">
        <v>40</v>
      </c>
      <c r="H5" s="12" t="s">
        <v>88</v>
      </c>
      <c r="I5" s="10" t="s">
        <v>43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10" t="s">
        <v>92</v>
      </c>
      <c r="B6" s="10" t="s">
        <v>67</v>
      </c>
      <c r="C6" s="12" t="s">
        <v>95</v>
      </c>
      <c r="D6" s="10" t="s">
        <v>96</v>
      </c>
      <c r="E6" s="15"/>
      <c r="F6" s="12" t="s">
        <v>98</v>
      </c>
      <c r="G6" s="12" t="s">
        <v>40</v>
      </c>
      <c r="H6" s="12" t="s">
        <v>99</v>
      </c>
      <c r="I6" s="10" t="s">
        <v>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10" t="s">
        <v>102</v>
      </c>
      <c r="B7" s="10" t="s">
        <v>103</v>
      </c>
      <c r="C7" s="12" t="s">
        <v>105</v>
      </c>
      <c r="D7" s="10" t="s">
        <v>34</v>
      </c>
      <c r="E7" s="15">
        <v>0.375</v>
      </c>
      <c r="F7" s="12" t="s">
        <v>107</v>
      </c>
      <c r="G7" s="12" t="s">
        <v>40</v>
      </c>
      <c r="H7" s="12" t="s">
        <v>110</v>
      </c>
      <c r="I7" s="10" t="s">
        <v>111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10" t="s">
        <v>113</v>
      </c>
      <c r="B8" s="10" t="s">
        <v>103</v>
      </c>
      <c r="C8" s="12" t="s">
        <v>114</v>
      </c>
      <c r="D8" s="10" t="s">
        <v>54</v>
      </c>
      <c r="E8" s="15">
        <v>0.35</v>
      </c>
      <c r="F8" s="12" t="s">
        <v>119</v>
      </c>
      <c r="G8" s="12" t="s">
        <v>40</v>
      </c>
      <c r="H8" s="12" t="s">
        <v>120</v>
      </c>
      <c r="I8" s="10" t="s">
        <v>111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10" t="s">
        <v>123</v>
      </c>
      <c r="B9" s="10" t="s">
        <v>103</v>
      </c>
      <c r="C9" s="12" t="s">
        <v>84</v>
      </c>
      <c r="D9" s="10" t="s">
        <v>54</v>
      </c>
      <c r="E9" s="15">
        <v>0.275</v>
      </c>
      <c r="F9" s="12" t="s">
        <v>39</v>
      </c>
      <c r="G9" s="12" t="s">
        <v>40</v>
      </c>
      <c r="H9" s="12" t="s">
        <v>88</v>
      </c>
      <c r="I9" s="10" t="s">
        <v>43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10" t="s">
        <v>132</v>
      </c>
      <c r="B10" s="10" t="s">
        <v>133</v>
      </c>
      <c r="C10" s="12" t="s">
        <v>84</v>
      </c>
      <c r="D10" s="10" t="s">
        <v>34</v>
      </c>
      <c r="E10" s="15">
        <v>1.0</v>
      </c>
      <c r="F10" s="12" t="s">
        <v>39</v>
      </c>
      <c r="G10" s="12" t="s">
        <v>40</v>
      </c>
      <c r="H10" s="12" t="s">
        <v>88</v>
      </c>
      <c r="I10" s="10" t="s">
        <v>43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10" t="s">
        <v>139</v>
      </c>
      <c r="B11" s="10" t="s">
        <v>142</v>
      </c>
      <c r="C11" s="12" t="s">
        <v>32</v>
      </c>
      <c r="D11" s="10" t="s">
        <v>34</v>
      </c>
      <c r="E11" s="15">
        <v>0.8</v>
      </c>
      <c r="F11" s="12" t="s">
        <v>39</v>
      </c>
      <c r="G11" s="12" t="s">
        <v>40</v>
      </c>
      <c r="H11" s="12" t="s">
        <v>41</v>
      </c>
      <c r="I11" s="10" t="s">
        <v>43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10" t="s">
        <v>150</v>
      </c>
      <c r="B12" s="10" t="s">
        <v>142</v>
      </c>
      <c r="C12" s="12" t="s">
        <v>152</v>
      </c>
      <c r="D12" s="10" t="s">
        <v>54</v>
      </c>
      <c r="E12" s="15">
        <v>0.2</v>
      </c>
      <c r="F12" s="12" t="s">
        <v>98</v>
      </c>
      <c r="G12" s="12" t="s">
        <v>40</v>
      </c>
      <c r="H12" s="12" t="s">
        <v>156</v>
      </c>
      <c r="I12" s="10" t="s">
        <v>78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10" t="s">
        <v>159</v>
      </c>
      <c r="B13" s="10" t="s">
        <v>142</v>
      </c>
      <c r="C13" s="12" t="s">
        <v>162</v>
      </c>
      <c r="D13" s="10" t="s">
        <v>96</v>
      </c>
      <c r="E13" s="15"/>
      <c r="F13" s="12" t="s">
        <v>98</v>
      </c>
      <c r="G13" s="12" t="s">
        <v>40</v>
      </c>
      <c r="H13" s="12" t="s">
        <v>156</v>
      </c>
      <c r="I13" s="10" t="s">
        <v>78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10" t="s">
        <v>168</v>
      </c>
      <c r="B14" s="10" t="s">
        <v>169</v>
      </c>
      <c r="C14" s="12" t="s">
        <v>32</v>
      </c>
      <c r="D14" s="10" t="s">
        <v>34</v>
      </c>
      <c r="E14" s="15">
        <v>1.0</v>
      </c>
      <c r="F14" s="12" t="s">
        <v>39</v>
      </c>
      <c r="G14" s="12" t="s">
        <v>40</v>
      </c>
      <c r="H14" s="12" t="s">
        <v>41</v>
      </c>
      <c r="I14" s="10" t="s">
        <v>43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10" t="s">
        <v>175</v>
      </c>
      <c r="B15" s="10" t="s">
        <v>169</v>
      </c>
      <c r="C15" s="12" t="s">
        <v>176</v>
      </c>
      <c r="D15" s="10" t="s">
        <v>178</v>
      </c>
      <c r="E15" s="15"/>
      <c r="F15" s="12" t="s">
        <v>180</v>
      </c>
      <c r="G15" s="12" t="s">
        <v>60</v>
      </c>
      <c r="H15" s="12" t="s">
        <v>182</v>
      </c>
      <c r="I15" s="10" t="s">
        <v>60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10" t="s">
        <v>186</v>
      </c>
      <c r="B16" s="10" t="s">
        <v>188</v>
      </c>
      <c r="C16" s="12" t="s">
        <v>189</v>
      </c>
      <c r="D16" s="10" t="s">
        <v>34</v>
      </c>
      <c r="E16" s="10">
        <v>50.0</v>
      </c>
      <c r="F16" s="12" t="s">
        <v>73</v>
      </c>
      <c r="G16" s="12" t="s">
        <v>40</v>
      </c>
      <c r="H16" s="12" t="s">
        <v>76</v>
      </c>
      <c r="I16" s="10" t="s">
        <v>60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.5" customHeight="1">
      <c r="A17" s="10" t="s">
        <v>196</v>
      </c>
      <c r="B17" s="10" t="s">
        <v>188</v>
      </c>
      <c r="C17" s="12" t="s">
        <v>84</v>
      </c>
      <c r="D17" s="10" t="s">
        <v>54</v>
      </c>
      <c r="E17" s="10">
        <v>50.0</v>
      </c>
      <c r="F17" s="12" t="s">
        <v>39</v>
      </c>
      <c r="G17" s="12" t="s">
        <v>40</v>
      </c>
      <c r="H17" s="12" t="s">
        <v>41</v>
      </c>
      <c r="I17" s="10" t="s">
        <v>43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2.5" customHeight="1">
      <c r="A18" s="10" t="s">
        <v>202</v>
      </c>
      <c r="B18" s="10" t="s">
        <v>188</v>
      </c>
      <c r="C18" s="12" t="s">
        <v>203</v>
      </c>
      <c r="D18" s="10" t="s">
        <v>96</v>
      </c>
      <c r="E18" s="10">
        <v>0.0</v>
      </c>
      <c r="F18" s="12" t="s">
        <v>98</v>
      </c>
      <c r="G18" s="12" t="s">
        <v>40</v>
      </c>
      <c r="H18" s="12" t="s">
        <v>99</v>
      </c>
      <c r="I18" s="10" t="s">
        <v>60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2.5" customHeight="1">
      <c r="A19" s="10" t="s">
        <v>205</v>
      </c>
      <c r="B19" s="10" t="s">
        <v>207</v>
      </c>
      <c r="C19" s="12" t="s">
        <v>32</v>
      </c>
      <c r="D19" s="10" t="s">
        <v>34</v>
      </c>
      <c r="E19" s="49">
        <v>1.0</v>
      </c>
      <c r="F19" s="12" t="s">
        <v>39</v>
      </c>
      <c r="G19" s="12" t="s">
        <v>40</v>
      </c>
      <c r="H19" s="12" t="s">
        <v>41</v>
      </c>
      <c r="I19" s="10" t="s">
        <v>43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2.5" customHeight="1">
      <c r="A20" s="10" t="s">
        <v>214</v>
      </c>
      <c r="B20" s="10" t="s">
        <v>216</v>
      </c>
      <c r="C20" s="12" t="s">
        <v>149</v>
      </c>
      <c r="D20" s="10" t="s">
        <v>34</v>
      </c>
      <c r="E20" s="15">
        <v>0.3333</v>
      </c>
      <c r="F20" s="12" t="s">
        <v>107</v>
      </c>
      <c r="G20" s="12" t="s">
        <v>40</v>
      </c>
      <c r="H20" s="12" t="s">
        <v>110</v>
      </c>
      <c r="I20" s="10" t="s">
        <v>60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2.5" customHeight="1">
      <c r="A21" s="10" t="s">
        <v>222</v>
      </c>
      <c r="B21" s="10" t="s">
        <v>216</v>
      </c>
      <c r="C21" s="12" t="s">
        <v>225</v>
      </c>
      <c r="D21" s="10" t="s">
        <v>54</v>
      </c>
      <c r="E21" s="15">
        <v>0.3333</v>
      </c>
      <c r="F21" s="12" t="s">
        <v>119</v>
      </c>
      <c r="G21" s="12" t="s">
        <v>40</v>
      </c>
      <c r="H21" s="12" t="s">
        <v>227</v>
      </c>
      <c r="I21" s="10" t="s">
        <v>60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2.5" customHeight="1">
      <c r="A22" s="10" t="s">
        <v>231</v>
      </c>
      <c r="B22" s="10" t="s">
        <v>216</v>
      </c>
      <c r="C22" s="12" t="s">
        <v>84</v>
      </c>
      <c r="D22" s="10" t="s">
        <v>54</v>
      </c>
      <c r="E22" s="15">
        <v>0.3333</v>
      </c>
      <c r="F22" s="12" t="s">
        <v>39</v>
      </c>
      <c r="G22" s="12" t="s">
        <v>40</v>
      </c>
      <c r="H22" s="12" t="s">
        <v>88</v>
      </c>
      <c r="I22" s="10" t="s">
        <v>43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2.5" customHeight="1">
      <c r="A23" s="10" t="s">
        <v>237</v>
      </c>
      <c r="B23" s="10" t="s">
        <v>239</v>
      </c>
      <c r="C23" s="12" t="s">
        <v>84</v>
      </c>
      <c r="D23" s="10" t="s">
        <v>34</v>
      </c>
      <c r="E23" s="15">
        <v>1.0</v>
      </c>
      <c r="F23" s="12" t="s">
        <v>39</v>
      </c>
      <c r="G23" s="12" t="s">
        <v>40</v>
      </c>
      <c r="H23" s="12" t="s">
        <v>41</v>
      </c>
      <c r="I23" s="10" t="s">
        <v>43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2.5" customHeight="1">
      <c r="A24" s="10" t="s">
        <v>244</v>
      </c>
      <c r="B24" s="10" t="s">
        <v>245</v>
      </c>
      <c r="C24" s="12" t="s">
        <v>32</v>
      </c>
      <c r="D24" s="10" t="s">
        <v>34</v>
      </c>
      <c r="E24" s="15">
        <v>0.7</v>
      </c>
      <c r="F24" s="12" t="s">
        <v>39</v>
      </c>
      <c r="G24" s="12" t="s">
        <v>40</v>
      </c>
      <c r="H24" s="12" t="s">
        <v>41</v>
      </c>
      <c r="I24" s="10" t="s">
        <v>43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2.5" customHeight="1">
      <c r="A25" s="10" t="s">
        <v>252</v>
      </c>
      <c r="B25" s="10" t="s">
        <v>245</v>
      </c>
      <c r="C25" s="12" t="s">
        <v>71</v>
      </c>
      <c r="D25" s="10" t="s">
        <v>54</v>
      </c>
      <c r="E25" s="15">
        <v>0.3</v>
      </c>
      <c r="F25" s="12" t="s">
        <v>73</v>
      </c>
      <c r="G25" s="12" t="s">
        <v>40</v>
      </c>
      <c r="H25" s="12" t="s">
        <v>76</v>
      </c>
      <c r="I25" s="10" t="s">
        <v>60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2.5" customHeight="1">
      <c r="A26" s="10" t="s">
        <v>257</v>
      </c>
      <c r="B26" s="10" t="s">
        <v>245</v>
      </c>
      <c r="C26" s="12" t="s">
        <v>260</v>
      </c>
      <c r="D26" s="10" t="s">
        <v>178</v>
      </c>
      <c r="E26" s="10">
        <v>0.0</v>
      </c>
      <c r="F26" s="12" t="s">
        <v>73</v>
      </c>
      <c r="G26" s="12" t="s">
        <v>40</v>
      </c>
      <c r="H26" s="12" t="s">
        <v>260</v>
      </c>
      <c r="I26" s="10" t="s">
        <v>60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2.5" customHeight="1">
      <c r="A27" s="10" t="s">
        <v>267</v>
      </c>
      <c r="B27" s="10" t="s">
        <v>268</v>
      </c>
      <c r="C27" s="12" t="s">
        <v>32</v>
      </c>
      <c r="D27" s="10" t="s">
        <v>271</v>
      </c>
      <c r="E27" s="15">
        <v>0.5</v>
      </c>
      <c r="F27" s="12" t="s">
        <v>272</v>
      </c>
      <c r="G27" s="12" t="s">
        <v>272</v>
      </c>
      <c r="H27" s="12" t="s">
        <v>272</v>
      </c>
      <c r="I27" s="10" t="s">
        <v>272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2.5" customHeight="1">
      <c r="A28" s="10" t="s">
        <v>277</v>
      </c>
      <c r="B28" s="10" t="s">
        <v>268</v>
      </c>
      <c r="C28" s="12" t="s">
        <v>51</v>
      </c>
      <c r="D28" s="10" t="s">
        <v>34</v>
      </c>
      <c r="E28" s="15">
        <v>0.35</v>
      </c>
      <c r="F28" s="12" t="s">
        <v>272</v>
      </c>
      <c r="G28" s="12" t="s">
        <v>272</v>
      </c>
      <c r="H28" s="12" t="s">
        <v>272</v>
      </c>
      <c r="I28" s="10" t="s">
        <v>272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2.5" customHeight="1">
      <c r="A29" s="10" t="s">
        <v>283</v>
      </c>
      <c r="B29" s="10" t="s">
        <v>268</v>
      </c>
      <c r="C29" s="12" t="s">
        <v>285</v>
      </c>
      <c r="D29" s="10" t="s">
        <v>271</v>
      </c>
      <c r="E29" s="15">
        <v>0.15</v>
      </c>
      <c r="F29" s="12" t="s">
        <v>272</v>
      </c>
      <c r="G29" s="12" t="s">
        <v>272</v>
      </c>
      <c r="H29" s="12" t="s">
        <v>272</v>
      </c>
      <c r="I29" s="10" t="s">
        <v>272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2.5" customHeight="1">
      <c r="A30" s="10" t="s">
        <v>291</v>
      </c>
      <c r="B30" s="10" t="s">
        <v>292</v>
      </c>
      <c r="C30" s="12" t="s">
        <v>294</v>
      </c>
      <c r="D30" s="10" t="s">
        <v>34</v>
      </c>
      <c r="E30" s="15">
        <v>0.5</v>
      </c>
      <c r="F30" s="12" t="s">
        <v>297</v>
      </c>
      <c r="G30" s="12" t="s">
        <v>40</v>
      </c>
      <c r="H30" s="12" t="s">
        <v>298</v>
      </c>
      <c r="I30" s="10" t="s">
        <v>60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2.5" customHeight="1">
      <c r="A31" s="10" t="s">
        <v>301</v>
      </c>
      <c r="B31" s="10" t="s">
        <v>292</v>
      </c>
      <c r="C31" s="12" t="s">
        <v>84</v>
      </c>
      <c r="D31" s="10" t="s">
        <v>54</v>
      </c>
      <c r="E31" s="15">
        <v>0.5</v>
      </c>
      <c r="F31" s="12" t="s">
        <v>39</v>
      </c>
      <c r="G31" s="12" t="s">
        <v>40</v>
      </c>
      <c r="H31" s="12" t="s">
        <v>41</v>
      </c>
      <c r="I31" s="10" t="s">
        <v>43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2.5" customHeight="1">
      <c r="A32" s="10" t="s">
        <v>307</v>
      </c>
      <c r="B32" s="10" t="s">
        <v>239</v>
      </c>
      <c r="C32" s="12" t="s">
        <v>84</v>
      </c>
      <c r="D32" s="10" t="s">
        <v>34</v>
      </c>
      <c r="E32" s="15">
        <v>1.0</v>
      </c>
      <c r="F32" s="12" t="s">
        <v>39</v>
      </c>
      <c r="G32" s="12" t="s">
        <v>40</v>
      </c>
      <c r="H32" s="12" t="s">
        <v>41</v>
      </c>
      <c r="I32" s="10" t="s">
        <v>43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2.5" customHeight="1">
      <c r="A33" s="10" t="s">
        <v>315</v>
      </c>
      <c r="B33" s="10" t="s">
        <v>317</v>
      </c>
      <c r="C33" s="12" t="s">
        <v>84</v>
      </c>
      <c r="D33" s="10" t="s">
        <v>34</v>
      </c>
      <c r="E33" s="15">
        <v>1.0</v>
      </c>
      <c r="F33" s="12" t="s">
        <v>39</v>
      </c>
      <c r="G33" s="12" t="s">
        <v>40</v>
      </c>
      <c r="H33" s="12" t="s">
        <v>88</v>
      </c>
      <c r="I33" s="10" t="s">
        <v>43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60"/>
      <c r="B34" s="60"/>
      <c r="C34" s="8"/>
      <c r="D34" s="60"/>
      <c r="E34" s="60"/>
      <c r="F34" s="8"/>
      <c r="G34" s="8"/>
      <c r="H34" s="8"/>
      <c r="I34" s="60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60"/>
      <c r="B35" s="60"/>
      <c r="C35" s="8"/>
      <c r="D35" s="60"/>
      <c r="E35" s="60"/>
      <c r="F35" s="8"/>
      <c r="G35" s="8"/>
      <c r="H35" s="8"/>
      <c r="I35" s="60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60"/>
      <c r="B36" s="60"/>
      <c r="C36" s="8"/>
      <c r="D36" s="60"/>
      <c r="E36" s="60"/>
      <c r="F36" s="8"/>
      <c r="G36" s="8"/>
      <c r="H36" s="8"/>
      <c r="I36" s="60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60"/>
      <c r="B37" s="60"/>
      <c r="C37" s="8"/>
      <c r="D37" s="60"/>
      <c r="E37" s="60"/>
      <c r="F37" s="8"/>
      <c r="G37" s="8"/>
      <c r="H37" s="8"/>
      <c r="I37" s="60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60"/>
      <c r="B38" s="60"/>
      <c r="C38" s="8"/>
      <c r="D38" s="60"/>
      <c r="E38" s="60"/>
      <c r="F38" s="8"/>
      <c r="G38" s="8"/>
      <c r="H38" s="8"/>
      <c r="I38" s="60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60"/>
      <c r="B39" s="60"/>
      <c r="C39" s="8"/>
      <c r="D39" s="60"/>
      <c r="E39" s="60"/>
      <c r="F39" s="8"/>
      <c r="G39" s="8"/>
      <c r="H39" s="8"/>
      <c r="I39" s="60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60"/>
      <c r="B40" s="60"/>
      <c r="C40" s="8"/>
      <c r="D40" s="60"/>
      <c r="E40" s="60"/>
      <c r="F40" s="8"/>
      <c r="G40" s="8"/>
      <c r="H40" s="8"/>
      <c r="I40" s="60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60"/>
      <c r="B41" s="60"/>
      <c r="C41" s="8"/>
      <c r="D41" s="60"/>
      <c r="E41" s="60"/>
      <c r="F41" s="8"/>
      <c r="G41" s="8"/>
      <c r="H41" s="8"/>
      <c r="I41" s="60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60"/>
      <c r="B42" s="60"/>
      <c r="C42" s="8"/>
      <c r="D42" s="60"/>
      <c r="E42" s="60"/>
      <c r="F42" s="8"/>
      <c r="G42" s="8"/>
      <c r="H42" s="8"/>
      <c r="I42" s="60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60"/>
      <c r="B43" s="60"/>
      <c r="C43" s="8"/>
      <c r="D43" s="60"/>
      <c r="E43" s="60"/>
      <c r="F43" s="8"/>
      <c r="G43" s="8"/>
      <c r="H43" s="8"/>
      <c r="I43" s="60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60"/>
      <c r="B44" s="60"/>
      <c r="C44" s="8"/>
      <c r="D44" s="60"/>
      <c r="E44" s="60"/>
      <c r="F44" s="8"/>
      <c r="G44" s="8"/>
      <c r="H44" s="8"/>
      <c r="I44" s="60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60"/>
      <c r="B45" s="60"/>
      <c r="C45" s="8"/>
      <c r="D45" s="60"/>
      <c r="E45" s="60"/>
      <c r="F45" s="8"/>
      <c r="G45" s="8"/>
      <c r="H45" s="8"/>
      <c r="I45" s="60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60"/>
      <c r="B46" s="60"/>
      <c r="C46" s="8"/>
      <c r="D46" s="60"/>
      <c r="E46" s="60"/>
      <c r="F46" s="8"/>
      <c r="G46" s="8"/>
      <c r="H46" s="8"/>
      <c r="I46" s="60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60"/>
      <c r="B47" s="60"/>
      <c r="C47" s="8"/>
      <c r="D47" s="60"/>
      <c r="E47" s="60"/>
      <c r="F47" s="8"/>
      <c r="G47" s="8"/>
      <c r="H47" s="8"/>
      <c r="I47" s="60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60"/>
      <c r="B48" s="60"/>
      <c r="C48" s="8"/>
      <c r="D48" s="60"/>
      <c r="E48" s="60"/>
      <c r="F48" s="8"/>
      <c r="G48" s="8"/>
      <c r="H48" s="8"/>
      <c r="I48" s="60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60"/>
      <c r="B49" s="60"/>
      <c r="C49" s="8"/>
      <c r="D49" s="60"/>
      <c r="E49" s="60"/>
      <c r="F49" s="8"/>
      <c r="G49" s="8"/>
      <c r="H49" s="8"/>
      <c r="I49" s="60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60"/>
      <c r="B50" s="60"/>
      <c r="C50" s="8"/>
      <c r="D50" s="60"/>
      <c r="E50" s="60"/>
      <c r="F50" s="8"/>
      <c r="G50" s="8"/>
      <c r="H50" s="8"/>
      <c r="I50" s="60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60"/>
      <c r="B51" s="60"/>
      <c r="C51" s="8"/>
      <c r="D51" s="60"/>
      <c r="E51" s="60"/>
      <c r="F51" s="8"/>
      <c r="G51" s="8"/>
      <c r="H51" s="8"/>
      <c r="I51" s="60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60"/>
      <c r="B52" s="60"/>
      <c r="C52" s="8"/>
      <c r="D52" s="60"/>
      <c r="E52" s="60"/>
      <c r="F52" s="8"/>
      <c r="G52" s="8"/>
      <c r="H52" s="8"/>
      <c r="I52" s="60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60"/>
      <c r="B53" s="60"/>
      <c r="C53" s="8"/>
      <c r="D53" s="60"/>
      <c r="E53" s="60"/>
      <c r="F53" s="8"/>
      <c r="G53" s="8"/>
      <c r="H53" s="8"/>
      <c r="I53" s="60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60"/>
      <c r="B54" s="60"/>
      <c r="C54" s="8"/>
      <c r="D54" s="60"/>
      <c r="E54" s="60"/>
      <c r="F54" s="8"/>
      <c r="G54" s="8"/>
      <c r="H54" s="8"/>
      <c r="I54" s="60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60"/>
      <c r="B55" s="60"/>
      <c r="C55" s="8"/>
      <c r="D55" s="60"/>
      <c r="E55" s="60"/>
      <c r="F55" s="8"/>
      <c r="G55" s="8"/>
      <c r="H55" s="8"/>
      <c r="I55" s="60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60"/>
      <c r="B56" s="60"/>
      <c r="C56" s="8"/>
      <c r="D56" s="60"/>
      <c r="E56" s="60"/>
      <c r="F56" s="8"/>
      <c r="G56" s="8"/>
      <c r="H56" s="8"/>
      <c r="I56" s="60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60"/>
      <c r="B57" s="60"/>
      <c r="C57" s="8"/>
      <c r="D57" s="60"/>
      <c r="E57" s="60"/>
      <c r="F57" s="8"/>
      <c r="G57" s="8"/>
      <c r="H57" s="8"/>
      <c r="I57" s="60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60"/>
      <c r="B58" s="60"/>
      <c r="C58" s="8"/>
      <c r="D58" s="60"/>
      <c r="E58" s="60"/>
      <c r="F58" s="8"/>
      <c r="G58" s="8"/>
      <c r="H58" s="8"/>
      <c r="I58" s="60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60"/>
      <c r="B59" s="60"/>
      <c r="C59" s="8"/>
      <c r="D59" s="60"/>
      <c r="E59" s="60"/>
      <c r="F59" s="8"/>
      <c r="G59" s="8"/>
      <c r="H59" s="8"/>
      <c r="I59" s="60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60"/>
      <c r="B60" s="60"/>
      <c r="C60" s="8"/>
      <c r="D60" s="60"/>
      <c r="E60" s="60"/>
      <c r="F60" s="8"/>
      <c r="G60" s="8"/>
      <c r="H60" s="8"/>
      <c r="I60" s="60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60"/>
      <c r="B61" s="60"/>
      <c r="C61" s="8"/>
      <c r="D61" s="60"/>
      <c r="E61" s="60"/>
      <c r="F61" s="8"/>
      <c r="G61" s="8"/>
      <c r="H61" s="8"/>
      <c r="I61" s="60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60"/>
      <c r="B62" s="60"/>
      <c r="C62" s="8"/>
      <c r="D62" s="60"/>
      <c r="E62" s="60"/>
      <c r="F62" s="8"/>
      <c r="G62" s="8"/>
      <c r="H62" s="8"/>
      <c r="I62" s="60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60"/>
      <c r="B63" s="60"/>
      <c r="C63" s="8"/>
      <c r="D63" s="60"/>
      <c r="E63" s="60"/>
      <c r="F63" s="8"/>
      <c r="G63" s="8"/>
      <c r="H63" s="8"/>
      <c r="I63" s="60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60"/>
      <c r="B64" s="60"/>
      <c r="C64" s="8"/>
      <c r="D64" s="60"/>
      <c r="E64" s="60"/>
      <c r="F64" s="8"/>
      <c r="G64" s="8"/>
      <c r="H64" s="8"/>
      <c r="I64" s="60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60"/>
      <c r="B65" s="60"/>
      <c r="C65" s="8"/>
      <c r="D65" s="60"/>
      <c r="E65" s="60"/>
      <c r="F65" s="8"/>
      <c r="G65" s="8"/>
      <c r="H65" s="8"/>
      <c r="I65" s="60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60"/>
      <c r="B66" s="60"/>
      <c r="C66" s="8"/>
      <c r="D66" s="60"/>
      <c r="E66" s="60"/>
      <c r="F66" s="8"/>
      <c r="G66" s="8"/>
      <c r="H66" s="8"/>
      <c r="I66" s="60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60"/>
      <c r="B67" s="60"/>
      <c r="C67" s="8"/>
      <c r="D67" s="60"/>
      <c r="E67" s="60"/>
      <c r="F67" s="8"/>
      <c r="G67" s="8"/>
      <c r="H67" s="8"/>
      <c r="I67" s="60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60"/>
      <c r="B68" s="60"/>
      <c r="C68" s="8"/>
      <c r="D68" s="60"/>
      <c r="E68" s="60"/>
      <c r="F68" s="8"/>
      <c r="G68" s="8"/>
      <c r="H68" s="8"/>
      <c r="I68" s="60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60"/>
      <c r="B69" s="60"/>
      <c r="C69" s="8"/>
      <c r="D69" s="60"/>
      <c r="E69" s="60"/>
      <c r="F69" s="8"/>
      <c r="G69" s="8"/>
      <c r="H69" s="8"/>
      <c r="I69" s="60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60"/>
      <c r="B70" s="60"/>
      <c r="C70" s="8"/>
      <c r="D70" s="60"/>
      <c r="E70" s="60"/>
      <c r="F70" s="8"/>
      <c r="G70" s="8"/>
      <c r="H70" s="8"/>
      <c r="I70" s="60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60"/>
      <c r="B71" s="60"/>
      <c r="C71" s="8"/>
      <c r="D71" s="60"/>
      <c r="E71" s="60"/>
      <c r="F71" s="8"/>
      <c r="G71" s="8"/>
      <c r="H71" s="8"/>
      <c r="I71" s="60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60"/>
      <c r="B72" s="60"/>
      <c r="C72" s="8"/>
      <c r="D72" s="60"/>
      <c r="E72" s="60"/>
      <c r="F72" s="8"/>
      <c r="G72" s="8"/>
      <c r="H72" s="8"/>
      <c r="I72" s="60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60"/>
      <c r="B73" s="60"/>
      <c r="C73" s="8"/>
      <c r="D73" s="60"/>
      <c r="E73" s="60"/>
      <c r="F73" s="8"/>
      <c r="G73" s="8"/>
      <c r="H73" s="8"/>
      <c r="I73" s="60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60"/>
      <c r="B74" s="60"/>
      <c r="C74" s="8"/>
      <c r="D74" s="60"/>
      <c r="E74" s="60"/>
      <c r="F74" s="8"/>
      <c r="G74" s="8"/>
      <c r="H74" s="8"/>
      <c r="I74" s="60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60"/>
      <c r="B75" s="60"/>
      <c r="C75" s="8"/>
      <c r="D75" s="60"/>
      <c r="E75" s="60"/>
      <c r="F75" s="8"/>
      <c r="G75" s="8"/>
      <c r="H75" s="8"/>
      <c r="I75" s="60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60"/>
      <c r="B76" s="60"/>
      <c r="C76" s="8"/>
      <c r="D76" s="60"/>
      <c r="E76" s="60"/>
      <c r="F76" s="8"/>
      <c r="G76" s="8"/>
      <c r="H76" s="8"/>
      <c r="I76" s="60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60"/>
      <c r="B77" s="60"/>
      <c r="C77" s="8"/>
      <c r="D77" s="60"/>
      <c r="E77" s="60"/>
      <c r="F77" s="8"/>
      <c r="G77" s="8"/>
      <c r="H77" s="8"/>
      <c r="I77" s="60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60"/>
      <c r="B78" s="60"/>
      <c r="C78" s="8"/>
      <c r="D78" s="60"/>
      <c r="E78" s="60"/>
      <c r="F78" s="8"/>
      <c r="G78" s="8"/>
      <c r="H78" s="8"/>
      <c r="I78" s="60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60"/>
      <c r="B79" s="60"/>
      <c r="C79" s="8"/>
      <c r="D79" s="60"/>
      <c r="E79" s="60"/>
      <c r="F79" s="8"/>
      <c r="G79" s="8"/>
      <c r="H79" s="8"/>
      <c r="I79" s="60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60"/>
      <c r="B80" s="60"/>
      <c r="C80" s="8"/>
      <c r="D80" s="60"/>
      <c r="E80" s="60"/>
      <c r="F80" s="8"/>
      <c r="G80" s="8"/>
      <c r="H80" s="8"/>
      <c r="I80" s="60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60"/>
      <c r="B81" s="60"/>
      <c r="C81" s="8"/>
      <c r="D81" s="60"/>
      <c r="E81" s="60"/>
      <c r="F81" s="8"/>
      <c r="G81" s="8"/>
      <c r="H81" s="8"/>
      <c r="I81" s="60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60"/>
      <c r="B82" s="60"/>
      <c r="C82" s="8"/>
      <c r="D82" s="60"/>
      <c r="E82" s="60"/>
      <c r="F82" s="8"/>
      <c r="G82" s="8"/>
      <c r="H82" s="8"/>
      <c r="I82" s="60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60"/>
      <c r="B83" s="60"/>
      <c r="C83" s="8"/>
      <c r="D83" s="60"/>
      <c r="E83" s="60"/>
      <c r="F83" s="8"/>
      <c r="G83" s="8"/>
      <c r="H83" s="8"/>
      <c r="I83" s="60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60"/>
      <c r="B84" s="60"/>
      <c r="C84" s="8"/>
      <c r="D84" s="60"/>
      <c r="E84" s="60"/>
      <c r="F84" s="8"/>
      <c r="G84" s="8"/>
      <c r="H84" s="8"/>
      <c r="I84" s="60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60"/>
      <c r="B85" s="60"/>
      <c r="C85" s="8"/>
      <c r="D85" s="60"/>
      <c r="E85" s="60"/>
      <c r="F85" s="8"/>
      <c r="G85" s="8"/>
      <c r="H85" s="8"/>
      <c r="I85" s="60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60"/>
      <c r="B86" s="60"/>
      <c r="C86" s="8"/>
      <c r="D86" s="60"/>
      <c r="E86" s="60"/>
      <c r="F86" s="8"/>
      <c r="G86" s="8"/>
      <c r="H86" s="8"/>
      <c r="I86" s="60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60"/>
      <c r="B87" s="60"/>
      <c r="C87" s="8"/>
      <c r="D87" s="60"/>
      <c r="E87" s="60"/>
      <c r="F87" s="8"/>
      <c r="G87" s="8"/>
      <c r="H87" s="8"/>
      <c r="I87" s="60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60"/>
      <c r="B88" s="60"/>
      <c r="C88" s="8"/>
      <c r="D88" s="60"/>
      <c r="E88" s="60"/>
      <c r="F88" s="8"/>
      <c r="G88" s="8"/>
      <c r="H88" s="8"/>
      <c r="I88" s="60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60"/>
      <c r="B89" s="60"/>
      <c r="C89" s="8"/>
      <c r="D89" s="60"/>
      <c r="E89" s="60"/>
      <c r="F89" s="8"/>
      <c r="G89" s="8"/>
      <c r="H89" s="8"/>
      <c r="I89" s="60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60"/>
      <c r="B90" s="60"/>
      <c r="C90" s="8"/>
      <c r="D90" s="60"/>
      <c r="E90" s="60"/>
      <c r="F90" s="8"/>
      <c r="G90" s="8"/>
      <c r="H90" s="8"/>
      <c r="I90" s="60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60"/>
      <c r="B91" s="60"/>
      <c r="C91" s="8"/>
      <c r="D91" s="60"/>
      <c r="E91" s="60"/>
      <c r="F91" s="8"/>
      <c r="G91" s="8"/>
      <c r="H91" s="8"/>
      <c r="I91" s="60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60"/>
      <c r="B92" s="60"/>
      <c r="C92" s="8"/>
      <c r="D92" s="60"/>
      <c r="E92" s="60"/>
      <c r="F92" s="8"/>
      <c r="G92" s="8"/>
      <c r="H92" s="8"/>
      <c r="I92" s="60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60"/>
      <c r="B93" s="60"/>
      <c r="C93" s="8"/>
      <c r="D93" s="60"/>
      <c r="E93" s="60"/>
      <c r="F93" s="8"/>
      <c r="G93" s="8"/>
      <c r="H93" s="8"/>
      <c r="I93" s="60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60"/>
      <c r="B94" s="60"/>
      <c r="C94" s="8"/>
      <c r="D94" s="60"/>
      <c r="E94" s="60"/>
      <c r="F94" s="8"/>
      <c r="G94" s="8"/>
      <c r="H94" s="8"/>
      <c r="I94" s="60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60"/>
      <c r="B95" s="60"/>
      <c r="C95" s="8"/>
      <c r="D95" s="60"/>
      <c r="E95" s="60"/>
      <c r="F95" s="8"/>
      <c r="G95" s="8"/>
      <c r="H95" s="8"/>
      <c r="I95" s="60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60"/>
      <c r="B96" s="60"/>
      <c r="C96" s="8"/>
      <c r="D96" s="60"/>
      <c r="E96" s="60"/>
      <c r="F96" s="8"/>
      <c r="G96" s="8"/>
      <c r="H96" s="8"/>
      <c r="I96" s="60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60"/>
      <c r="B97" s="60"/>
      <c r="C97" s="8"/>
      <c r="D97" s="60"/>
      <c r="E97" s="60"/>
      <c r="F97" s="8"/>
      <c r="G97" s="8"/>
      <c r="H97" s="8"/>
      <c r="I97" s="60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60"/>
      <c r="B98" s="60"/>
      <c r="C98" s="8"/>
      <c r="D98" s="60"/>
      <c r="E98" s="60"/>
      <c r="F98" s="8"/>
      <c r="G98" s="8"/>
      <c r="H98" s="8"/>
      <c r="I98" s="60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60"/>
      <c r="B99" s="60"/>
      <c r="C99" s="8"/>
      <c r="D99" s="60"/>
      <c r="E99" s="60"/>
      <c r="F99" s="8"/>
      <c r="G99" s="8"/>
      <c r="H99" s="8"/>
      <c r="I99" s="60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60"/>
      <c r="B100" s="60"/>
      <c r="C100" s="8"/>
      <c r="D100" s="60"/>
      <c r="E100" s="60"/>
      <c r="F100" s="8"/>
      <c r="G100" s="8"/>
      <c r="H100" s="8"/>
      <c r="I100" s="60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60"/>
      <c r="B101" s="60"/>
      <c r="C101" s="8"/>
      <c r="D101" s="60"/>
      <c r="E101" s="60"/>
      <c r="F101" s="8"/>
      <c r="G101" s="8"/>
      <c r="H101" s="8"/>
      <c r="I101" s="60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60"/>
      <c r="B102" s="60"/>
      <c r="C102" s="8"/>
      <c r="D102" s="60"/>
      <c r="E102" s="60"/>
      <c r="F102" s="8"/>
      <c r="G102" s="8"/>
      <c r="H102" s="8"/>
      <c r="I102" s="60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60"/>
      <c r="B103" s="60"/>
      <c r="C103" s="8"/>
      <c r="D103" s="60"/>
      <c r="E103" s="60"/>
      <c r="F103" s="8"/>
      <c r="G103" s="8"/>
      <c r="H103" s="8"/>
      <c r="I103" s="60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60"/>
      <c r="B104" s="60"/>
      <c r="C104" s="8"/>
      <c r="D104" s="60"/>
      <c r="E104" s="60"/>
      <c r="F104" s="8"/>
      <c r="G104" s="8"/>
      <c r="H104" s="8"/>
      <c r="I104" s="60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60"/>
      <c r="B105" s="60"/>
      <c r="C105" s="8"/>
      <c r="D105" s="60"/>
      <c r="E105" s="60"/>
      <c r="F105" s="8"/>
      <c r="G105" s="8"/>
      <c r="H105" s="8"/>
      <c r="I105" s="60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60"/>
      <c r="B106" s="60"/>
      <c r="C106" s="8"/>
      <c r="D106" s="60"/>
      <c r="E106" s="60"/>
      <c r="F106" s="8"/>
      <c r="G106" s="8"/>
      <c r="H106" s="8"/>
      <c r="I106" s="60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60"/>
      <c r="B107" s="60"/>
      <c r="C107" s="8"/>
      <c r="D107" s="60"/>
      <c r="E107" s="60"/>
      <c r="F107" s="8"/>
      <c r="G107" s="8"/>
      <c r="H107" s="8"/>
      <c r="I107" s="60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60"/>
      <c r="B108" s="60"/>
      <c r="C108" s="8"/>
      <c r="D108" s="60"/>
      <c r="E108" s="60"/>
      <c r="F108" s="8"/>
      <c r="G108" s="8"/>
      <c r="H108" s="8"/>
      <c r="I108" s="60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60"/>
      <c r="B109" s="60"/>
      <c r="C109" s="8"/>
      <c r="D109" s="60"/>
      <c r="E109" s="60"/>
      <c r="F109" s="8"/>
      <c r="G109" s="8"/>
      <c r="H109" s="8"/>
      <c r="I109" s="60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60"/>
      <c r="B110" s="60"/>
      <c r="C110" s="8"/>
      <c r="D110" s="60"/>
      <c r="E110" s="60"/>
      <c r="F110" s="8"/>
      <c r="G110" s="8"/>
      <c r="H110" s="8"/>
      <c r="I110" s="60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60"/>
      <c r="B111" s="60"/>
      <c r="C111" s="8"/>
      <c r="D111" s="60"/>
      <c r="E111" s="60"/>
      <c r="F111" s="8"/>
      <c r="G111" s="8"/>
      <c r="H111" s="8"/>
      <c r="I111" s="60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60"/>
      <c r="B112" s="60"/>
      <c r="C112" s="8"/>
      <c r="D112" s="60"/>
      <c r="E112" s="60"/>
      <c r="F112" s="8"/>
      <c r="G112" s="8"/>
      <c r="H112" s="8"/>
      <c r="I112" s="60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60"/>
      <c r="B113" s="60"/>
      <c r="C113" s="8"/>
      <c r="D113" s="60"/>
      <c r="E113" s="60"/>
      <c r="F113" s="8"/>
      <c r="G113" s="8"/>
      <c r="H113" s="8"/>
      <c r="I113" s="60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60"/>
      <c r="B114" s="60"/>
      <c r="C114" s="8"/>
      <c r="D114" s="60"/>
      <c r="E114" s="60"/>
      <c r="F114" s="8"/>
      <c r="G114" s="8"/>
      <c r="H114" s="8"/>
      <c r="I114" s="60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60"/>
      <c r="B115" s="60"/>
      <c r="C115" s="8"/>
      <c r="D115" s="60"/>
      <c r="E115" s="60"/>
      <c r="F115" s="8"/>
      <c r="G115" s="8"/>
      <c r="H115" s="8"/>
      <c r="I115" s="60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60"/>
      <c r="B116" s="60"/>
      <c r="C116" s="8"/>
      <c r="D116" s="60"/>
      <c r="E116" s="60"/>
      <c r="F116" s="8"/>
      <c r="G116" s="8"/>
      <c r="H116" s="8"/>
      <c r="I116" s="60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60"/>
      <c r="B117" s="60"/>
      <c r="C117" s="8"/>
      <c r="D117" s="60"/>
      <c r="E117" s="60"/>
      <c r="F117" s="8"/>
      <c r="G117" s="8"/>
      <c r="H117" s="8"/>
      <c r="I117" s="60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60"/>
      <c r="B118" s="60"/>
      <c r="C118" s="8"/>
      <c r="D118" s="60"/>
      <c r="E118" s="60"/>
      <c r="F118" s="8"/>
      <c r="G118" s="8"/>
      <c r="H118" s="8"/>
      <c r="I118" s="60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60"/>
      <c r="B119" s="60"/>
      <c r="C119" s="8"/>
      <c r="D119" s="60"/>
      <c r="E119" s="60"/>
      <c r="F119" s="8"/>
      <c r="G119" s="8"/>
      <c r="H119" s="8"/>
      <c r="I119" s="60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60"/>
      <c r="B120" s="60"/>
      <c r="C120" s="8"/>
      <c r="D120" s="60"/>
      <c r="E120" s="60"/>
      <c r="F120" s="8"/>
      <c r="G120" s="8"/>
      <c r="H120" s="8"/>
      <c r="I120" s="60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60"/>
      <c r="B121" s="60"/>
      <c r="C121" s="8"/>
      <c r="D121" s="60"/>
      <c r="E121" s="60"/>
      <c r="F121" s="8"/>
      <c r="G121" s="8"/>
      <c r="H121" s="8"/>
      <c r="I121" s="60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60"/>
      <c r="B122" s="60"/>
      <c r="C122" s="8"/>
      <c r="D122" s="60"/>
      <c r="E122" s="60"/>
      <c r="F122" s="8"/>
      <c r="G122" s="8"/>
      <c r="H122" s="8"/>
      <c r="I122" s="60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60"/>
      <c r="B123" s="60"/>
      <c r="C123" s="8"/>
      <c r="D123" s="60"/>
      <c r="E123" s="60"/>
      <c r="F123" s="8"/>
      <c r="G123" s="8"/>
      <c r="H123" s="8"/>
      <c r="I123" s="60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60"/>
      <c r="B124" s="60"/>
      <c r="C124" s="8"/>
      <c r="D124" s="60"/>
      <c r="E124" s="60"/>
      <c r="F124" s="8"/>
      <c r="G124" s="8"/>
      <c r="H124" s="8"/>
      <c r="I124" s="60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60"/>
      <c r="B125" s="60"/>
      <c r="C125" s="8"/>
      <c r="D125" s="60"/>
      <c r="E125" s="60"/>
      <c r="F125" s="8"/>
      <c r="G125" s="8"/>
      <c r="H125" s="8"/>
      <c r="I125" s="60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60"/>
      <c r="B126" s="60"/>
      <c r="C126" s="8"/>
      <c r="D126" s="60"/>
      <c r="E126" s="60"/>
      <c r="F126" s="8"/>
      <c r="G126" s="8"/>
      <c r="H126" s="8"/>
      <c r="I126" s="60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60"/>
      <c r="B127" s="60"/>
      <c r="C127" s="8"/>
      <c r="D127" s="60"/>
      <c r="E127" s="60"/>
      <c r="F127" s="8"/>
      <c r="G127" s="8"/>
      <c r="H127" s="8"/>
      <c r="I127" s="60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60"/>
      <c r="B128" s="60"/>
      <c r="C128" s="8"/>
      <c r="D128" s="60"/>
      <c r="E128" s="60"/>
      <c r="F128" s="8"/>
      <c r="G128" s="8"/>
      <c r="H128" s="8"/>
      <c r="I128" s="60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60"/>
      <c r="B129" s="60"/>
      <c r="C129" s="8"/>
      <c r="D129" s="60"/>
      <c r="E129" s="60"/>
      <c r="F129" s="8"/>
      <c r="G129" s="8"/>
      <c r="H129" s="8"/>
      <c r="I129" s="60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60"/>
      <c r="B130" s="60"/>
      <c r="C130" s="8"/>
      <c r="D130" s="60"/>
      <c r="E130" s="60"/>
      <c r="F130" s="8"/>
      <c r="G130" s="8"/>
      <c r="H130" s="8"/>
      <c r="I130" s="60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60"/>
      <c r="B131" s="60"/>
      <c r="C131" s="8"/>
      <c r="D131" s="60"/>
      <c r="E131" s="60"/>
      <c r="F131" s="8"/>
      <c r="G131" s="8"/>
      <c r="H131" s="8"/>
      <c r="I131" s="60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60"/>
      <c r="B132" s="60"/>
      <c r="C132" s="8"/>
      <c r="D132" s="60"/>
      <c r="E132" s="60"/>
      <c r="F132" s="8"/>
      <c r="G132" s="8"/>
      <c r="H132" s="8"/>
      <c r="I132" s="60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60"/>
      <c r="B133" s="60"/>
      <c r="C133" s="8"/>
      <c r="D133" s="60"/>
      <c r="E133" s="60"/>
      <c r="F133" s="8"/>
      <c r="G133" s="8"/>
      <c r="H133" s="8"/>
      <c r="I133" s="60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60"/>
      <c r="B134" s="60"/>
      <c r="C134" s="8"/>
      <c r="D134" s="60"/>
      <c r="E134" s="60"/>
      <c r="F134" s="8"/>
      <c r="G134" s="8"/>
      <c r="H134" s="8"/>
      <c r="I134" s="60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60"/>
      <c r="B135" s="60"/>
      <c r="C135" s="8"/>
      <c r="D135" s="60"/>
      <c r="E135" s="60"/>
      <c r="F135" s="8"/>
      <c r="G135" s="8"/>
      <c r="H135" s="8"/>
      <c r="I135" s="60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60"/>
      <c r="B136" s="60"/>
      <c r="C136" s="8"/>
      <c r="D136" s="60"/>
      <c r="E136" s="60"/>
      <c r="F136" s="8"/>
      <c r="G136" s="8"/>
      <c r="H136" s="8"/>
      <c r="I136" s="60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60"/>
      <c r="B137" s="60"/>
      <c r="C137" s="8"/>
      <c r="D137" s="60"/>
      <c r="E137" s="60"/>
      <c r="F137" s="8"/>
      <c r="G137" s="8"/>
      <c r="H137" s="8"/>
      <c r="I137" s="60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60"/>
      <c r="B138" s="60"/>
      <c r="C138" s="8"/>
      <c r="D138" s="60"/>
      <c r="E138" s="60"/>
      <c r="F138" s="8"/>
      <c r="G138" s="8"/>
      <c r="H138" s="8"/>
      <c r="I138" s="60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60"/>
      <c r="B139" s="60"/>
      <c r="C139" s="8"/>
      <c r="D139" s="60"/>
      <c r="E139" s="60"/>
      <c r="F139" s="8"/>
      <c r="G139" s="8"/>
      <c r="H139" s="8"/>
      <c r="I139" s="60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60"/>
      <c r="B140" s="60"/>
      <c r="C140" s="8"/>
      <c r="D140" s="60"/>
      <c r="E140" s="60"/>
      <c r="F140" s="8"/>
      <c r="G140" s="8"/>
      <c r="H140" s="8"/>
      <c r="I140" s="60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60"/>
      <c r="B141" s="60"/>
      <c r="C141" s="8"/>
      <c r="D141" s="60"/>
      <c r="E141" s="60"/>
      <c r="F141" s="8"/>
      <c r="G141" s="8"/>
      <c r="H141" s="8"/>
      <c r="I141" s="60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60"/>
      <c r="B142" s="60"/>
      <c r="C142" s="8"/>
      <c r="D142" s="60"/>
      <c r="E142" s="60"/>
      <c r="F142" s="8"/>
      <c r="G142" s="8"/>
      <c r="H142" s="8"/>
      <c r="I142" s="60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60"/>
      <c r="B143" s="60"/>
      <c r="C143" s="8"/>
      <c r="D143" s="60"/>
      <c r="E143" s="60"/>
      <c r="F143" s="8"/>
      <c r="G143" s="8"/>
      <c r="H143" s="8"/>
      <c r="I143" s="60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60"/>
      <c r="B144" s="60"/>
      <c r="C144" s="8"/>
      <c r="D144" s="60"/>
      <c r="E144" s="60"/>
      <c r="F144" s="8"/>
      <c r="G144" s="8"/>
      <c r="H144" s="8"/>
      <c r="I144" s="60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60"/>
      <c r="B145" s="60"/>
      <c r="C145" s="8"/>
      <c r="D145" s="60"/>
      <c r="E145" s="60"/>
      <c r="F145" s="8"/>
      <c r="G145" s="8"/>
      <c r="H145" s="8"/>
      <c r="I145" s="60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60"/>
      <c r="B146" s="60"/>
      <c r="C146" s="8"/>
      <c r="D146" s="60"/>
      <c r="E146" s="60"/>
      <c r="F146" s="8"/>
      <c r="G146" s="8"/>
      <c r="H146" s="8"/>
      <c r="I146" s="60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60"/>
      <c r="B147" s="60"/>
      <c r="C147" s="8"/>
      <c r="D147" s="60"/>
      <c r="E147" s="60"/>
      <c r="F147" s="8"/>
      <c r="G147" s="8"/>
      <c r="H147" s="8"/>
      <c r="I147" s="60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60"/>
      <c r="B148" s="60"/>
      <c r="C148" s="8"/>
      <c r="D148" s="60"/>
      <c r="E148" s="60"/>
      <c r="F148" s="8"/>
      <c r="G148" s="8"/>
      <c r="H148" s="8"/>
      <c r="I148" s="60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60"/>
      <c r="B149" s="60"/>
      <c r="C149" s="8"/>
      <c r="D149" s="60"/>
      <c r="E149" s="60"/>
      <c r="F149" s="8"/>
      <c r="G149" s="8"/>
      <c r="H149" s="8"/>
      <c r="I149" s="60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60"/>
      <c r="B150" s="60"/>
      <c r="C150" s="8"/>
      <c r="D150" s="60"/>
      <c r="E150" s="60"/>
      <c r="F150" s="8"/>
      <c r="G150" s="8"/>
      <c r="H150" s="8"/>
      <c r="I150" s="60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60"/>
      <c r="B151" s="60"/>
      <c r="C151" s="8"/>
      <c r="D151" s="60"/>
      <c r="E151" s="60"/>
      <c r="F151" s="8"/>
      <c r="G151" s="8"/>
      <c r="H151" s="8"/>
      <c r="I151" s="60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60"/>
      <c r="B152" s="60"/>
      <c r="C152" s="8"/>
      <c r="D152" s="60"/>
      <c r="E152" s="60"/>
      <c r="F152" s="8"/>
      <c r="G152" s="8"/>
      <c r="H152" s="8"/>
      <c r="I152" s="60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60"/>
      <c r="B153" s="60"/>
      <c r="C153" s="8"/>
      <c r="D153" s="60"/>
      <c r="E153" s="60"/>
      <c r="F153" s="8"/>
      <c r="G153" s="8"/>
      <c r="H153" s="8"/>
      <c r="I153" s="60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60"/>
      <c r="B154" s="60"/>
      <c r="C154" s="8"/>
      <c r="D154" s="60"/>
      <c r="E154" s="60"/>
      <c r="F154" s="8"/>
      <c r="G154" s="8"/>
      <c r="H154" s="8"/>
      <c r="I154" s="60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60"/>
      <c r="B155" s="60"/>
      <c r="C155" s="8"/>
      <c r="D155" s="60"/>
      <c r="E155" s="60"/>
      <c r="F155" s="8"/>
      <c r="G155" s="8"/>
      <c r="H155" s="8"/>
      <c r="I155" s="60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60"/>
      <c r="B156" s="60"/>
      <c r="C156" s="8"/>
      <c r="D156" s="60"/>
      <c r="E156" s="60"/>
      <c r="F156" s="8"/>
      <c r="G156" s="8"/>
      <c r="H156" s="8"/>
      <c r="I156" s="60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60"/>
      <c r="B157" s="60"/>
      <c r="C157" s="8"/>
      <c r="D157" s="60"/>
      <c r="E157" s="60"/>
      <c r="F157" s="8"/>
      <c r="G157" s="8"/>
      <c r="H157" s="8"/>
      <c r="I157" s="60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60"/>
      <c r="B158" s="60"/>
      <c r="C158" s="8"/>
      <c r="D158" s="60"/>
      <c r="E158" s="60"/>
      <c r="F158" s="8"/>
      <c r="G158" s="8"/>
      <c r="H158" s="8"/>
      <c r="I158" s="60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60"/>
      <c r="B159" s="60"/>
      <c r="C159" s="8"/>
      <c r="D159" s="60"/>
      <c r="E159" s="60"/>
      <c r="F159" s="8"/>
      <c r="G159" s="8"/>
      <c r="H159" s="8"/>
      <c r="I159" s="60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60"/>
      <c r="B160" s="60"/>
      <c r="C160" s="8"/>
      <c r="D160" s="60"/>
      <c r="E160" s="60"/>
      <c r="F160" s="8"/>
      <c r="G160" s="8"/>
      <c r="H160" s="8"/>
      <c r="I160" s="60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60"/>
      <c r="B161" s="60"/>
      <c r="C161" s="8"/>
      <c r="D161" s="60"/>
      <c r="E161" s="60"/>
      <c r="F161" s="8"/>
      <c r="G161" s="8"/>
      <c r="H161" s="8"/>
      <c r="I161" s="60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60"/>
      <c r="B162" s="60"/>
      <c r="C162" s="8"/>
      <c r="D162" s="60"/>
      <c r="E162" s="60"/>
      <c r="F162" s="8"/>
      <c r="G162" s="8"/>
      <c r="H162" s="8"/>
      <c r="I162" s="60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60"/>
      <c r="B163" s="60"/>
      <c r="C163" s="8"/>
      <c r="D163" s="60"/>
      <c r="E163" s="60"/>
      <c r="F163" s="8"/>
      <c r="G163" s="8"/>
      <c r="H163" s="8"/>
      <c r="I163" s="60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60"/>
      <c r="B164" s="60"/>
      <c r="C164" s="8"/>
      <c r="D164" s="60"/>
      <c r="E164" s="60"/>
      <c r="F164" s="8"/>
      <c r="G164" s="8"/>
      <c r="H164" s="8"/>
      <c r="I164" s="60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60"/>
      <c r="B165" s="60"/>
      <c r="C165" s="8"/>
      <c r="D165" s="60"/>
      <c r="E165" s="60"/>
      <c r="F165" s="8"/>
      <c r="G165" s="8"/>
      <c r="H165" s="8"/>
      <c r="I165" s="60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60"/>
      <c r="B166" s="60"/>
      <c r="C166" s="8"/>
      <c r="D166" s="60"/>
      <c r="E166" s="60"/>
      <c r="F166" s="8"/>
      <c r="G166" s="8"/>
      <c r="H166" s="8"/>
      <c r="I166" s="60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60"/>
      <c r="B167" s="60"/>
      <c r="C167" s="8"/>
      <c r="D167" s="60"/>
      <c r="E167" s="60"/>
      <c r="F167" s="8"/>
      <c r="G167" s="8"/>
      <c r="H167" s="8"/>
      <c r="I167" s="60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60"/>
      <c r="B168" s="60"/>
      <c r="C168" s="8"/>
      <c r="D168" s="60"/>
      <c r="E168" s="60"/>
      <c r="F168" s="8"/>
      <c r="G168" s="8"/>
      <c r="H168" s="8"/>
      <c r="I168" s="60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60"/>
      <c r="B169" s="60"/>
      <c r="C169" s="8"/>
      <c r="D169" s="60"/>
      <c r="E169" s="60"/>
      <c r="F169" s="8"/>
      <c r="G169" s="8"/>
      <c r="H169" s="8"/>
      <c r="I169" s="60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60"/>
      <c r="B170" s="60"/>
      <c r="C170" s="8"/>
      <c r="D170" s="60"/>
      <c r="E170" s="60"/>
      <c r="F170" s="8"/>
      <c r="G170" s="8"/>
      <c r="H170" s="8"/>
      <c r="I170" s="60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60"/>
      <c r="B171" s="60"/>
      <c r="C171" s="8"/>
      <c r="D171" s="60"/>
      <c r="E171" s="60"/>
      <c r="F171" s="8"/>
      <c r="G171" s="8"/>
      <c r="H171" s="8"/>
      <c r="I171" s="60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60"/>
      <c r="B172" s="60"/>
      <c r="C172" s="8"/>
      <c r="D172" s="60"/>
      <c r="E172" s="60"/>
      <c r="F172" s="8"/>
      <c r="G172" s="8"/>
      <c r="H172" s="8"/>
      <c r="I172" s="60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60"/>
      <c r="B173" s="60"/>
      <c r="C173" s="8"/>
      <c r="D173" s="60"/>
      <c r="E173" s="60"/>
      <c r="F173" s="8"/>
      <c r="G173" s="8"/>
      <c r="H173" s="8"/>
      <c r="I173" s="60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60"/>
      <c r="B174" s="60"/>
      <c r="C174" s="8"/>
      <c r="D174" s="60"/>
      <c r="E174" s="60"/>
      <c r="F174" s="8"/>
      <c r="G174" s="8"/>
      <c r="H174" s="8"/>
      <c r="I174" s="60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60"/>
      <c r="B175" s="60"/>
      <c r="C175" s="8"/>
      <c r="D175" s="60"/>
      <c r="E175" s="60"/>
      <c r="F175" s="8"/>
      <c r="G175" s="8"/>
      <c r="H175" s="8"/>
      <c r="I175" s="60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60"/>
      <c r="B176" s="60"/>
      <c r="C176" s="8"/>
      <c r="D176" s="60"/>
      <c r="E176" s="60"/>
      <c r="F176" s="8"/>
      <c r="G176" s="8"/>
      <c r="H176" s="8"/>
      <c r="I176" s="60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60"/>
      <c r="B177" s="60"/>
      <c r="C177" s="8"/>
      <c r="D177" s="60"/>
      <c r="E177" s="60"/>
      <c r="F177" s="8"/>
      <c r="G177" s="8"/>
      <c r="H177" s="8"/>
      <c r="I177" s="60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60"/>
      <c r="B178" s="60"/>
      <c r="C178" s="8"/>
      <c r="D178" s="60"/>
      <c r="E178" s="60"/>
      <c r="F178" s="8"/>
      <c r="G178" s="8"/>
      <c r="H178" s="8"/>
      <c r="I178" s="60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60"/>
      <c r="B179" s="60"/>
      <c r="C179" s="8"/>
      <c r="D179" s="60"/>
      <c r="E179" s="60"/>
      <c r="F179" s="8"/>
      <c r="G179" s="8"/>
      <c r="H179" s="8"/>
      <c r="I179" s="60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60"/>
      <c r="B180" s="60"/>
      <c r="C180" s="8"/>
      <c r="D180" s="60"/>
      <c r="E180" s="60"/>
      <c r="F180" s="8"/>
      <c r="G180" s="8"/>
      <c r="H180" s="8"/>
      <c r="I180" s="60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60"/>
      <c r="B181" s="60"/>
      <c r="C181" s="8"/>
      <c r="D181" s="60"/>
      <c r="E181" s="60"/>
      <c r="F181" s="8"/>
      <c r="G181" s="8"/>
      <c r="H181" s="8"/>
      <c r="I181" s="60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60"/>
      <c r="B182" s="60"/>
      <c r="C182" s="8"/>
      <c r="D182" s="60"/>
      <c r="E182" s="60"/>
      <c r="F182" s="8"/>
      <c r="G182" s="8"/>
      <c r="H182" s="8"/>
      <c r="I182" s="60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60"/>
      <c r="B183" s="60"/>
      <c r="C183" s="8"/>
      <c r="D183" s="60"/>
      <c r="E183" s="60"/>
      <c r="F183" s="8"/>
      <c r="G183" s="8"/>
      <c r="H183" s="8"/>
      <c r="I183" s="60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60"/>
      <c r="B184" s="60"/>
      <c r="C184" s="8"/>
      <c r="D184" s="60"/>
      <c r="E184" s="60"/>
      <c r="F184" s="8"/>
      <c r="G184" s="8"/>
      <c r="H184" s="8"/>
      <c r="I184" s="60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60"/>
      <c r="B185" s="60"/>
      <c r="C185" s="8"/>
      <c r="D185" s="60"/>
      <c r="E185" s="60"/>
      <c r="F185" s="8"/>
      <c r="G185" s="8"/>
      <c r="H185" s="8"/>
      <c r="I185" s="60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60"/>
      <c r="B186" s="60"/>
      <c r="C186" s="8"/>
      <c r="D186" s="60"/>
      <c r="E186" s="60"/>
      <c r="F186" s="8"/>
      <c r="G186" s="8"/>
      <c r="H186" s="8"/>
      <c r="I186" s="60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60"/>
      <c r="B187" s="60"/>
      <c r="C187" s="8"/>
      <c r="D187" s="60"/>
      <c r="E187" s="60"/>
      <c r="F187" s="8"/>
      <c r="G187" s="8"/>
      <c r="H187" s="8"/>
      <c r="I187" s="60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60"/>
      <c r="B188" s="60"/>
      <c r="C188" s="8"/>
      <c r="D188" s="60"/>
      <c r="E188" s="60"/>
      <c r="F188" s="8"/>
      <c r="G188" s="8"/>
      <c r="H188" s="8"/>
      <c r="I188" s="60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60"/>
      <c r="B189" s="60"/>
      <c r="C189" s="8"/>
      <c r="D189" s="60"/>
      <c r="E189" s="60"/>
      <c r="F189" s="8"/>
      <c r="G189" s="8"/>
      <c r="H189" s="8"/>
      <c r="I189" s="60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60"/>
      <c r="B190" s="60"/>
      <c r="C190" s="8"/>
      <c r="D190" s="60"/>
      <c r="E190" s="60"/>
      <c r="F190" s="8"/>
      <c r="G190" s="8"/>
      <c r="H190" s="8"/>
      <c r="I190" s="60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60"/>
      <c r="B191" s="60"/>
      <c r="C191" s="8"/>
      <c r="D191" s="60"/>
      <c r="E191" s="60"/>
      <c r="F191" s="8"/>
      <c r="G191" s="8"/>
      <c r="H191" s="8"/>
      <c r="I191" s="60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60"/>
      <c r="B192" s="60"/>
      <c r="C192" s="8"/>
      <c r="D192" s="60"/>
      <c r="E192" s="60"/>
      <c r="F192" s="8"/>
      <c r="G192" s="8"/>
      <c r="H192" s="8"/>
      <c r="I192" s="60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60"/>
      <c r="B193" s="60"/>
      <c r="C193" s="8"/>
      <c r="D193" s="60"/>
      <c r="E193" s="60"/>
      <c r="F193" s="8"/>
      <c r="G193" s="8"/>
      <c r="H193" s="8"/>
      <c r="I193" s="60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60"/>
      <c r="B194" s="60"/>
      <c r="C194" s="8"/>
      <c r="D194" s="60"/>
      <c r="E194" s="60"/>
      <c r="F194" s="8"/>
      <c r="G194" s="8"/>
      <c r="H194" s="8"/>
      <c r="I194" s="60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60"/>
      <c r="B195" s="60"/>
      <c r="C195" s="8"/>
      <c r="D195" s="60"/>
      <c r="E195" s="60"/>
      <c r="F195" s="8"/>
      <c r="G195" s="8"/>
      <c r="H195" s="8"/>
      <c r="I195" s="60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60"/>
      <c r="B196" s="60"/>
      <c r="C196" s="8"/>
      <c r="D196" s="60"/>
      <c r="E196" s="60"/>
      <c r="F196" s="8"/>
      <c r="G196" s="8"/>
      <c r="H196" s="8"/>
      <c r="I196" s="60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60"/>
      <c r="B197" s="60"/>
      <c r="C197" s="8"/>
      <c r="D197" s="60"/>
      <c r="E197" s="60"/>
      <c r="F197" s="8"/>
      <c r="G197" s="8"/>
      <c r="H197" s="8"/>
      <c r="I197" s="60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60"/>
      <c r="B198" s="60"/>
      <c r="C198" s="8"/>
      <c r="D198" s="60"/>
      <c r="E198" s="60"/>
      <c r="F198" s="8"/>
      <c r="G198" s="8"/>
      <c r="H198" s="8"/>
      <c r="I198" s="60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60"/>
      <c r="B199" s="60"/>
      <c r="C199" s="8"/>
      <c r="D199" s="60"/>
      <c r="E199" s="60"/>
      <c r="F199" s="8"/>
      <c r="G199" s="8"/>
      <c r="H199" s="8"/>
      <c r="I199" s="60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60"/>
      <c r="B200" s="60"/>
      <c r="C200" s="8"/>
      <c r="D200" s="60"/>
      <c r="E200" s="60"/>
      <c r="F200" s="8"/>
      <c r="G200" s="8"/>
      <c r="H200" s="8"/>
      <c r="I200" s="60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60"/>
      <c r="B201" s="60"/>
      <c r="C201" s="8"/>
      <c r="D201" s="60"/>
      <c r="E201" s="60"/>
      <c r="F201" s="8"/>
      <c r="G201" s="8"/>
      <c r="H201" s="8"/>
      <c r="I201" s="60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60"/>
      <c r="B202" s="60"/>
      <c r="C202" s="8"/>
      <c r="D202" s="60"/>
      <c r="E202" s="60"/>
      <c r="F202" s="8"/>
      <c r="G202" s="8"/>
      <c r="H202" s="8"/>
      <c r="I202" s="60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60"/>
      <c r="B203" s="60"/>
      <c r="C203" s="8"/>
      <c r="D203" s="60"/>
      <c r="E203" s="60"/>
      <c r="F203" s="8"/>
      <c r="G203" s="8"/>
      <c r="H203" s="8"/>
      <c r="I203" s="60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60"/>
      <c r="B204" s="60"/>
      <c r="C204" s="8"/>
      <c r="D204" s="60"/>
      <c r="E204" s="60"/>
      <c r="F204" s="8"/>
      <c r="G204" s="8"/>
      <c r="H204" s="8"/>
      <c r="I204" s="60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60"/>
      <c r="B205" s="60"/>
      <c r="C205" s="8"/>
      <c r="D205" s="60"/>
      <c r="E205" s="60"/>
      <c r="F205" s="8"/>
      <c r="G205" s="8"/>
      <c r="H205" s="8"/>
      <c r="I205" s="60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60"/>
      <c r="B206" s="60"/>
      <c r="C206" s="8"/>
      <c r="D206" s="60"/>
      <c r="E206" s="60"/>
      <c r="F206" s="8"/>
      <c r="G206" s="8"/>
      <c r="H206" s="8"/>
      <c r="I206" s="60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60"/>
      <c r="B207" s="60"/>
      <c r="C207" s="8"/>
      <c r="D207" s="60"/>
      <c r="E207" s="60"/>
      <c r="F207" s="8"/>
      <c r="G207" s="8"/>
      <c r="H207" s="8"/>
      <c r="I207" s="60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60"/>
      <c r="B208" s="60"/>
      <c r="C208" s="8"/>
      <c r="D208" s="60"/>
      <c r="E208" s="60"/>
      <c r="F208" s="8"/>
      <c r="G208" s="8"/>
      <c r="H208" s="8"/>
      <c r="I208" s="60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60"/>
      <c r="B209" s="60"/>
      <c r="C209" s="8"/>
      <c r="D209" s="60"/>
      <c r="E209" s="60"/>
      <c r="F209" s="8"/>
      <c r="G209" s="8"/>
      <c r="H209" s="8"/>
      <c r="I209" s="60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60"/>
      <c r="B210" s="60"/>
      <c r="C210" s="8"/>
      <c r="D210" s="60"/>
      <c r="E210" s="60"/>
      <c r="F210" s="8"/>
      <c r="G210" s="8"/>
      <c r="H210" s="8"/>
      <c r="I210" s="60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60"/>
      <c r="B211" s="60"/>
      <c r="C211" s="8"/>
      <c r="D211" s="60"/>
      <c r="E211" s="60"/>
      <c r="F211" s="8"/>
      <c r="G211" s="8"/>
      <c r="H211" s="8"/>
      <c r="I211" s="60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60"/>
      <c r="B212" s="60"/>
      <c r="C212" s="8"/>
      <c r="D212" s="60"/>
      <c r="E212" s="60"/>
      <c r="F212" s="8"/>
      <c r="G212" s="8"/>
      <c r="H212" s="8"/>
      <c r="I212" s="60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60"/>
      <c r="B213" s="60"/>
      <c r="C213" s="8"/>
      <c r="D213" s="60"/>
      <c r="E213" s="60"/>
      <c r="F213" s="8"/>
      <c r="G213" s="8"/>
      <c r="H213" s="8"/>
      <c r="I213" s="60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60"/>
      <c r="B214" s="60"/>
      <c r="C214" s="8"/>
      <c r="D214" s="60"/>
      <c r="E214" s="60"/>
      <c r="F214" s="8"/>
      <c r="G214" s="8"/>
      <c r="H214" s="8"/>
      <c r="I214" s="60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60"/>
      <c r="B215" s="60"/>
      <c r="C215" s="8"/>
      <c r="D215" s="60"/>
      <c r="E215" s="60"/>
      <c r="F215" s="8"/>
      <c r="G215" s="8"/>
      <c r="H215" s="8"/>
      <c r="I215" s="60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60"/>
      <c r="B216" s="60"/>
      <c r="C216" s="8"/>
      <c r="D216" s="60"/>
      <c r="E216" s="60"/>
      <c r="F216" s="8"/>
      <c r="G216" s="8"/>
      <c r="H216" s="8"/>
      <c r="I216" s="60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60"/>
      <c r="B217" s="60"/>
      <c r="C217" s="8"/>
      <c r="D217" s="60"/>
      <c r="E217" s="60"/>
      <c r="F217" s="8"/>
      <c r="G217" s="8"/>
      <c r="H217" s="8"/>
      <c r="I217" s="60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60"/>
      <c r="B218" s="60"/>
      <c r="C218" s="8"/>
      <c r="D218" s="60"/>
      <c r="E218" s="60"/>
      <c r="F218" s="8"/>
      <c r="G218" s="8"/>
      <c r="H218" s="8"/>
      <c r="I218" s="60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60"/>
      <c r="B219" s="60"/>
      <c r="C219" s="8"/>
      <c r="D219" s="60"/>
      <c r="E219" s="60"/>
      <c r="F219" s="8"/>
      <c r="G219" s="8"/>
      <c r="H219" s="8"/>
      <c r="I219" s="60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60"/>
      <c r="B220" s="60"/>
      <c r="C220" s="8"/>
      <c r="D220" s="60"/>
      <c r="E220" s="60"/>
      <c r="F220" s="8"/>
      <c r="G220" s="8"/>
      <c r="H220" s="8"/>
      <c r="I220" s="60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60"/>
      <c r="B221" s="60"/>
      <c r="C221" s="8"/>
      <c r="D221" s="60"/>
      <c r="E221" s="60"/>
      <c r="F221" s="8"/>
      <c r="G221" s="8"/>
      <c r="H221" s="8"/>
      <c r="I221" s="60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60"/>
      <c r="B222" s="60"/>
      <c r="C222" s="8"/>
      <c r="D222" s="60"/>
      <c r="E222" s="60"/>
      <c r="F222" s="8"/>
      <c r="G222" s="8"/>
      <c r="H222" s="8"/>
      <c r="I222" s="60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60"/>
      <c r="B223" s="60"/>
      <c r="C223" s="8"/>
      <c r="D223" s="60"/>
      <c r="E223" s="60"/>
      <c r="F223" s="8"/>
      <c r="G223" s="8"/>
      <c r="H223" s="8"/>
      <c r="I223" s="60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60"/>
      <c r="B224" s="60"/>
      <c r="C224" s="8"/>
      <c r="D224" s="60"/>
      <c r="E224" s="60"/>
      <c r="F224" s="8"/>
      <c r="G224" s="8"/>
      <c r="H224" s="8"/>
      <c r="I224" s="60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60"/>
      <c r="B225" s="60"/>
      <c r="C225" s="8"/>
      <c r="D225" s="60"/>
      <c r="E225" s="60"/>
      <c r="F225" s="8"/>
      <c r="G225" s="8"/>
      <c r="H225" s="8"/>
      <c r="I225" s="60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60"/>
      <c r="B226" s="60"/>
      <c r="C226" s="8"/>
      <c r="D226" s="60"/>
      <c r="E226" s="60"/>
      <c r="F226" s="8"/>
      <c r="G226" s="8"/>
      <c r="H226" s="8"/>
      <c r="I226" s="60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60"/>
      <c r="B227" s="60"/>
      <c r="C227" s="8"/>
      <c r="D227" s="60"/>
      <c r="E227" s="60"/>
      <c r="F227" s="8"/>
      <c r="G227" s="8"/>
      <c r="H227" s="8"/>
      <c r="I227" s="60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60"/>
      <c r="B228" s="60"/>
      <c r="C228" s="8"/>
      <c r="D228" s="60"/>
      <c r="E228" s="60"/>
      <c r="F228" s="8"/>
      <c r="G228" s="8"/>
      <c r="H228" s="8"/>
      <c r="I228" s="60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60"/>
      <c r="B229" s="60"/>
      <c r="C229" s="8"/>
      <c r="D229" s="60"/>
      <c r="E229" s="60"/>
      <c r="F229" s="8"/>
      <c r="G229" s="8"/>
      <c r="H229" s="8"/>
      <c r="I229" s="60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60"/>
      <c r="B230" s="60"/>
      <c r="C230" s="8"/>
      <c r="D230" s="60"/>
      <c r="E230" s="60"/>
      <c r="F230" s="8"/>
      <c r="G230" s="8"/>
      <c r="H230" s="8"/>
      <c r="I230" s="60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60"/>
      <c r="B231" s="60"/>
      <c r="C231" s="8"/>
      <c r="D231" s="60"/>
      <c r="E231" s="60"/>
      <c r="F231" s="8"/>
      <c r="G231" s="8"/>
      <c r="H231" s="8"/>
      <c r="I231" s="60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60"/>
      <c r="B232" s="60"/>
      <c r="C232" s="8"/>
      <c r="D232" s="60"/>
      <c r="E232" s="60"/>
      <c r="F232" s="8"/>
      <c r="G232" s="8"/>
      <c r="H232" s="8"/>
      <c r="I232" s="60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60"/>
      <c r="B233" s="60"/>
      <c r="C233" s="8"/>
      <c r="D233" s="60"/>
      <c r="E233" s="60"/>
      <c r="F233" s="8"/>
      <c r="G233" s="8"/>
      <c r="H233" s="8"/>
      <c r="I233" s="60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60"/>
      <c r="B234" s="60"/>
      <c r="C234" s="8"/>
      <c r="D234" s="60"/>
      <c r="E234" s="60"/>
      <c r="F234" s="8"/>
      <c r="G234" s="8"/>
      <c r="H234" s="8"/>
      <c r="I234" s="60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60"/>
      <c r="B235" s="60"/>
      <c r="C235" s="8"/>
      <c r="D235" s="60"/>
      <c r="E235" s="60"/>
      <c r="F235" s="8"/>
      <c r="G235" s="8"/>
      <c r="H235" s="8"/>
      <c r="I235" s="60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60"/>
      <c r="B236" s="60"/>
      <c r="C236" s="8"/>
      <c r="D236" s="60"/>
      <c r="E236" s="60"/>
      <c r="F236" s="8"/>
      <c r="G236" s="8"/>
      <c r="H236" s="8"/>
      <c r="I236" s="60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60"/>
      <c r="B237" s="60"/>
      <c r="C237" s="8"/>
      <c r="D237" s="60"/>
      <c r="E237" s="60"/>
      <c r="F237" s="8"/>
      <c r="G237" s="8"/>
      <c r="H237" s="8"/>
      <c r="I237" s="60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60"/>
      <c r="B238" s="60"/>
      <c r="C238" s="8"/>
      <c r="D238" s="60"/>
      <c r="E238" s="60"/>
      <c r="F238" s="8"/>
      <c r="G238" s="8"/>
      <c r="H238" s="8"/>
      <c r="I238" s="60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60"/>
      <c r="B239" s="60"/>
      <c r="C239" s="8"/>
      <c r="D239" s="60"/>
      <c r="E239" s="60"/>
      <c r="F239" s="8"/>
      <c r="G239" s="8"/>
      <c r="H239" s="8"/>
      <c r="I239" s="60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60"/>
      <c r="B240" s="60"/>
      <c r="C240" s="8"/>
      <c r="D240" s="60"/>
      <c r="E240" s="60"/>
      <c r="F240" s="8"/>
      <c r="G240" s="8"/>
      <c r="H240" s="8"/>
      <c r="I240" s="60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60"/>
      <c r="B241" s="60"/>
      <c r="C241" s="8"/>
      <c r="D241" s="60"/>
      <c r="E241" s="60"/>
      <c r="F241" s="8"/>
      <c r="G241" s="8"/>
      <c r="H241" s="8"/>
      <c r="I241" s="60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60"/>
      <c r="B242" s="60"/>
      <c r="C242" s="8"/>
      <c r="D242" s="60"/>
      <c r="E242" s="60"/>
      <c r="F242" s="8"/>
      <c r="G242" s="8"/>
      <c r="H242" s="8"/>
      <c r="I242" s="60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60"/>
      <c r="B243" s="60"/>
      <c r="C243" s="8"/>
      <c r="D243" s="60"/>
      <c r="E243" s="60"/>
      <c r="F243" s="8"/>
      <c r="G243" s="8"/>
      <c r="H243" s="8"/>
      <c r="I243" s="60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60"/>
      <c r="B244" s="60"/>
      <c r="C244" s="8"/>
      <c r="D244" s="60"/>
      <c r="E244" s="60"/>
      <c r="F244" s="8"/>
      <c r="G244" s="8"/>
      <c r="H244" s="8"/>
      <c r="I244" s="60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60"/>
      <c r="B245" s="60"/>
      <c r="C245" s="8"/>
      <c r="D245" s="60"/>
      <c r="E245" s="60"/>
      <c r="F245" s="8"/>
      <c r="G245" s="8"/>
      <c r="H245" s="8"/>
      <c r="I245" s="60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60"/>
      <c r="B246" s="60"/>
      <c r="C246" s="8"/>
      <c r="D246" s="60"/>
      <c r="E246" s="60"/>
      <c r="F246" s="8"/>
      <c r="G246" s="8"/>
      <c r="H246" s="8"/>
      <c r="I246" s="60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60"/>
      <c r="B247" s="60"/>
      <c r="C247" s="8"/>
      <c r="D247" s="60"/>
      <c r="E247" s="60"/>
      <c r="F247" s="8"/>
      <c r="G247" s="8"/>
      <c r="H247" s="8"/>
      <c r="I247" s="60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60"/>
      <c r="B248" s="60"/>
      <c r="C248" s="8"/>
      <c r="D248" s="60"/>
      <c r="E248" s="60"/>
      <c r="F248" s="8"/>
      <c r="G248" s="8"/>
      <c r="H248" s="8"/>
      <c r="I248" s="60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60"/>
      <c r="B249" s="60"/>
      <c r="C249" s="8"/>
      <c r="D249" s="60"/>
      <c r="E249" s="60"/>
      <c r="F249" s="8"/>
      <c r="G249" s="8"/>
      <c r="H249" s="8"/>
      <c r="I249" s="60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60"/>
      <c r="B250" s="60"/>
      <c r="C250" s="8"/>
      <c r="D250" s="60"/>
      <c r="E250" s="60"/>
      <c r="F250" s="8"/>
      <c r="G250" s="8"/>
      <c r="H250" s="8"/>
      <c r="I250" s="60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60"/>
      <c r="B251" s="60"/>
      <c r="C251" s="8"/>
      <c r="D251" s="60"/>
      <c r="E251" s="60"/>
      <c r="F251" s="8"/>
      <c r="G251" s="8"/>
      <c r="H251" s="8"/>
      <c r="I251" s="60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60"/>
      <c r="B252" s="60"/>
      <c r="C252" s="8"/>
      <c r="D252" s="60"/>
      <c r="E252" s="60"/>
      <c r="F252" s="8"/>
      <c r="G252" s="8"/>
      <c r="H252" s="8"/>
      <c r="I252" s="60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60"/>
      <c r="B253" s="60"/>
      <c r="C253" s="8"/>
      <c r="D253" s="60"/>
      <c r="E253" s="60"/>
      <c r="F253" s="8"/>
      <c r="G253" s="8"/>
      <c r="H253" s="8"/>
      <c r="I253" s="60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60"/>
      <c r="B254" s="60"/>
      <c r="C254" s="8"/>
      <c r="D254" s="60"/>
      <c r="E254" s="60"/>
      <c r="F254" s="8"/>
      <c r="G254" s="8"/>
      <c r="H254" s="8"/>
      <c r="I254" s="60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60"/>
      <c r="B255" s="60"/>
      <c r="C255" s="8"/>
      <c r="D255" s="60"/>
      <c r="E255" s="60"/>
      <c r="F255" s="8"/>
      <c r="G255" s="8"/>
      <c r="H255" s="8"/>
      <c r="I255" s="60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60"/>
      <c r="B256" s="60"/>
      <c r="C256" s="8"/>
      <c r="D256" s="60"/>
      <c r="E256" s="60"/>
      <c r="F256" s="8"/>
      <c r="G256" s="8"/>
      <c r="H256" s="8"/>
      <c r="I256" s="60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60"/>
      <c r="B257" s="60"/>
      <c r="C257" s="8"/>
      <c r="D257" s="60"/>
      <c r="E257" s="60"/>
      <c r="F257" s="8"/>
      <c r="G257" s="8"/>
      <c r="H257" s="8"/>
      <c r="I257" s="60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60"/>
      <c r="B258" s="60"/>
      <c r="C258" s="8"/>
      <c r="D258" s="60"/>
      <c r="E258" s="60"/>
      <c r="F258" s="8"/>
      <c r="G258" s="8"/>
      <c r="H258" s="8"/>
      <c r="I258" s="60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60"/>
      <c r="B259" s="60"/>
      <c r="C259" s="8"/>
      <c r="D259" s="60"/>
      <c r="E259" s="60"/>
      <c r="F259" s="8"/>
      <c r="G259" s="8"/>
      <c r="H259" s="8"/>
      <c r="I259" s="60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60"/>
      <c r="B260" s="60"/>
      <c r="C260" s="8"/>
      <c r="D260" s="60"/>
      <c r="E260" s="60"/>
      <c r="F260" s="8"/>
      <c r="G260" s="8"/>
      <c r="H260" s="8"/>
      <c r="I260" s="60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60"/>
      <c r="B261" s="60"/>
      <c r="C261" s="8"/>
      <c r="D261" s="60"/>
      <c r="E261" s="60"/>
      <c r="F261" s="8"/>
      <c r="G261" s="8"/>
      <c r="H261" s="8"/>
      <c r="I261" s="60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60"/>
      <c r="B262" s="60"/>
      <c r="C262" s="8"/>
      <c r="D262" s="60"/>
      <c r="E262" s="60"/>
      <c r="F262" s="8"/>
      <c r="G262" s="8"/>
      <c r="H262" s="8"/>
      <c r="I262" s="60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60"/>
      <c r="B263" s="60"/>
      <c r="C263" s="8"/>
      <c r="D263" s="60"/>
      <c r="E263" s="60"/>
      <c r="F263" s="8"/>
      <c r="G263" s="8"/>
      <c r="H263" s="8"/>
      <c r="I263" s="60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60"/>
      <c r="B264" s="60"/>
      <c r="C264" s="8"/>
      <c r="D264" s="60"/>
      <c r="E264" s="60"/>
      <c r="F264" s="8"/>
      <c r="G264" s="8"/>
      <c r="H264" s="8"/>
      <c r="I264" s="60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60"/>
      <c r="B265" s="60"/>
      <c r="C265" s="8"/>
      <c r="D265" s="60"/>
      <c r="E265" s="60"/>
      <c r="F265" s="8"/>
      <c r="G265" s="8"/>
      <c r="H265" s="8"/>
      <c r="I265" s="60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60"/>
      <c r="B266" s="60"/>
      <c r="C266" s="8"/>
      <c r="D266" s="60"/>
      <c r="E266" s="60"/>
      <c r="F266" s="8"/>
      <c r="G266" s="8"/>
      <c r="H266" s="8"/>
      <c r="I266" s="60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60"/>
      <c r="B267" s="60"/>
      <c r="C267" s="8"/>
      <c r="D267" s="60"/>
      <c r="E267" s="60"/>
      <c r="F267" s="8"/>
      <c r="G267" s="8"/>
      <c r="H267" s="8"/>
      <c r="I267" s="60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60"/>
      <c r="B268" s="60"/>
      <c r="C268" s="8"/>
      <c r="D268" s="60"/>
      <c r="E268" s="60"/>
      <c r="F268" s="8"/>
      <c r="G268" s="8"/>
      <c r="H268" s="8"/>
      <c r="I268" s="60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60"/>
      <c r="B269" s="60"/>
      <c r="C269" s="8"/>
      <c r="D269" s="60"/>
      <c r="E269" s="60"/>
      <c r="F269" s="8"/>
      <c r="G269" s="8"/>
      <c r="H269" s="8"/>
      <c r="I269" s="60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60"/>
      <c r="B270" s="60"/>
      <c r="C270" s="8"/>
      <c r="D270" s="60"/>
      <c r="E270" s="60"/>
      <c r="F270" s="8"/>
      <c r="G270" s="8"/>
      <c r="H270" s="8"/>
      <c r="I270" s="60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60"/>
      <c r="B271" s="60"/>
      <c r="C271" s="8"/>
      <c r="D271" s="60"/>
      <c r="E271" s="60"/>
      <c r="F271" s="8"/>
      <c r="G271" s="8"/>
      <c r="H271" s="8"/>
      <c r="I271" s="60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60"/>
      <c r="B272" s="60"/>
      <c r="C272" s="8"/>
      <c r="D272" s="60"/>
      <c r="E272" s="60"/>
      <c r="F272" s="8"/>
      <c r="G272" s="8"/>
      <c r="H272" s="8"/>
      <c r="I272" s="60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60"/>
      <c r="B273" s="60"/>
      <c r="C273" s="8"/>
      <c r="D273" s="60"/>
      <c r="E273" s="60"/>
      <c r="F273" s="8"/>
      <c r="G273" s="8"/>
      <c r="H273" s="8"/>
      <c r="I273" s="60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60"/>
      <c r="B274" s="60"/>
      <c r="C274" s="8"/>
      <c r="D274" s="60"/>
      <c r="E274" s="60"/>
      <c r="F274" s="8"/>
      <c r="G274" s="8"/>
      <c r="H274" s="8"/>
      <c r="I274" s="60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60"/>
      <c r="B275" s="60"/>
      <c r="C275" s="8"/>
      <c r="D275" s="60"/>
      <c r="E275" s="60"/>
      <c r="F275" s="8"/>
      <c r="G275" s="8"/>
      <c r="H275" s="8"/>
      <c r="I275" s="60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60"/>
      <c r="B276" s="60"/>
      <c r="C276" s="8"/>
      <c r="D276" s="60"/>
      <c r="E276" s="60"/>
      <c r="F276" s="8"/>
      <c r="G276" s="8"/>
      <c r="H276" s="8"/>
      <c r="I276" s="60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60"/>
      <c r="B277" s="60"/>
      <c r="C277" s="8"/>
      <c r="D277" s="60"/>
      <c r="E277" s="60"/>
      <c r="F277" s="8"/>
      <c r="G277" s="8"/>
      <c r="H277" s="8"/>
      <c r="I277" s="60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60"/>
      <c r="B278" s="60"/>
      <c r="C278" s="8"/>
      <c r="D278" s="60"/>
      <c r="E278" s="60"/>
      <c r="F278" s="8"/>
      <c r="G278" s="8"/>
      <c r="H278" s="8"/>
      <c r="I278" s="60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60"/>
      <c r="B279" s="60"/>
      <c r="C279" s="8"/>
      <c r="D279" s="60"/>
      <c r="E279" s="60"/>
      <c r="F279" s="8"/>
      <c r="G279" s="8"/>
      <c r="H279" s="8"/>
      <c r="I279" s="60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60"/>
      <c r="B280" s="60"/>
      <c r="C280" s="8"/>
      <c r="D280" s="60"/>
      <c r="E280" s="60"/>
      <c r="F280" s="8"/>
      <c r="G280" s="8"/>
      <c r="H280" s="8"/>
      <c r="I280" s="60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60"/>
      <c r="B281" s="60"/>
      <c r="C281" s="8"/>
      <c r="D281" s="60"/>
      <c r="E281" s="60"/>
      <c r="F281" s="8"/>
      <c r="G281" s="8"/>
      <c r="H281" s="8"/>
      <c r="I281" s="60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60"/>
      <c r="B282" s="60"/>
      <c r="C282" s="8"/>
      <c r="D282" s="60"/>
      <c r="E282" s="60"/>
      <c r="F282" s="8"/>
      <c r="G282" s="8"/>
      <c r="H282" s="8"/>
      <c r="I282" s="60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60"/>
      <c r="B283" s="60"/>
      <c r="C283" s="8"/>
      <c r="D283" s="60"/>
      <c r="E283" s="60"/>
      <c r="F283" s="8"/>
      <c r="G283" s="8"/>
      <c r="H283" s="8"/>
      <c r="I283" s="60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60"/>
      <c r="B284" s="60"/>
      <c r="C284" s="8"/>
      <c r="D284" s="60"/>
      <c r="E284" s="60"/>
      <c r="F284" s="8"/>
      <c r="G284" s="8"/>
      <c r="H284" s="8"/>
      <c r="I284" s="60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60"/>
      <c r="B285" s="60"/>
      <c r="C285" s="8"/>
      <c r="D285" s="60"/>
      <c r="E285" s="60"/>
      <c r="F285" s="8"/>
      <c r="G285" s="8"/>
      <c r="H285" s="8"/>
      <c r="I285" s="60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60"/>
      <c r="B286" s="60"/>
      <c r="C286" s="8"/>
      <c r="D286" s="60"/>
      <c r="E286" s="60"/>
      <c r="F286" s="8"/>
      <c r="G286" s="8"/>
      <c r="H286" s="8"/>
      <c r="I286" s="60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60"/>
      <c r="B287" s="60"/>
      <c r="C287" s="8"/>
      <c r="D287" s="60"/>
      <c r="E287" s="60"/>
      <c r="F287" s="8"/>
      <c r="G287" s="8"/>
      <c r="H287" s="8"/>
      <c r="I287" s="60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60"/>
      <c r="B288" s="60"/>
      <c r="C288" s="8"/>
      <c r="D288" s="60"/>
      <c r="E288" s="60"/>
      <c r="F288" s="8"/>
      <c r="G288" s="8"/>
      <c r="H288" s="8"/>
      <c r="I288" s="60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60"/>
      <c r="B289" s="60"/>
      <c r="C289" s="8"/>
      <c r="D289" s="60"/>
      <c r="E289" s="60"/>
      <c r="F289" s="8"/>
      <c r="G289" s="8"/>
      <c r="H289" s="8"/>
      <c r="I289" s="60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60"/>
      <c r="B290" s="60"/>
      <c r="C290" s="8"/>
      <c r="D290" s="60"/>
      <c r="E290" s="60"/>
      <c r="F290" s="8"/>
      <c r="G290" s="8"/>
      <c r="H290" s="8"/>
      <c r="I290" s="60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60"/>
      <c r="B291" s="60"/>
      <c r="C291" s="8"/>
      <c r="D291" s="60"/>
      <c r="E291" s="60"/>
      <c r="F291" s="8"/>
      <c r="G291" s="8"/>
      <c r="H291" s="8"/>
      <c r="I291" s="60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60"/>
      <c r="B292" s="60"/>
      <c r="C292" s="8"/>
      <c r="D292" s="60"/>
      <c r="E292" s="60"/>
      <c r="F292" s="8"/>
      <c r="G292" s="8"/>
      <c r="H292" s="8"/>
      <c r="I292" s="60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60"/>
      <c r="B293" s="60"/>
      <c r="C293" s="8"/>
      <c r="D293" s="60"/>
      <c r="E293" s="60"/>
      <c r="F293" s="8"/>
      <c r="G293" s="8"/>
      <c r="H293" s="8"/>
      <c r="I293" s="60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60"/>
      <c r="B294" s="60"/>
      <c r="C294" s="8"/>
      <c r="D294" s="60"/>
      <c r="E294" s="60"/>
      <c r="F294" s="8"/>
      <c r="G294" s="8"/>
      <c r="H294" s="8"/>
      <c r="I294" s="60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60"/>
      <c r="B295" s="60"/>
      <c r="C295" s="8"/>
      <c r="D295" s="60"/>
      <c r="E295" s="60"/>
      <c r="F295" s="8"/>
      <c r="G295" s="8"/>
      <c r="H295" s="8"/>
      <c r="I295" s="60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60"/>
      <c r="B296" s="60"/>
      <c r="C296" s="8"/>
      <c r="D296" s="60"/>
      <c r="E296" s="60"/>
      <c r="F296" s="8"/>
      <c r="G296" s="8"/>
      <c r="H296" s="8"/>
      <c r="I296" s="60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60"/>
      <c r="B297" s="60"/>
      <c r="C297" s="8"/>
      <c r="D297" s="60"/>
      <c r="E297" s="60"/>
      <c r="F297" s="8"/>
      <c r="G297" s="8"/>
      <c r="H297" s="8"/>
      <c r="I297" s="60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60"/>
      <c r="B298" s="60"/>
      <c r="C298" s="8"/>
      <c r="D298" s="60"/>
      <c r="E298" s="60"/>
      <c r="F298" s="8"/>
      <c r="G298" s="8"/>
      <c r="H298" s="8"/>
      <c r="I298" s="60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60"/>
      <c r="B299" s="60"/>
      <c r="C299" s="8"/>
      <c r="D299" s="60"/>
      <c r="E299" s="60"/>
      <c r="F299" s="8"/>
      <c r="G299" s="8"/>
      <c r="H299" s="8"/>
      <c r="I299" s="60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60"/>
      <c r="B300" s="60"/>
      <c r="C300" s="8"/>
      <c r="D300" s="60"/>
      <c r="E300" s="60"/>
      <c r="F300" s="8"/>
      <c r="G300" s="8"/>
      <c r="H300" s="8"/>
      <c r="I300" s="60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60"/>
      <c r="B301" s="60"/>
      <c r="C301" s="8"/>
      <c r="D301" s="60"/>
      <c r="E301" s="60"/>
      <c r="F301" s="8"/>
      <c r="G301" s="8"/>
      <c r="H301" s="8"/>
      <c r="I301" s="60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60"/>
      <c r="B302" s="60"/>
      <c r="C302" s="8"/>
      <c r="D302" s="60"/>
      <c r="E302" s="60"/>
      <c r="F302" s="8"/>
      <c r="G302" s="8"/>
      <c r="H302" s="8"/>
      <c r="I302" s="60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60"/>
      <c r="B303" s="60"/>
      <c r="C303" s="8"/>
      <c r="D303" s="60"/>
      <c r="E303" s="60"/>
      <c r="F303" s="8"/>
      <c r="G303" s="8"/>
      <c r="H303" s="8"/>
      <c r="I303" s="60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60"/>
      <c r="B304" s="60"/>
      <c r="C304" s="8"/>
      <c r="D304" s="60"/>
      <c r="E304" s="60"/>
      <c r="F304" s="8"/>
      <c r="G304" s="8"/>
      <c r="H304" s="8"/>
      <c r="I304" s="60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60"/>
      <c r="B305" s="60"/>
      <c r="C305" s="8"/>
      <c r="D305" s="60"/>
      <c r="E305" s="60"/>
      <c r="F305" s="8"/>
      <c r="G305" s="8"/>
      <c r="H305" s="8"/>
      <c r="I305" s="60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60"/>
      <c r="B306" s="60"/>
      <c r="C306" s="8"/>
      <c r="D306" s="60"/>
      <c r="E306" s="60"/>
      <c r="F306" s="8"/>
      <c r="G306" s="8"/>
      <c r="H306" s="8"/>
      <c r="I306" s="60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60"/>
      <c r="B307" s="60"/>
      <c r="C307" s="8"/>
      <c r="D307" s="60"/>
      <c r="E307" s="60"/>
      <c r="F307" s="8"/>
      <c r="G307" s="8"/>
      <c r="H307" s="8"/>
      <c r="I307" s="60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60"/>
      <c r="B308" s="60"/>
      <c r="C308" s="8"/>
      <c r="D308" s="60"/>
      <c r="E308" s="60"/>
      <c r="F308" s="8"/>
      <c r="G308" s="8"/>
      <c r="H308" s="8"/>
      <c r="I308" s="60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60"/>
      <c r="B309" s="60"/>
      <c r="C309" s="8"/>
      <c r="D309" s="60"/>
      <c r="E309" s="60"/>
      <c r="F309" s="8"/>
      <c r="G309" s="8"/>
      <c r="H309" s="8"/>
      <c r="I309" s="60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60"/>
      <c r="B310" s="60"/>
      <c r="C310" s="8"/>
      <c r="D310" s="60"/>
      <c r="E310" s="60"/>
      <c r="F310" s="8"/>
      <c r="G310" s="8"/>
      <c r="H310" s="8"/>
      <c r="I310" s="60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60"/>
      <c r="B311" s="60"/>
      <c r="C311" s="8"/>
      <c r="D311" s="60"/>
      <c r="E311" s="60"/>
      <c r="F311" s="8"/>
      <c r="G311" s="8"/>
      <c r="H311" s="8"/>
      <c r="I311" s="60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60"/>
      <c r="B312" s="60"/>
      <c r="C312" s="8"/>
      <c r="D312" s="60"/>
      <c r="E312" s="60"/>
      <c r="F312" s="8"/>
      <c r="G312" s="8"/>
      <c r="H312" s="8"/>
      <c r="I312" s="60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60"/>
      <c r="B313" s="60"/>
      <c r="C313" s="8"/>
      <c r="D313" s="60"/>
      <c r="E313" s="60"/>
      <c r="F313" s="8"/>
      <c r="G313" s="8"/>
      <c r="H313" s="8"/>
      <c r="I313" s="60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60"/>
      <c r="B314" s="60"/>
      <c r="C314" s="8"/>
      <c r="D314" s="60"/>
      <c r="E314" s="60"/>
      <c r="F314" s="8"/>
      <c r="G314" s="8"/>
      <c r="H314" s="8"/>
      <c r="I314" s="60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60"/>
      <c r="B315" s="60"/>
      <c r="C315" s="8"/>
      <c r="D315" s="60"/>
      <c r="E315" s="60"/>
      <c r="F315" s="8"/>
      <c r="G315" s="8"/>
      <c r="H315" s="8"/>
      <c r="I315" s="60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60"/>
      <c r="B316" s="60"/>
      <c r="C316" s="8"/>
      <c r="D316" s="60"/>
      <c r="E316" s="60"/>
      <c r="F316" s="8"/>
      <c r="G316" s="8"/>
      <c r="H316" s="8"/>
      <c r="I316" s="60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60"/>
      <c r="B317" s="60"/>
      <c r="C317" s="8"/>
      <c r="D317" s="60"/>
      <c r="E317" s="60"/>
      <c r="F317" s="8"/>
      <c r="G317" s="8"/>
      <c r="H317" s="8"/>
      <c r="I317" s="60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60"/>
      <c r="B318" s="60"/>
      <c r="C318" s="8"/>
      <c r="D318" s="60"/>
      <c r="E318" s="60"/>
      <c r="F318" s="8"/>
      <c r="G318" s="8"/>
      <c r="H318" s="8"/>
      <c r="I318" s="60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60"/>
      <c r="B319" s="60"/>
      <c r="C319" s="8"/>
      <c r="D319" s="60"/>
      <c r="E319" s="60"/>
      <c r="F319" s="8"/>
      <c r="G319" s="8"/>
      <c r="H319" s="8"/>
      <c r="I319" s="60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60"/>
      <c r="B320" s="60"/>
      <c r="C320" s="8"/>
      <c r="D320" s="60"/>
      <c r="E320" s="60"/>
      <c r="F320" s="8"/>
      <c r="G320" s="8"/>
      <c r="H320" s="8"/>
      <c r="I320" s="60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60"/>
      <c r="B321" s="60"/>
      <c r="C321" s="8"/>
      <c r="D321" s="60"/>
      <c r="E321" s="60"/>
      <c r="F321" s="8"/>
      <c r="G321" s="8"/>
      <c r="H321" s="8"/>
      <c r="I321" s="60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60"/>
      <c r="B322" s="60"/>
      <c r="C322" s="8"/>
      <c r="D322" s="60"/>
      <c r="E322" s="60"/>
      <c r="F322" s="8"/>
      <c r="G322" s="8"/>
      <c r="H322" s="8"/>
      <c r="I322" s="60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60"/>
      <c r="B323" s="60"/>
      <c r="C323" s="8"/>
      <c r="D323" s="60"/>
      <c r="E323" s="60"/>
      <c r="F323" s="8"/>
      <c r="G323" s="8"/>
      <c r="H323" s="8"/>
      <c r="I323" s="60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60"/>
      <c r="B324" s="60"/>
      <c r="C324" s="8"/>
      <c r="D324" s="60"/>
      <c r="E324" s="60"/>
      <c r="F324" s="8"/>
      <c r="G324" s="8"/>
      <c r="H324" s="8"/>
      <c r="I324" s="60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60"/>
      <c r="B325" s="60"/>
      <c r="C325" s="8"/>
      <c r="D325" s="60"/>
      <c r="E325" s="60"/>
      <c r="F325" s="8"/>
      <c r="G325" s="8"/>
      <c r="H325" s="8"/>
      <c r="I325" s="60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60"/>
      <c r="B326" s="60"/>
      <c r="C326" s="8"/>
      <c r="D326" s="60"/>
      <c r="E326" s="60"/>
      <c r="F326" s="8"/>
      <c r="G326" s="8"/>
      <c r="H326" s="8"/>
      <c r="I326" s="60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60"/>
      <c r="B327" s="60"/>
      <c r="C327" s="8"/>
      <c r="D327" s="60"/>
      <c r="E327" s="60"/>
      <c r="F327" s="8"/>
      <c r="G327" s="8"/>
      <c r="H327" s="8"/>
      <c r="I327" s="60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60"/>
      <c r="B328" s="60"/>
      <c r="C328" s="8"/>
      <c r="D328" s="60"/>
      <c r="E328" s="60"/>
      <c r="F328" s="8"/>
      <c r="G328" s="8"/>
      <c r="H328" s="8"/>
      <c r="I328" s="60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60"/>
      <c r="B329" s="60"/>
      <c r="C329" s="8"/>
      <c r="D329" s="60"/>
      <c r="E329" s="60"/>
      <c r="F329" s="8"/>
      <c r="G329" s="8"/>
      <c r="H329" s="8"/>
      <c r="I329" s="60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60"/>
      <c r="B330" s="60"/>
      <c r="C330" s="8"/>
      <c r="D330" s="60"/>
      <c r="E330" s="60"/>
      <c r="F330" s="8"/>
      <c r="G330" s="8"/>
      <c r="H330" s="8"/>
      <c r="I330" s="60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60"/>
      <c r="B331" s="60"/>
      <c r="C331" s="8"/>
      <c r="D331" s="60"/>
      <c r="E331" s="60"/>
      <c r="F331" s="8"/>
      <c r="G331" s="8"/>
      <c r="H331" s="8"/>
      <c r="I331" s="60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60"/>
      <c r="B332" s="60"/>
      <c r="C332" s="8"/>
      <c r="D332" s="60"/>
      <c r="E332" s="60"/>
      <c r="F332" s="8"/>
      <c r="G332" s="8"/>
      <c r="H332" s="8"/>
      <c r="I332" s="60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60"/>
      <c r="B333" s="60"/>
      <c r="C333" s="8"/>
      <c r="D333" s="60"/>
      <c r="E333" s="60"/>
      <c r="F333" s="8"/>
      <c r="G333" s="8"/>
      <c r="H333" s="8"/>
      <c r="I333" s="60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60"/>
      <c r="B334" s="60"/>
      <c r="C334" s="8"/>
      <c r="D334" s="60"/>
      <c r="E334" s="60"/>
      <c r="F334" s="8"/>
      <c r="G334" s="8"/>
      <c r="H334" s="8"/>
      <c r="I334" s="60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60"/>
      <c r="B335" s="60"/>
      <c r="C335" s="8"/>
      <c r="D335" s="60"/>
      <c r="E335" s="60"/>
      <c r="F335" s="8"/>
      <c r="G335" s="8"/>
      <c r="H335" s="8"/>
      <c r="I335" s="60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60"/>
      <c r="B336" s="60"/>
      <c r="C336" s="8"/>
      <c r="D336" s="60"/>
      <c r="E336" s="60"/>
      <c r="F336" s="8"/>
      <c r="G336" s="8"/>
      <c r="H336" s="8"/>
      <c r="I336" s="60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60"/>
      <c r="B337" s="60"/>
      <c r="C337" s="8"/>
      <c r="D337" s="60"/>
      <c r="E337" s="60"/>
      <c r="F337" s="8"/>
      <c r="G337" s="8"/>
      <c r="H337" s="8"/>
      <c r="I337" s="60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60"/>
      <c r="B338" s="60"/>
      <c r="C338" s="8"/>
      <c r="D338" s="60"/>
      <c r="E338" s="60"/>
      <c r="F338" s="8"/>
      <c r="G338" s="8"/>
      <c r="H338" s="8"/>
      <c r="I338" s="60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60"/>
      <c r="B339" s="60"/>
      <c r="C339" s="8"/>
      <c r="D339" s="60"/>
      <c r="E339" s="60"/>
      <c r="F339" s="8"/>
      <c r="G339" s="8"/>
      <c r="H339" s="8"/>
      <c r="I339" s="60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60"/>
      <c r="B340" s="60"/>
      <c r="C340" s="8"/>
      <c r="D340" s="60"/>
      <c r="E340" s="60"/>
      <c r="F340" s="8"/>
      <c r="G340" s="8"/>
      <c r="H340" s="8"/>
      <c r="I340" s="60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60"/>
      <c r="B341" s="60"/>
      <c r="C341" s="8"/>
      <c r="D341" s="60"/>
      <c r="E341" s="60"/>
      <c r="F341" s="8"/>
      <c r="G341" s="8"/>
      <c r="H341" s="8"/>
      <c r="I341" s="60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60"/>
      <c r="B342" s="60"/>
      <c r="C342" s="8"/>
      <c r="D342" s="60"/>
      <c r="E342" s="60"/>
      <c r="F342" s="8"/>
      <c r="G342" s="8"/>
      <c r="H342" s="8"/>
      <c r="I342" s="60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60"/>
      <c r="B343" s="60"/>
      <c r="C343" s="8"/>
      <c r="D343" s="60"/>
      <c r="E343" s="60"/>
      <c r="F343" s="8"/>
      <c r="G343" s="8"/>
      <c r="H343" s="8"/>
      <c r="I343" s="60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60"/>
      <c r="B344" s="60"/>
      <c r="C344" s="8"/>
      <c r="D344" s="60"/>
      <c r="E344" s="60"/>
      <c r="F344" s="8"/>
      <c r="G344" s="8"/>
      <c r="H344" s="8"/>
      <c r="I344" s="60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60"/>
      <c r="B345" s="60"/>
      <c r="C345" s="8"/>
      <c r="D345" s="60"/>
      <c r="E345" s="60"/>
      <c r="F345" s="8"/>
      <c r="G345" s="8"/>
      <c r="H345" s="8"/>
      <c r="I345" s="60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60"/>
      <c r="B346" s="60"/>
      <c r="C346" s="8"/>
      <c r="D346" s="60"/>
      <c r="E346" s="60"/>
      <c r="F346" s="8"/>
      <c r="G346" s="8"/>
      <c r="H346" s="8"/>
      <c r="I346" s="60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60"/>
      <c r="B347" s="60"/>
      <c r="C347" s="8"/>
      <c r="D347" s="60"/>
      <c r="E347" s="60"/>
      <c r="F347" s="8"/>
      <c r="G347" s="8"/>
      <c r="H347" s="8"/>
      <c r="I347" s="60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60"/>
      <c r="B348" s="60"/>
      <c r="C348" s="8"/>
      <c r="D348" s="60"/>
      <c r="E348" s="60"/>
      <c r="F348" s="8"/>
      <c r="G348" s="8"/>
      <c r="H348" s="8"/>
      <c r="I348" s="60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60"/>
      <c r="B349" s="60"/>
      <c r="C349" s="8"/>
      <c r="D349" s="60"/>
      <c r="E349" s="60"/>
      <c r="F349" s="8"/>
      <c r="G349" s="8"/>
      <c r="H349" s="8"/>
      <c r="I349" s="60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60"/>
      <c r="B350" s="60"/>
      <c r="C350" s="8"/>
      <c r="D350" s="60"/>
      <c r="E350" s="60"/>
      <c r="F350" s="8"/>
      <c r="G350" s="8"/>
      <c r="H350" s="8"/>
      <c r="I350" s="60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60"/>
      <c r="B351" s="60"/>
      <c r="C351" s="8"/>
      <c r="D351" s="60"/>
      <c r="E351" s="60"/>
      <c r="F351" s="8"/>
      <c r="G351" s="8"/>
      <c r="H351" s="8"/>
      <c r="I351" s="60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60"/>
      <c r="B352" s="60"/>
      <c r="C352" s="8"/>
      <c r="D352" s="60"/>
      <c r="E352" s="60"/>
      <c r="F352" s="8"/>
      <c r="G352" s="8"/>
      <c r="H352" s="8"/>
      <c r="I352" s="60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60"/>
      <c r="B353" s="60"/>
      <c r="C353" s="8"/>
      <c r="D353" s="60"/>
      <c r="E353" s="60"/>
      <c r="F353" s="8"/>
      <c r="G353" s="8"/>
      <c r="H353" s="8"/>
      <c r="I353" s="60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60"/>
      <c r="B354" s="60"/>
      <c r="C354" s="8"/>
      <c r="D354" s="60"/>
      <c r="E354" s="60"/>
      <c r="F354" s="8"/>
      <c r="G354" s="8"/>
      <c r="H354" s="8"/>
      <c r="I354" s="60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60"/>
      <c r="B355" s="60"/>
      <c r="C355" s="8"/>
      <c r="D355" s="60"/>
      <c r="E355" s="60"/>
      <c r="F355" s="8"/>
      <c r="G355" s="8"/>
      <c r="H355" s="8"/>
      <c r="I355" s="60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60"/>
      <c r="B356" s="60"/>
      <c r="C356" s="8"/>
      <c r="D356" s="60"/>
      <c r="E356" s="60"/>
      <c r="F356" s="8"/>
      <c r="G356" s="8"/>
      <c r="H356" s="8"/>
      <c r="I356" s="60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60"/>
      <c r="B357" s="60"/>
      <c r="C357" s="8"/>
      <c r="D357" s="60"/>
      <c r="E357" s="60"/>
      <c r="F357" s="8"/>
      <c r="G357" s="8"/>
      <c r="H357" s="8"/>
      <c r="I357" s="60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60"/>
      <c r="B358" s="60"/>
      <c r="C358" s="8"/>
      <c r="D358" s="60"/>
      <c r="E358" s="60"/>
      <c r="F358" s="8"/>
      <c r="G358" s="8"/>
      <c r="H358" s="8"/>
      <c r="I358" s="60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60"/>
      <c r="B359" s="60"/>
      <c r="C359" s="8"/>
      <c r="D359" s="60"/>
      <c r="E359" s="60"/>
      <c r="F359" s="8"/>
      <c r="G359" s="8"/>
      <c r="H359" s="8"/>
      <c r="I359" s="60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60"/>
      <c r="B360" s="60"/>
      <c r="C360" s="8"/>
      <c r="D360" s="60"/>
      <c r="E360" s="60"/>
      <c r="F360" s="8"/>
      <c r="G360" s="8"/>
      <c r="H360" s="8"/>
      <c r="I360" s="60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60"/>
      <c r="B361" s="60"/>
      <c r="C361" s="8"/>
      <c r="D361" s="60"/>
      <c r="E361" s="60"/>
      <c r="F361" s="8"/>
      <c r="G361" s="8"/>
      <c r="H361" s="8"/>
      <c r="I361" s="60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60"/>
      <c r="B362" s="60"/>
      <c r="C362" s="8"/>
      <c r="D362" s="60"/>
      <c r="E362" s="60"/>
      <c r="F362" s="8"/>
      <c r="G362" s="8"/>
      <c r="H362" s="8"/>
      <c r="I362" s="60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60"/>
      <c r="B363" s="60"/>
      <c r="C363" s="8"/>
      <c r="D363" s="60"/>
      <c r="E363" s="60"/>
      <c r="F363" s="8"/>
      <c r="G363" s="8"/>
      <c r="H363" s="8"/>
      <c r="I363" s="60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60"/>
      <c r="B364" s="60"/>
      <c r="C364" s="8"/>
      <c r="D364" s="60"/>
      <c r="E364" s="60"/>
      <c r="F364" s="8"/>
      <c r="G364" s="8"/>
      <c r="H364" s="8"/>
      <c r="I364" s="60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60"/>
      <c r="B365" s="60"/>
      <c r="C365" s="8"/>
      <c r="D365" s="60"/>
      <c r="E365" s="60"/>
      <c r="F365" s="8"/>
      <c r="G365" s="8"/>
      <c r="H365" s="8"/>
      <c r="I365" s="60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60"/>
      <c r="B366" s="60"/>
      <c r="C366" s="8"/>
      <c r="D366" s="60"/>
      <c r="E366" s="60"/>
      <c r="F366" s="8"/>
      <c r="G366" s="8"/>
      <c r="H366" s="8"/>
      <c r="I366" s="60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60"/>
      <c r="B367" s="60"/>
      <c r="C367" s="8"/>
      <c r="D367" s="60"/>
      <c r="E367" s="60"/>
      <c r="F367" s="8"/>
      <c r="G367" s="8"/>
      <c r="H367" s="8"/>
      <c r="I367" s="60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60"/>
      <c r="B368" s="60"/>
      <c r="C368" s="8"/>
      <c r="D368" s="60"/>
      <c r="E368" s="60"/>
      <c r="F368" s="8"/>
      <c r="G368" s="8"/>
      <c r="H368" s="8"/>
      <c r="I368" s="60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60"/>
      <c r="B369" s="60"/>
      <c r="C369" s="8"/>
      <c r="D369" s="60"/>
      <c r="E369" s="60"/>
      <c r="F369" s="8"/>
      <c r="G369" s="8"/>
      <c r="H369" s="8"/>
      <c r="I369" s="60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60"/>
      <c r="B370" s="60"/>
      <c r="C370" s="8"/>
      <c r="D370" s="60"/>
      <c r="E370" s="60"/>
      <c r="F370" s="8"/>
      <c r="G370" s="8"/>
      <c r="H370" s="8"/>
      <c r="I370" s="60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60"/>
      <c r="B371" s="60"/>
      <c r="C371" s="8"/>
      <c r="D371" s="60"/>
      <c r="E371" s="60"/>
      <c r="F371" s="8"/>
      <c r="G371" s="8"/>
      <c r="H371" s="8"/>
      <c r="I371" s="60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60"/>
      <c r="B372" s="60"/>
      <c r="C372" s="8"/>
      <c r="D372" s="60"/>
      <c r="E372" s="60"/>
      <c r="F372" s="8"/>
      <c r="G372" s="8"/>
      <c r="H372" s="8"/>
      <c r="I372" s="60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60"/>
      <c r="B373" s="60"/>
      <c r="C373" s="8"/>
      <c r="D373" s="60"/>
      <c r="E373" s="60"/>
      <c r="F373" s="8"/>
      <c r="G373" s="8"/>
      <c r="H373" s="8"/>
      <c r="I373" s="60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60"/>
      <c r="B374" s="60"/>
      <c r="C374" s="8"/>
      <c r="D374" s="60"/>
      <c r="E374" s="60"/>
      <c r="F374" s="8"/>
      <c r="G374" s="8"/>
      <c r="H374" s="8"/>
      <c r="I374" s="60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60"/>
      <c r="B375" s="60"/>
      <c r="C375" s="8"/>
      <c r="D375" s="60"/>
      <c r="E375" s="60"/>
      <c r="F375" s="8"/>
      <c r="G375" s="8"/>
      <c r="H375" s="8"/>
      <c r="I375" s="60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60"/>
      <c r="B376" s="60"/>
      <c r="C376" s="8"/>
      <c r="D376" s="60"/>
      <c r="E376" s="60"/>
      <c r="F376" s="8"/>
      <c r="G376" s="8"/>
      <c r="H376" s="8"/>
      <c r="I376" s="60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60"/>
      <c r="B377" s="60"/>
      <c r="C377" s="8"/>
      <c r="D377" s="60"/>
      <c r="E377" s="60"/>
      <c r="F377" s="8"/>
      <c r="G377" s="8"/>
      <c r="H377" s="8"/>
      <c r="I377" s="60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60"/>
      <c r="B378" s="60"/>
      <c r="C378" s="8"/>
      <c r="D378" s="60"/>
      <c r="E378" s="60"/>
      <c r="F378" s="8"/>
      <c r="G378" s="8"/>
      <c r="H378" s="8"/>
      <c r="I378" s="60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60"/>
      <c r="B379" s="60"/>
      <c r="C379" s="8"/>
      <c r="D379" s="60"/>
      <c r="E379" s="60"/>
      <c r="F379" s="8"/>
      <c r="G379" s="8"/>
      <c r="H379" s="8"/>
      <c r="I379" s="60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60"/>
      <c r="B380" s="60"/>
      <c r="C380" s="8"/>
      <c r="D380" s="60"/>
      <c r="E380" s="60"/>
      <c r="F380" s="8"/>
      <c r="G380" s="8"/>
      <c r="H380" s="8"/>
      <c r="I380" s="60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60"/>
      <c r="B381" s="60"/>
      <c r="C381" s="8"/>
      <c r="D381" s="60"/>
      <c r="E381" s="60"/>
      <c r="F381" s="8"/>
      <c r="G381" s="8"/>
      <c r="H381" s="8"/>
      <c r="I381" s="60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60"/>
      <c r="B382" s="60"/>
      <c r="C382" s="8"/>
      <c r="D382" s="60"/>
      <c r="E382" s="60"/>
      <c r="F382" s="8"/>
      <c r="G382" s="8"/>
      <c r="H382" s="8"/>
      <c r="I382" s="60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60"/>
      <c r="B383" s="60"/>
      <c r="C383" s="8"/>
      <c r="D383" s="60"/>
      <c r="E383" s="60"/>
      <c r="F383" s="8"/>
      <c r="G383" s="8"/>
      <c r="H383" s="8"/>
      <c r="I383" s="60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60"/>
      <c r="B384" s="60"/>
      <c r="C384" s="8"/>
      <c r="D384" s="60"/>
      <c r="E384" s="60"/>
      <c r="F384" s="8"/>
      <c r="G384" s="8"/>
      <c r="H384" s="8"/>
      <c r="I384" s="60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60"/>
      <c r="B385" s="60"/>
      <c r="C385" s="8"/>
      <c r="D385" s="60"/>
      <c r="E385" s="60"/>
      <c r="F385" s="8"/>
      <c r="G385" s="8"/>
      <c r="H385" s="8"/>
      <c r="I385" s="60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60"/>
      <c r="B386" s="60"/>
      <c r="C386" s="8"/>
      <c r="D386" s="60"/>
      <c r="E386" s="60"/>
      <c r="F386" s="8"/>
      <c r="G386" s="8"/>
      <c r="H386" s="8"/>
      <c r="I386" s="60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60"/>
      <c r="B387" s="60"/>
      <c r="C387" s="8"/>
      <c r="D387" s="60"/>
      <c r="E387" s="60"/>
      <c r="F387" s="8"/>
      <c r="G387" s="8"/>
      <c r="H387" s="8"/>
      <c r="I387" s="60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60"/>
      <c r="B388" s="60"/>
      <c r="C388" s="8"/>
      <c r="D388" s="60"/>
      <c r="E388" s="60"/>
      <c r="F388" s="8"/>
      <c r="G388" s="8"/>
      <c r="H388" s="8"/>
      <c r="I388" s="60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60"/>
      <c r="B389" s="60"/>
      <c r="C389" s="8"/>
      <c r="D389" s="60"/>
      <c r="E389" s="60"/>
      <c r="F389" s="8"/>
      <c r="G389" s="8"/>
      <c r="H389" s="8"/>
      <c r="I389" s="60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60"/>
      <c r="B390" s="60"/>
      <c r="C390" s="8"/>
      <c r="D390" s="60"/>
      <c r="E390" s="60"/>
      <c r="F390" s="8"/>
      <c r="G390" s="8"/>
      <c r="H390" s="8"/>
      <c r="I390" s="60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60"/>
      <c r="B391" s="60"/>
      <c r="C391" s="8"/>
      <c r="D391" s="60"/>
      <c r="E391" s="60"/>
      <c r="F391" s="8"/>
      <c r="G391" s="8"/>
      <c r="H391" s="8"/>
      <c r="I391" s="60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60"/>
      <c r="B392" s="60"/>
      <c r="C392" s="8"/>
      <c r="D392" s="60"/>
      <c r="E392" s="60"/>
      <c r="F392" s="8"/>
      <c r="G392" s="8"/>
      <c r="H392" s="8"/>
      <c r="I392" s="60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60"/>
      <c r="B393" s="60"/>
      <c r="C393" s="8"/>
      <c r="D393" s="60"/>
      <c r="E393" s="60"/>
      <c r="F393" s="8"/>
      <c r="G393" s="8"/>
      <c r="H393" s="8"/>
      <c r="I393" s="60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60"/>
      <c r="B394" s="60"/>
      <c r="C394" s="8"/>
      <c r="D394" s="60"/>
      <c r="E394" s="60"/>
      <c r="F394" s="8"/>
      <c r="G394" s="8"/>
      <c r="H394" s="8"/>
      <c r="I394" s="60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60"/>
      <c r="B395" s="60"/>
      <c r="C395" s="8"/>
      <c r="D395" s="60"/>
      <c r="E395" s="60"/>
      <c r="F395" s="8"/>
      <c r="G395" s="8"/>
      <c r="H395" s="8"/>
      <c r="I395" s="60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60"/>
      <c r="B396" s="60"/>
      <c r="C396" s="8"/>
      <c r="D396" s="60"/>
      <c r="E396" s="60"/>
      <c r="F396" s="8"/>
      <c r="G396" s="8"/>
      <c r="H396" s="8"/>
      <c r="I396" s="60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60"/>
      <c r="B397" s="60"/>
      <c r="C397" s="8"/>
      <c r="D397" s="60"/>
      <c r="E397" s="60"/>
      <c r="F397" s="8"/>
      <c r="G397" s="8"/>
      <c r="H397" s="8"/>
      <c r="I397" s="60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60"/>
      <c r="B398" s="60"/>
      <c r="C398" s="8"/>
      <c r="D398" s="60"/>
      <c r="E398" s="60"/>
      <c r="F398" s="8"/>
      <c r="G398" s="8"/>
      <c r="H398" s="8"/>
      <c r="I398" s="60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60"/>
      <c r="B399" s="60"/>
      <c r="C399" s="8"/>
      <c r="D399" s="60"/>
      <c r="E399" s="60"/>
      <c r="F399" s="8"/>
      <c r="G399" s="8"/>
      <c r="H399" s="8"/>
      <c r="I399" s="60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60"/>
      <c r="B400" s="60"/>
      <c r="C400" s="8"/>
      <c r="D400" s="60"/>
      <c r="E400" s="60"/>
      <c r="F400" s="8"/>
      <c r="G400" s="8"/>
      <c r="H400" s="8"/>
      <c r="I400" s="60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60"/>
      <c r="B401" s="60"/>
      <c r="C401" s="8"/>
      <c r="D401" s="60"/>
      <c r="E401" s="60"/>
      <c r="F401" s="8"/>
      <c r="G401" s="8"/>
      <c r="H401" s="8"/>
      <c r="I401" s="60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60"/>
      <c r="B402" s="60"/>
      <c r="C402" s="8"/>
      <c r="D402" s="60"/>
      <c r="E402" s="60"/>
      <c r="F402" s="8"/>
      <c r="G402" s="8"/>
      <c r="H402" s="8"/>
      <c r="I402" s="60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60"/>
      <c r="B403" s="60"/>
      <c r="C403" s="8"/>
      <c r="D403" s="60"/>
      <c r="E403" s="60"/>
      <c r="F403" s="8"/>
      <c r="G403" s="8"/>
      <c r="H403" s="8"/>
      <c r="I403" s="60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60"/>
      <c r="B404" s="60"/>
      <c r="C404" s="8"/>
      <c r="D404" s="60"/>
      <c r="E404" s="60"/>
      <c r="F404" s="8"/>
      <c r="G404" s="8"/>
      <c r="H404" s="8"/>
      <c r="I404" s="60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60"/>
      <c r="B405" s="60"/>
      <c r="C405" s="8"/>
      <c r="D405" s="60"/>
      <c r="E405" s="60"/>
      <c r="F405" s="8"/>
      <c r="G405" s="8"/>
      <c r="H405" s="8"/>
      <c r="I405" s="60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60"/>
      <c r="B406" s="60"/>
      <c r="C406" s="8"/>
      <c r="D406" s="60"/>
      <c r="E406" s="60"/>
      <c r="F406" s="8"/>
      <c r="G406" s="8"/>
      <c r="H406" s="8"/>
      <c r="I406" s="60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60"/>
      <c r="B407" s="60"/>
      <c r="C407" s="8"/>
      <c r="D407" s="60"/>
      <c r="E407" s="60"/>
      <c r="F407" s="8"/>
      <c r="G407" s="8"/>
      <c r="H407" s="8"/>
      <c r="I407" s="60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60"/>
      <c r="B408" s="60"/>
      <c r="C408" s="8"/>
      <c r="D408" s="60"/>
      <c r="E408" s="60"/>
      <c r="F408" s="8"/>
      <c r="G408" s="8"/>
      <c r="H408" s="8"/>
      <c r="I408" s="60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60"/>
      <c r="B409" s="60"/>
      <c r="C409" s="8"/>
      <c r="D409" s="60"/>
      <c r="E409" s="60"/>
      <c r="F409" s="8"/>
      <c r="G409" s="8"/>
      <c r="H409" s="8"/>
      <c r="I409" s="60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60"/>
      <c r="B410" s="60"/>
      <c r="C410" s="8"/>
      <c r="D410" s="60"/>
      <c r="E410" s="60"/>
      <c r="F410" s="8"/>
      <c r="G410" s="8"/>
      <c r="H410" s="8"/>
      <c r="I410" s="60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60"/>
      <c r="B411" s="60"/>
      <c r="C411" s="8"/>
      <c r="D411" s="60"/>
      <c r="E411" s="60"/>
      <c r="F411" s="8"/>
      <c r="G411" s="8"/>
      <c r="H411" s="8"/>
      <c r="I411" s="60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60"/>
      <c r="B412" s="60"/>
      <c r="C412" s="8"/>
      <c r="D412" s="60"/>
      <c r="E412" s="60"/>
      <c r="F412" s="8"/>
      <c r="G412" s="8"/>
      <c r="H412" s="8"/>
      <c r="I412" s="60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60"/>
      <c r="B413" s="60"/>
      <c r="C413" s="8"/>
      <c r="D413" s="60"/>
      <c r="E413" s="60"/>
      <c r="F413" s="8"/>
      <c r="G413" s="8"/>
      <c r="H413" s="8"/>
      <c r="I413" s="60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60"/>
      <c r="B414" s="60"/>
      <c r="C414" s="8"/>
      <c r="D414" s="60"/>
      <c r="E414" s="60"/>
      <c r="F414" s="8"/>
      <c r="G414" s="8"/>
      <c r="H414" s="8"/>
      <c r="I414" s="60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60"/>
      <c r="B415" s="60"/>
      <c r="C415" s="8"/>
      <c r="D415" s="60"/>
      <c r="E415" s="60"/>
      <c r="F415" s="8"/>
      <c r="G415" s="8"/>
      <c r="H415" s="8"/>
      <c r="I415" s="60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60"/>
      <c r="B416" s="60"/>
      <c r="C416" s="8"/>
      <c r="D416" s="60"/>
      <c r="E416" s="60"/>
      <c r="F416" s="8"/>
      <c r="G416" s="8"/>
      <c r="H416" s="8"/>
      <c r="I416" s="60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60"/>
      <c r="B417" s="60"/>
      <c r="C417" s="8"/>
      <c r="D417" s="60"/>
      <c r="E417" s="60"/>
      <c r="F417" s="8"/>
      <c r="G417" s="8"/>
      <c r="H417" s="8"/>
      <c r="I417" s="60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60"/>
      <c r="B418" s="60"/>
      <c r="C418" s="8"/>
      <c r="D418" s="60"/>
      <c r="E418" s="60"/>
      <c r="F418" s="8"/>
      <c r="G418" s="8"/>
      <c r="H418" s="8"/>
      <c r="I418" s="60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60"/>
      <c r="B419" s="60"/>
      <c r="C419" s="8"/>
      <c r="D419" s="60"/>
      <c r="E419" s="60"/>
      <c r="F419" s="8"/>
      <c r="G419" s="8"/>
      <c r="H419" s="8"/>
      <c r="I419" s="60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60"/>
      <c r="B420" s="60"/>
      <c r="C420" s="8"/>
      <c r="D420" s="60"/>
      <c r="E420" s="60"/>
      <c r="F420" s="8"/>
      <c r="G420" s="8"/>
      <c r="H420" s="8"/>
      <c r="I420" s="60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60"/>
      <c r="B421" s="60"/>
      <c r="C421" s="8"/>
      <c r="D421" s="60"/>
      <c r="E421" s="60"/>
      <c r="F421" s="8"/>
      <c r="G421" s="8"/>
      <c r="H421" s="8"/>
      <c r="I421" s="60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60"/>
      <c r="B422" s="60"/>
      <c r="C422" s="8"/>
      <c r="D422" s="60"/>
      <c r="E422" s="60"/>
      <c r="F422" s="8"/>
      <c r="G422" s="8"/>
      <c r="H422" s="8"/>
      <c r="I422" s="60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60"/>
      <c r="B423" s="60"/>
      <c r="C423" s="8"/>
      <c r="D423" s="60"/>
      <c r="E423" s="60"/>
      <c r="F423" s="8"/>
      <c r="G423" s="8"/>
      <c r="H423" s="8"/>
      <c r="I423" s="60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60"/>
      <c r="B424" s="60"/>
      <c r="C424" s="8"/>
      <c r="D424" s="60"/>
      <c r="E424" s="60"/>
      <c r="F424" s="8"/>
      <c r="G424" s="8"/>
      <c r="H424" s="8"/>
      <c r="I424" s="60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60"/>
      <c r="B425" s="60"/>
      <c r="C425" s="8"/>
      <c r="D425" s="60"/>
      <c r="E425" s="60"/>
      <c r="F425" s="8"/>
      <c r="G425" s="8"/>
      <c r="H425" s="8"/>
      <c r="I425" s="60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60"/>
      <c r="B426" s="60"/>
      <c r="C426" s="8"/>
      <c r="D426" s="60"/>
      <c r="E426" s="60"/>
      <c r="F426" s="8"/>
      <c r="G426" s="8"/>
      <c r="H426" s="8"/>
      <c r="I426" s="60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60"/>
      <c r="B427" s="60"/>
      <c r="C427" s="8"/>
      <c r="D427" s="60"/>
      <c r="E427" s="60"/>
      <c r="F427" s="8"/>
      <c r="G427" s="8"/>
      <c r="H427" s="8"/>
      <c r="I427" s="60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60"/>
      <c r="B428" s="60"/>
      <c r="C428" s="8"/>
      <c r="D428" s="60"/>
      <c r="E428" s="60"/>
      <c r="F428" s="8"/>
      <c r="G428" s="8"/>
      <c r="H428" s="8"/>
      <c r="I428" s="60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60"/>
      <c r="B429" s="60"/>
      <c r="C429" s="8"/>
      <c r="D429" s="60"/>
      <c r="E429" s="60"/>
      <c r="F429" s="8"/>
      <c r="G429" s="8"/>
      <c r="H429" s="8"/>
      <c r="I429" s="60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60"/>
      <c r="B430" s="60"/>
      <c r="C430" s="8"/>
      <c r="D430" s="60"/>
      <c r="E430" s="60"/>
      <c r="F430" s="8"/>
      <c r="G430" s="8"/>
      <c r="H430" s="8"/>
      <c r="I430" s="60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60"/>
      <c r="B431" s="60"/>
      <c r="C431" s="8"/>
      <c r="D431" s="60"/>
      <c r="E431" s="60"/>
      <c r="F431" s="8"/>
      <c r="G431" s="8"/>
      <c r="H431" s="8"/>
      <c r="I431" s="60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60"/>
      <c r="B432" s="60"/>
      <c r="C432" s="8"/>
      <c r="D432" s="60"/>
      <c r="E432" s="60"/>
      <c r="F432" s="8"/>
      <c r="G432" s="8"/>
      <c r="H432" s="8"/>
      <c r="I432" s="60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60"/>
      <c r="B433" s="60"/>
      <c r="C433" s="8"/>
      <c r="D433" s="60"/>
      <c r="E433" s="60"/>
      <c r="F433" s="8"/>
      <c r="G433" s="8"/>
      <c r="H433" s="8"/>
      <c r="I433" s="60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60"/>
      <c r="B434" s="60"/>
      <c r="C434" s="8"/>
      <c r="D434" s="60"/>
      <c r="E434" s="60"/>
      <c r="F434" s="8"/>
      <c r="G434" s="8"/>
      <c r="H434" s="8"/>
      <c r="I434" s="60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60"/>
      <c r="B435" s="60"/>
      <c r="C435" s="8"/>
      <c r="D435" s="60"/>
      <c r="E435" s="60"/>
      <c r="F435" s="8"/>
      <c r="G435" s="8"/>
      <c r="H435" s="8"/>
      <c r="I435" s="60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60"/>
      <c r="B436" s="60"/>
      <c r="C436" s="8"/>
      <c r="D436" s="60"/>
      <c r="E436" s="60"/>
      <c r="F436" s="8"/>
      <c r="G436" s="8"/>
      <c r="H436" s="8"/>
      <c r="I436" s="60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60"/>
      <c r="B437" s="60"/>
      <c r="C437" s="8"/>
      <c r="D437" s="60"/>
      <c r="E437" s="60"/>
      <c r="F437" s="8"/>
      <c r="G437" s="8"/>
      <c r="H437" s="8"/>
      <c r="I437" s="60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60"/>
      <c r="B438" s="60"/>
      <c r="C438" s="8"/>
      <c r="D438" s="60"/>
      <c r="E438" s="60"/>
      <c r="F438" s="8"/>
      <c r="G438" s="8"/>
      <c r="H438" s="8"/>
      <c r="I438" s="60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60"/>
      <c r="B439" s="60"/>
      <c r="C439" s="8"/>
      <c r="D439" s="60"/>
      <c r="E439" s="60"/>
      <c r="F439" s="8"/>
      <c r="G439" s="8"/>
      <c r="H439" s="8"/>
      <c r="I439" s="60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60"/>
      <c r="B440" s="60"/>
      <c r="C440" s="8"/>
      <c r="D440" s="60"/>
      <c r="E440" s="60"/>
      <c r="F440" s="8"/>
      <c r="G440" s="8"/>
      <c r="H440" s="8"/>
      <c r="I440" s="60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60"/>
      <c r="B441" s="60"/>
      <c r="C441" s="8"/>
      <c r="D441" s="60"/>
      <c r="E441" s="60"/>
      <c r="F441" s="8"/>
      <c r="G441" s="8"/>
      <c r="H441" s="8"/>
      <c r="I441" s="60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60"/>
      <c r="B442" s="60"/>
      <c r="C442" s="8"/>
      <c r="D442" s="60"/>
      <c r="E442" s="60"/>
      <c r="F442" s="8"/>
      <c r="G442" s="8"/>
      <c r="H442" s="8"/>
      <c r="I442" s="60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60"/>
      <c r="B443" s="60"/>
      <c r="C443" s="8"/>
      <c r="D443" s="60"/>
      <c r="E443" s="60"/>
      <c r="F443" s="8"/>
      <c r="G443" s="8"/>
      <c r="H443" s="8"/>
      <c r="I443" s="60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60"/>
      <c r="B444" s="60"/>
      <c r="C444" s="8"/>
      <c r="D444" s="60"/>
      <c r="E444" s="60"/>
      <c r="F444" s="8"/>
      <c r="G444" s="8"/>
      <c r="H444" s="8"/>
      <c r="I444" s="60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60"/>
      <c r="B445" s="60"/>
      <c r="C445" s="8"/>
      <c r="D445" s="60"/>
      <c r="E445" s="60"/>
      <c r="F445" s="8"/>
      <c r="G445" s="8"/>
      <c r="H445" s="8"/>
      <c r="I445" s="60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60"/>
      <c r="B446" s="60"/>
      <c r="C446" s="8"/>
      <c r="D446" s="60"/>
      <c r="E446" s="60"/>
      <c r="F446" s="8"/>
      <c r="G446" s="8"/>
      <c r="H446" s="8"/>
      <c r="I446" s="60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60"/>
      <c r="B447" s="60"/>
      <c r="C447" s="8"/>
      <c r="D447" s="60"/>
      <c r="E447" s="60"/>
      <c r="F447" s="8"/>
      <c r="G447" s="8"/>
      <c r="H447" s="8"/>
      <c r="I447" s="60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60"/>
      <c r="B448" s="60"/>
      <c r="C448" s="8"/>
      <c r="D448" s="60"/>
      <c r="E448" s="60"/>
      <c r="F448" s="8"/>
      <c r="G448" s="8"/>
      <c r="H448" s="8"/>
      <c r="I448" s="60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60"/>
      <c r="B449" s="60"/>
      <c r="C449" s="8"/>
      <c r="D449" s="60"/>
      <c r="E449" s="60"/>
      <c r="F449" s="8"/>
      <c r="G449" s="8"/>
      <c r="H449" s="8"/>
      <c r="I449" s="60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60"/>
      <c r="B450" s="60"/>
      <c r="C450" s="8"/>
      <c r="D450" s="60"/>
      <c r="E450" s="60"/>
      <c r="F450" s="8"/>
      <c r="G450" s="8"/>
      <c r="H450" s="8"/>
      <c r="I450" s="60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60"/>
      <c r="B451" s="60"/>
      <c r="C451" s="8"/>
      <c r="D451" s="60"/>
      <c r="E451" s="60"/>
      <c r="F451" s="8"/>
      <c r="G451" s="8"/>
      <c r="H451" s="8"/>
      <c r="I451" s="60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60"/>
      <c r="B452" s="60"/>
      <c r="C452" s="8"/>
      <c r="D452" s="60"/>
      <c r="E452" s="60"/>
      <c r="F452" s="8"/>
      <c r="G452" s="8"/>
      <c r="H452" s="8"/>
      <c r="I452" s="60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60"/>
      <c r="B453" s="60"/>
      <c r="C453" s="8"/>
      <c r="D453" s="60"/>
      <c r="E453" s="60"/>
      <c r="F453" s="8"/>
      <c r="G453" s="8"/>
      <c r="H453" s="8"/>
      <c r="I453" s="60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60"/>
      <c r="B454" s="60"/>
      <c r="C454" s="8"/>
      <c r="D454" s="60"/>
      <c r="E454" s="60"/>
      <c r="F454" s="8"/>
      <c r="G454" s="8"/>
      <c r="H454" s="8"/>
      <c r="I454" s="60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60"/>
      <c r="B455" s="60"/>
      <c r="C455" s="8"/>
      <c r="D455" s="60"/>
      <c r="E455" s="60"/>
      <c r="F455" s="8"/>
      <c r="G455" s="8"/>
      <c r="H455" s="8"/>
      <c r="I455" s="60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60"/>
      <c r="B456" s="60"/>
      <c r="C456" s="8"/>
      <c r="D456" s="60"/>
      <c r="E456" s="60"/>
      <c r="F456" s="8"/>
      <c r="G456" s="8"/>
      <c r="H456" s="8"/>
      <c r="I456" s="60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60"/>
      <c r="B457" s="60"/>
      <c r="C457" s="8"/>
      <c r="D457" s="60"/>
      <c r="E457" s="60"/>
      <c r="F457" s="8"/>
      <c r="G457" s="8"/>
      <c r="H457" s="8"/>
      <c r="I457" s="60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60"/>
      <c r="B458" s="60"/>
      <c r="C458" s="8"/>
      <c r="D458" s="60"/>
      <c r="E458" s="60"/>
      <c r="F458" s="8"/>
      <c r="G458" s="8"/>
      <c r="H458" s="8"/>
      <c r="I458" s="60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60"/>
      <c r="B459" s="60"/>
      <c r="C459" s="8"/>
      <c r="D459" s="60"/>
      <c r="E459" s="60"/>
      <c r="F459" s="8"/>
      <c r="G459" s="8"/>
      <c r="H459" s="8"/>
      <c r="I459" s="60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60"/>
      <c r="B460" s="60"/>
      <c r="C460" s="8"/>
      <c r="D460" s="60"/>
      <c r="E460" s="60"/>
      <c r="F460" s="8"/>
      <c r="G460" s="8"/>
      <c r="H460" s="8"/>
      <c r="I460" s="60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60"/>
      <c r="B461" s="60"/>
      <c r="C461" s="8"/>
      <c r="D461" s="60"/>
      <c r="E461" s="60"/>
      <c r="F461" s="8"/>
      <c r="G461" s="8"/>
      <c r="H461" s="8"/>
      <c r="I461" s="60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60"/>
      <c r="B462" s="60"/>
      <c r="C462" s="8"/>
      <c r="D462" s="60"/>
      <c r="E462" s="60"/>
      <c r="F462" s="8"/>
      <c r="G462" s="8"/>
      <c r="H462" s="8"/>
      <c r="I462" s="60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60"/>
      <c r="B463" s="60"/>
      <c r="C463" s="8"/>
      <c r="D463" s="60"/>
      <c r="E463" s="60"/>
      <c r="F463" s="8"/>
      <c r="G463" s="8"/>
      <c r="H463" s="8"/>
      <c r="I463" s="60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60"/>
      <c r="B464" s="60"/>
      <c r="C464" s="8"/>
      <c r="D464" s="60"/>
      <c r="E464" s="60"/>
      <c r="F464" s="8"/>
      <c r="G464" s="8"/>
      <c r="H464" s="8"/>
      <c r="I464" s="60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60"/>
      <c r="B465" s="60"/>
      <c r="C465" s="8"/>
      <c r="D465" s="60"/>
      <c r="E465" s="60"/>
      <c r="F465" s="8"/>
      <c r="G465" s="8"/>
      <c r="H465" s="8"/>
      <c r="I465" s="60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60"/>
      <c r="B466" s="60"/>
      <c r="C466" s="8"/>
      <c r="D466" s="60"/>
      <c r="E466" s="60"/>
      <c r="F466" s="8"/>
      <c r="G466" s="8"/>
      <c r="H466" s="8"/>
      <c r="I466" s="60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60"/>
      <c r="B467" s="60"/>
      <c r="C467" s="8"/>
      <c r="D467" s="60"/>
      <c r="E467" s="60"/>
      <c r="F467" s="8"/>
      <c r="G467" s="8"/>
      <c r="H467" s="8"/>
      <c r="I467" s="60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60"/>
      <c r="B468" s="60"/>
      <c r="C468" s="8"/>
      <c r="D468" s="60"/>
      <c r="E468" s="60"/>
      <c r="F468" s="8"/>
      <c r="G468" s="8"/>
      <c r="H468" s="8"/>
      <c r="I468" s="60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60"/>
      <c r="B469" s="60"/>
      <c r="C469" s="8"/>
      <c r="D469" s="60"/>
      <c r="E469" s="60"/>
      <c r="F469" s="8"/>
      <c r="G469" s="8"/>
      <c r="H469" s="8"/>
      <c r="I469" s="60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60"/>
      <c r="B470" s="60"/>
      <c r="C470" s="8"/>
      <c r="D470" s="60"/>
      <c r="E470" s="60"/>
      <c r="F470" s="8"/>
      <c r="G470" s="8"/>
      <c r="H470" s="8"/>
      <c r="I470" s="60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60"/>
      <c r="B471" s="60"/>
      <c r="C471" s="8"/>
      <c r="D471" s="60"/>
      <c r="E471" s="60"/>
      <c r="F471" s="8"/>
      <c r="G471" s="8"/>
      <c r="H471" s="8"/>
      <c r="I471" s="60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60"/>
      <c r="B472" s="60"/>
      <c r="C472" s="8"/>
      <c r="D472" s="60"/>
      <c r="E472" s="60"/>
      <c r="F472" s="8"/>
      <c r="G472" s="8"/>
      <c r="H472" s="8"/>
      <c r="I472" s="60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60"/>
      <c r="B473" s="60"/>
      <c r="C473" s="8"/>
      <c r="D473" s="60"/>
      <c r="E473" s="60"/>
      <c r="F473" s="8"/>
      <c r="G473" s="8"/>
      <c r="H473" s="8"/>
      <c r="I473" s="60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60"/>
      <c r="B474" s="60"/>
      <c r="C474" s="8"/>
      <c r="D474" s="60"/>
      <c r="E474" s="60"/>
      <c r="F474" s="8"/>
      <c r="G474" s="8"/>
      <c r="H474" s="8"/>
      <c r="I474" s="60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60"/>
      <c r="B475" s="60"/>
      <c r="C475" s="8"/>
      <c r="D475" s="60"/>
      <c r="E475" s="60"/>
      <c r="F475" s="8"/>
      <c r="G475" s="8"/>
      <c r="H475" s="8"/>
      <c r="I475" s="60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60"/>
      <c r="B476" s="60"/>
      <c r="C476" s="8"/>
      <c r="D476" s="60"/>
      <c r="E476" s="60"/>
      <c r="F476" s="8"/>
      <c r="G476" s="8"/>
      <c r="H476" s="8"/>
      <c r="I476" s="60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60"/>
      <c r="B477" s="60"/>
      <c r="C477" s="8"/>
      <c r="D477" s="60"/>
      <c r="E477" s="60"/>
      <c r="F477" s="8"/>
      <c r="G477" s="8"/>
      <c r="H477" s="8"/>
      <c r="I477" s="60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60"/>
      <c r="B478" s="60"/>
      <c r="C478" s="8"/>
      <c r="D478" s="60"/>
      <c r="E478" s="60"/>
      <c r="F478" s="8"/>
      <c r="G478" s="8"/>
      <c r="H478" s="8"/>
      <c r="I478" s="60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60"/>
      <c r="B479" s="60"/>
      <c r="C479" s="8"/>
      <c r="D479" s="60"/>
      <c r="E479" s="60"/>
      <c r="F479" s="8"/>
      <c r="G479" s="8"/>
      <c r="H479" s="8"/>
      <c r="I479" s="60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60"/>
      <c r="B480" s="60"/>
      <c r="C480" s="8"/>
      <c r="D480" s="60"/>
      <c r="E480" s="60"/>
      <c r="F480" s="8"/>
      <c r="G480" s="8"/>
      <c r="H480" s="8"/>
      <c r="I480" s="60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60"/>
      <c r="B481" s="60"/>
      <c r="C481" s="8"/>
      <c r="D481" s="60"/>
      <c r="E481" s="60"/>
      <c r="F481" s="8"/>
      <c r="G481" s="8"/>
      <c r="H481" s="8"/>
      <c r="I481" s="60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60"/>
      <c r="B482" s="60"/>
      <c r="C482" s="8"/>
      <c r="D482" s="60"/>
      <c r="E482" s="60"/>
      <c r="F482" s="8"/>
      <c r="G482" s="8"/>
      <c r="H482" s="8"/>
      <c r="I482" s="60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60"/>
      <c r="B483" s="60"/>
      <c r="C483" s="8"/>
      <c r="D483" s="60"/>
      <c r="E483" s="60"/>
      <c r="F483" s="8"/>
      <c r="G483" s="8"/>
      <c r="H483" s="8"/>
      <c r="I483" s="60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60"/>
      <c r="B484" s="60"/>
      <c r="C484" s="8"/>
      <c r="D484" s="60"/>
      <c r="E484" s="60"/>
      <c r="F484" s="8"/>
      <c r="G484" s="8"/>
      <c r="H484" s="8"/>
      <c r="I484" s="60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60"/>
      <c r="B485" s="60"/>
      <c r="C485" s="8"/>
      <c r="D485" s="60"/>
      <c r="E485" s="60"/>
      <c r="F485" s="8"/>
      <c r="G485" s="8"/>
      <c r="H485" s="8"/>
      <c r="I485" s="60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60"/>
      <c r="B486" s="60"/>
      <c r="C486" s="8"/>
      <c r="D486" s="60"/>
      <c r="E486" s="60"/>
      <c r="F486" s="8"/>
      <c r="G486" s="8"/>
      <c r="H486" s="8"/>
      <c r="I486" s="60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60"/>
      <c r="B487" s="60"/>
      <c r="C487" s="8"/>
      <c r="D487" s="60"/>
      <c r="E487" s="60"/>
      <c r="F487" s="8"/>
      <c r="G487" s="8"/>
      <c r="H487" s="8"/>
      <c r="I487" s="60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60"/>
      <c r="B488" s="60"/>
      <c r="C488" s="8"/>
      <c r="D488" s="60"/>
      <c r="E488" s="60"/>
      <c r="F488" s="8"/>
      <c r="G488" s="8"/>
      <c r="H488" s="8"/>
      <c r="I488" s="60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60"/>
      <c r="B489" s="60"/>
      <c r="C489" s="8"/>
      <c r="D489" s="60"/>
      <c r="E489" s="60"/>
      <c r="F489" s="8"/>
      <c r="G489" s="8"/>
      <c r="H489" s="8"/>
      <c r="I489" s="60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60"/>
      <c r="B490" s="60"/>
      <c r="C490" s="8"/>
      <c r="D490" s="60"/>
      <c r="E490" s="60"/>
      <c r="F490" s="8"/>
      <c r="G490" s="8"/>
      <c r="H490" s="8"/>
      <c r="I490" s="60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60"/>
      <c r="B491" s="60"/>
      <c r="C491" s="8"/>
      <c r="D491" s="60"/>
      <c r="E491" s="60"/>
      <c r="F491" s="8"/>
      <c r="G491" s="8"/>
      <c r="H491" s="8"/>
      <c r="I491" s="60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60"/>
      <c r="B492" s="60"/>
      <c r="C492" s="8"/>
      <c r="D492" s="60"/>
      <c r="E492" s="60"/>
      <c r="F492" s="8"/>
      <c r="G492" s="8"/>
      <c r="H492" s="8"/>
      <c r="I492" s="60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60"/>
      <c r="B493" s="60"/>
      <c r="C493" s="8"/>
      <c r="D493" s="60"/>
      <c r="E493" s="60"/>
      <c r="F493" s="8"/>
      <c r="G493" s="8"/>
      <c r="H493" s="8"/>
      <c r="I493" s="60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60"/>
      <c r="B494" s="60"/>
      <c r="C494" s="8"/>
      <c r="D494" s="60"/>
      <c r="E494" s="60"/>
      <c r="F494" s="8"/>
      <c r="G494" s="8"/>
      <c r="H494" s="8"/>
      <c r="I494" s="60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60"/>
      <c r="B495" s="60"/>
      <c r="C495" s="8"/>
      <c r="D495" s="60"/>
      <c r="E495" s="60"/>
      <c r="F495" s="8"/>
      <c r="G495" s="8"/>
      <c r="H495" s="8"/>
      <c r="I495" s="60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60"/>
      <c r="B496" s="60"/>
      <c r="C496" s="8"/>
      <c r="D496" s="60"/>
      <c r="E496" s="60"/>
      <c r="F496" s="8"/>
      <c r="G496" s="8"/>
      <c r="H496" s="8"/>
      <c r="I496" s="60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60"/>
      <c r="B497" s="60"/>
      <c r="C497" s="8"/>
      <c r="D497" s="60"/>
      <c r="E497" s="60"/>
      <c r="F497" s="8"/>
      <c r="G497" s="8"/>
      <c r="H497" s="8"/>
      <c r="I497" s="60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60"/>
      <c r="B498" s="60"/>
      <c r="C498" s="8"/>
      <c r="D498" s="60"/>
      <c r="E498" s="60"/>
      <c r="F498" s="8"/>
      <c r="G498" s="8"/>
      <c r="H498" s="8"/>
      <c r="I498" s="60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60"/>
      <c r="B499" s="60"/>
      <c r="C499" s="8"/>
      <c r="D499" s="60"/>
      <c r="E499" s="60"/>
      <c r="F499" s="8"/>
      <c r="G499" s="8"/>
      <c r="H499" s="8"/>
      <c r="I499" s="60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60"/>
      <c r="B500" s="60"/>
      <c r="C500" s="8"/>
      <c r="D500" s="60"/>
      <c r="E500" s="60"/>
      <c r="F500" s="8"/>
      <c r="G500" s="8"/>
      <c r="H500" s="8"/>
      <c r="I500" s="60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60"/>
      <c r="B501" s="60"/>
      <c r="C501" s="8"/>
      <c r="D501" s="60"/>
      <c r="E501" s="60"/>
      <c r="F501" s="8"/>
      <c r="G501" s="8"/>
      <c r="H501" s="8"/>
      <c r="I501" s="60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60"/>
      <c r="B502" s="60"/>
      <c r="C502" s="8"/>
      <c r="D502" s="60"/>
      <c r="E502" s="60"/>
      <c r="F502" s="8"/>
      <c r="G502" s="8"/>
      <c r="H502" s="8"/>
      <c r="I502" s="60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60"/>
      <c r="B503" s="60"/>
      <c r="C503" s="8"/>
      <c r="D503" s="60"/>
      <c r="E503" s="60"/>
      <c r="F503" s="8"/>
      <c r="G503" s="8"/>
      <c r="H503" s="8"/>
      <c r="I503" s="60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60"/>
      <c r="B504" s="60"/>
      <c r="C504" s="8"/>
      <c r="D504" s="60"/>
      <c r="E504" s="60"/>
      <c r="F504" s="8"/>
      <c r="G504" s="8"/>
      <c r="H504" s="8"/>
      <c r="I504" s="60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60"/>
      <c r="B505" s="60"/>
      <c r="C505" s="8"/>
      <c r="D505" s="60"/>
      <c r="E505" s="60"/>
      <c r="F505" s="8"/>
      <c r="G505" s="8"/>
      <c r="H505" s="8"/>
      <c r="I505" s="60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60"/>
      <c r="B506" s="60"/>
      <c r="C506" s="8"/>
      <c r="D506" s="60"/>
      <c r="E506" s="60"/>
      <c r="F506" s="8"/>
      <c r="G506" s="8"/>
      <c r="H506" s="8"/>
      <c r="I506" s="60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60"/>
      <c r="B507" s="60"/>
      <c r="C507" s="8"/>
      <c r="D507" s="60"/>
      <c r="E507" s="60"/>
      <c r="F507" s="8"/>
      <c r="G507" s="8"/>
      <c r="H507" s="8"/>
      <c r="I507" s="60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60"/>
      <c r="B508" s="60"/>
      <c r="C508" s="8"/>
      <c r="D508" s="60"/>
      <c r="E508" s="60"/>
      <c r="F508" s="8"/>
      <c r="G508" s="8"/>
      <c r="H508" s="8"/>
      <c r="I508" s="60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60"/>
      <c r="B509" s="60"/>
      <c r="C509" s="8"/>
      <c r="D509" s="60"/>
      <c r="E509" s="60"/>
      <c r="F509" s="8"/>
      <c r="G509" s="8"/>
      <c r="H509" s="8"/>
      <c r="I509" s="60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60"/>
      <c r="B510" s="60"/>
      <c r="C510" s="8"/>
      <c r="D510" s="60"/>
      <c r="E510" s="60"/>
      <c r="F510" s="8"/>
      <c r="G510" s="8"/>
      <c r="H510" s="8"/>
      <c r="I510" s="60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60"/>
      <c r="B511" s="60"/>
      <c r="C511" s="8"/>
      <c r="D511" s="60"/>
      <c r="E511" s="60"/>
      <c r="F511" s="8"/>
      <c r="G511" s="8"/>
      <c r="H511" s="8"/>
      <c r="I511" s="60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60"/>
      <c r="B512" s="60"/>
      <c r="C512" s="8"/>
      <c r="D512" s="60"/>
      <c r="E512" s="60"/>
      <c r="F512" s="8"/>
      <c r="G512" s="8"/>
      <c r="H512" s="8"/>
      <c r="I512" s="60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60"/>
      <c r="B513" s="60"/>
      <c r="C513" s="8"/>
      <c r="D513" s="60"/>
      <c r="E513" s="60"/>
      <c r="F513" s="8"/>
      <c r="G513" s="8"/>
      <c r="H513" s="8"/>
      <c r="I513" s="60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60"/>
      <c r="B514" s="60"/>
      <c r="C514" s="8"/>
      <c r="D514" s="60"/>
      <c r="E514" s="60"/>
      <c r="F514" s="8"/>
      <c r="G514" s="8"/>
      <c r="H514" s="8"/>
      <c r="I514" s="60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60"/>
      <c r="B515" s="60"/>
      <c r="C515" s="8"/>
      <c r="D515" s="60"/>
      <c r="E515" s="60"/>
      <c r="F515" s="8"/>
      <c r="G515" s="8"/>
      <c r="H515" s="8"/>
      <c r="I515" s="60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60"/>
      <c r="B516" s="60"/>
      <c r="C516" s="8"/>
      <c r="D516" s="60"/>
      <c r="E516" s="60"/>
      <c r="F516" s="8"/>
      <c r="G516" s="8"/>
      <c r="H516" s="8"/>
      <c r="I516" s="60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60"/>
      <c r="B517" s="60"/>
      <c r="C517" s="8"/>
      <c r="D517" s="60"/>
      <c r="E517" s="60"/>
      <c r="F517" s="8"/>
      <c r="G517" s="8"/>
      <c r="H517" s="8"/>
      <c r="I517" s="60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60"/>
      <c r="B518" s="60"/>
      <c r="C518" s="8"/>
      <c r="D518" s="60"/>
      <c r="E518" s="60"/>
      <c r="F518" s="8"/>
      <c r="G518" s="8"/>
      <c r="H518" s="8"/>
      <c r="I518" s="60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60"/>
      <c r="B519" s="60"/>
      <c r="C519" s="8"/>
      <c r="D519" s="60"/>
      <c r="E519" s="60"/>
      <c r="F519" s="8"/>
      <c r="G519" s="8"/>
      <c r="H519" s="8"/>
      <c r="I519" s="60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60"/>
      <c r="B520" s="60"/>
      <c r="C520" s="8"/>
      <c r="D520" s="60"/>
      <c r="E520" s="60"/>
      <c r="F520" s="8"/>
      <c r="G520" s="8"/>
      <c r="H520" s="8"/>
      <c r="I520" s="60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60"/>
      <c r="B521" s="60"/>
      <c r="C521" s="8"/>
      <c r="D521" s="60"/>
      <c r="E521" s="60"/>
      <c r="F521" s="8"/>
      <c r="G521" s="8"/>
      <c r="H521" s="8"/>
      <c r="I521" s="60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60"/>
      <c r="B522" s="60"/>
      <c r="C522" s="8"/>
      <c r="D522" s="60"/>
      <c r="E522" s="60"/>
      <c r="F522" s="8"/>
      <c r="G522" s="8"/>
      <c r="H522" s="8"/>
      <c r="I522" s="60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60"/>
      <c r="B523" s="60"/>
      <c r="C523" s="8"/>
      <c r="D523" s="60"/>
      <c r="E523" s="60"/>
      <c r="F523" s="8"/>
      <c r="G523" s="8"/>
      <c r="H523" s="8"/>
      <c r="I523" s="60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60"/>
      <c r="B524" s="60"/>
      <c r="C524" s="8"/>
      <c r="D524" s="60"/>
      <c r="E524" s="60"/>
      <c r="F524" s="8"/>
      <c r="G524" s="8"/>
      <c r="H524" s="8"/>
      <c r="I524" s="60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60"/>
      <c r="B525" s="60"/>
      <c r="C525" s="8"/>
      <c r="D525" s="60"/>
      <c r="E525" s="60"/>
      <c r="F525" s="8"/>
      <c r="G525" s="8"/>
      <c r="H525" s="8"/>
      <c r="I525" s="60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60"/>
      <c r="B526" s="60"/>
      <c r="C526" s="8"/>
      <c r="D526" s="60"/>
      <c r="E526" s="60"/>
      <c r="F526" s="8"/>
      <c r="G526" s="8"/>
      <c r="H526" s="8"/>
      <c r="I526" s="60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60"/>
      <c r="B527" s="60"/>
      <c r="C527" s="8"/>
      <c r="D527" s="60"/>
      <c r="E527" s="60"/>
      <c r="F527" s="8"/>
      <c r="G527" s="8"/>
      <c r="H527" s="8"/>
      <c r="I527" s="60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60"/>
      <c r="B528" s="60"/>
      <c r="C528" s="8"/>
      <c r="D528" s="60"/>
      <c r="E528" s="60"/>
      <c r="F528" s="8"/>
      <c r="G528" s="8"/>
      <c r="H528" s="8"/>
      <c r="I528" s="60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60"/>
      <c r="B529" s="60"/>
      <c r="C529" s="8"/>
      <c r="D529" s="60"/>
      <c r="E529" s="60"/>
      <c r="F529" s="8"/>
      <c r="G529" s="8"/>
      <c r="H529" s="8"/>
      <c r="I529" s="60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60"/>
      <c r="B530" s="60"/>
      <c r="C530" s="8"/>
      <c r="D530" s="60"/>
      <c r="E530" s="60"/>
      <c r="F530" s="8"/>
      <c r="G530" s="8"/>
      <c r="H530" s="8"/>
      <c r="I530" s="60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60"/>
      <c r="B531" s="60"/>
      <c r="C531" s="8"/>
      <c r="D531" s="60"/>
      <c r="E531" s="60"/>
      <c r="F531" s="8"/>
      <c r="G531" s="8"/>
      <c r="H531" s="8"/>
      <c r="I531" s="60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60"/>
      <c r="B532" s="60"/>
      <c r="C532" s="8"/>
      <c r="D532" s="60"/>
      <c r="E532" s="60"/>
      <c r="F532" s="8"/>
      <c r="G532" s="8"/>
      <c r="H532" s="8"/>
      <c r="I532" s="60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60"/>
      <c r="B533" s="60"/>
      <c r="C533" s="8"/>
      <c r="D533" s="60"/>
      <c r="E533" s="60"/>
      <c r="F533" s="8"/>
      <c r="G533" s="8"/>
      <c r="H533" s="8"/>
      <c r="I533" s="60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60"/>
      <c r="B534" s="60"/>
      <c r="C534" s="8"/>
      <c r="D534" s="60"/>
      <c r="E534" s="60"/>
      <c r="F534" s="8"/>
      <c r="G534" s="8"/>
      <c r="H534" s="8"/>
      <c r="I534" s="60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60"/>
      <c r="B535" s="60"/>
      <c r="C535" s="8"/>
      <c r="D535" s="60"/>
      <c r="E535" s="60"/>
      <c r="F535" s="8"/>
      <c r="G535" s="8"/>
      <c r="H535" s="8"/>
      <c r="I535" s="60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60"/>
      <c r="B536" s="60"/>
      <c r="C536" s="8"/>
      <c r="D536" s="60"/>
      <c r="E536" s="60"/>
      <c r="F536" s="8"/>
      <c r="G536" s="8"/>
      <c r="H536" s="8"/>
      <c r="I536" s="60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60"/>
      <c r="B537" s="60"/>
      <c r="C537" s="8"/>
      <c r="D537" s="60"/>
      <c r="E537" s="60"/>
      <c r="F537" s="8"/>
      <c r="G537" s="8"/>
      <c r="H537" s="8"/>
      <c r="I537" s="60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60"/>
      <c r="B538" s="60"/>
      <c r="C538" s="8"/>
      <c r="D538" s="60"/>
      <c r="E538" s="60"/>
      <c r="F538" s="8"/>
      <c r="G538" s="8"/>
      <c r="H538" s="8"/>
      <c r="I538" s="60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60"/>
      <c r="B539" s="60"/>
      <c r="C539" s="8"/>
      <c r="D539" s="60"/>
      <c r="E539" s="60"/>
      <c r="F539" s="8"/>
      <c r="G539" s="8"/>
      <c r="H539" s="8"/>
      <c r="I539" s="60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60"/>
      <c r="B540" s="60"/>
      <c r="C540" s="8"/>
      <c r="D540" s="60"/>
      <c r="E540" s="60"/>
      <c r="F540" s="8"/>
      <c r="G540" s="8"/>
      <c r="H540" s="8"/>
      <c r="I540" s="60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60"/>
      <c r="B541" s="60"/>
      <c r="C541" s="8"/>
      <c r="D541" s="60"/>
      <c r="E541" s="60"/>
      <c r="F541" s="8"/>
      <c r="G541" s="8"/>
      <c r="H541" s="8"/>
      <c r="I541" s="60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60"/>
      <c r="B542" s="60"/>
      <c r="C542" s="8"/>
      <c r="D542" s="60"/>
      <c r="E542" s="60"/>
      <c r="F542" s="8"/>
      <c r="G542" s="8"/>
      <c r="H542" s="8"/>
      <c r="I542" s="60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60"/>
      <c r="B543" s="60"/>
      <c r="C543" s="8"/>
      <c r="D543" s="60"/>
      <c r="E543" s="60"/>
      <c r="F543" s="8"/>
      <c r="G543" s="8"/>
      <c r="H543" s="8"/>
      <c r="I543" s="60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60"/>
      <c r="B544" s="60"/>
      <c r="C544" s="8"/>
      <c r="D544" s="60"/>
      <c r="E544" s="60"/>
      <c r="F544" s="8"/>
      <c r="G544" s="8"/>
      <c r="H544" s="8"/>
      <c r="I544" s="60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60"/>
      <c r="B545" s="60"/>
      <c r="C545" s="8"/>
      <c r="D545" s="60"/>
      <c r="E545" s="60"/>
      <c r="F545" s="8"/>
      <c r="G545" s="8"/>
      <c r="H545" s="8"/>
      <c r="I545" s="60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60"/>
      <c r="B546" s="60"/>
      <c r="C546" s="8"/>
      <c r="D546" s="60"/>
      <c r="E546" s="60"/>
      <c r="F546" s="8"/>
      <c r="G546" s="8"/>
      <c r="H546" s="8"/>
      <c r="I546" s="60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60"/>
      <c r="B547" s="60"/>
      <c r="C547" s="8"/>
      <c r="D547" s="60"/>
      <c r="E547" s="60"/>
      <c r="F547" s="8"/>
      <c r="G547" s="8"/>
      <c r="H547" s="8"/>
      <c r="I547" s="60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60"/>
      <c r="B548" s="60"/>
      <c r="C548" s="8"/>
      <c r="D548" s="60"/>
      <c r="E548" s="60"/>
      <c r="F548" s="8"/>
      <c r="G548" s="8"/>
      <c r="H548" s="8"/>
      <c r="I548" s="60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60"/>
      <c r="B549" s="60"/>
      <c r="C549" s="8"/>
      <c r="D549" s="60"/>
      <c r="E549" s="60"/>
      <c r="F549" s="8"/>
      <c r="G549" s="8"/>
      <c r="H549" s="8"/>
      <c r="I549" s="60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60"/>
      <c r="B550" s="60"/>
      <c r="C550" s="8"/>
      <c r="D550" s="60"/>
      <c r="E550" s="60"/>
      <c r="F550" s="8"/>
      <c r="G550" s="8"/>
      <c r="H550" s="8"/>
      <c r="I550" s="60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60"/>
      <c r="B551" s="60"/>
      <c r="C551" s="8"/>
      <c r="D551" s="60"/>
      <c r="E551" s="60"/>
      <c r="F551" s="8"/>
      <c r="G551" s="8"/>
      <c r="H551" s="8"/>
      <c r="I551" s="60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60"/>
      <c r="B552" s="60"/>
      <c r="C552" s="8"/>
      <c r="D552" s="60"/>
      <c r="E552" s="60"/>
      <c r="F552" s="8"/>
      <c r="G552" s="8"/>
      <c r="H552" s="8"/>
      <c r="I552" s="60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60"/>
      <c r="B553" s="60"/>
      <c r="C553" s="8"/>
      <c r="D553" s="60"/>
      <c r="E553" s="60"/>
      <c r="F553" s="8"/>
      <c r="G553" s="8"/>
      <c r="H553" s="8"/>
      <c r="I553" s="60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60"/>
      <c r="B554" s="60"/>
      <c r="C554" s="8"/>
      <c r="D554" s="60"/>
      <c r="E554" s="60"/>
      <c r="F554" s="8"/>
      <c r="G554" s="8"/>
      <c r="H554" s="8"/>
      <c r="I554" s="60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60"/>
      <c r="B555" s="60"/>
      <c r="C555" s="8"/>
      <c r="D555" s="60"/>
      <c r="E555" s="60"/>
      <c r="F555" s="8"/>
      <c r="G555" s="8"/>
      <c r="H555" s="8"/>
      <c r="I555" s="60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60"/>
      <c r="B556" s="60"/>
      <c r="C556" s="8"/>
      <c r="D556" s="60"/>
      <c r="E556" s="60"/>
      <c r="F556" s="8"/>
      <c r="G556" s="8"/>
      <c r="H556" s="8"/>
      <c r="I556" s="60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60"/>
      <c r="B557" s="60"/>
      <c r="C557" s="8"/>
      <c r="D557" s="60"/>
      <c r="E557" s="60"/>
      <c r="F557" s="8"/>
      <c r="G557" s="8"/>
      <c r="H557" s="8"/>
      <c r="I557" s="60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60"/>
      <c r="B558" s="60"/>
      <c r="C558" s="8"/>
      <c r="D558" s="60"/>
      <c r="E558" s="60"/>
      <c r="F558" s="8"/>
      <c r="G558" s="8"/>
      <c r="H558" s="8"/>
      <c r="I558" s="60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60"/>
      <c r="B559" s="60"/>
      <c r="C559" s="8"/>
      <c r="D559" s="60"/>
      <c r="E559" s="60"/>
      <c r="F559" s="8"/>
      <c r="G559" s="8"/>
      <c r="H559" s="8"/>
      <c r="I559" s="60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60"/>
      <c r="B560" s="60"/>
      <c r="C560" s="8"/>
      <c r="D560" s="60"/>
      <c r="E560" s="60"/>
      <c r="F560" s="8"/>
      <c r="G560" s="8"/>
      <c r="H560" s="8"/>
      <c r="I560" s="60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60"/>
      <c r="B561" s="60"/>
      <c r="C561" s="8"/>
      <c r="D561" s="60"/>
      <c r="E561" s="60"/>
      <c r="F561" s="8"/>
      <c r="G561" s="8"/>
      <c r="H561" s="8"/>
      <c r="I561" s="60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60"/>
      <c r="B562" s="60"/>
      <c r="C562" s="8"/>
      <c r="D562" s="60"/>
      <c r="E562" s="60"/>
      <c r="F562" s="8"/>
      <c r="G562" s="8"/>
      <c r="H562" s="8"/>
      <c r="I562" s="60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60"/>
      <c r="B563" s="60"/>
      <c r="C563" s="8"/>
      <c r="D563" s="60"/>
      <c r="E563" s="60"/>
      <c r="F563" s="8"/>
      <c r="G563" s="8"/>
      <c r="H563" s="8"/>
      <c r="I563" s="60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60"/>
      <c r="B564" s="60"/>
      <c r="C564" s="8"/>
      <c r="D564" s="60"/>
      <c r="E564" s="60"/>
      <c r="F564" s="8"/>
      <c r="G564" s="8"/>
      <c r="H564" s="8"/>
      <c r="I564" s="60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60"/>
      <c r="B565" s="60"/>
      <c r="C565" s="8"/>
      <c r="D565" s="60"/>
      <c r="E565" s="60"/>
      <c r="F565" s="8"/>
      <c r="G565" s="8"/>
      <c r="H565" s="8"/>
      <c r="I565" s="60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60"/>
      <c r="B566" s="60"/>
      <c r="C566" s="8"/>
      <c r="D566" s="60"/>
      <c r="E566" s="60"/>
      <c r="F566" s="8"/>
      <c r="G566" s="8"/>
      <c r="H566" s="8"/>
      <c r="I566" s="60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60"/>
      <c r="B567" s="60"/>
      <c r="C567" s="8"/>
      <c r="D567" s="60"/>
      <c r="E567" s="60"/>
      <c r="F567" s="8"/>
      <c r="G567" s="8"/>
      <c r="H567" s="8"/>
      <c r="I567" s="60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60"/>
      <c r="B568" s="60"/>
      <c r="C568" s="8"/>
      <c r="D568" s="60"/>
      <c r="E568" s="60"/>
      <c r="F568" s="8"/>
      <c r="G568" s="8"/>
      <c r="H568" s="8"/>
      <c r="I568" s="60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60"/>
      <c r="B569" s="60"/>
      <c r="C569" s="8"/>
      <c r="D569" s="60"/>
      <c r="E569" s="60"/>
      <c r="F569" s="8"/>
      <c r="G569" s="8"/>
      <c r="H569" s="8"/>
      <c r="I569" s="60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60"/>
      <c r="B570" s="60"/>
      <c r="C570" s="8"/>
      <c r="D570" s="60"/>
      <c r="E570" s="60"/>
      <c r="F570" s="8"/>
      <c r="G570" s="8"/>
      <c r="H570" s="8"/>
      <c r="I570" s="60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60"/>
      <c r="B571" s="60"/>
      <c r="C571" s="8"/>
      <c r="D571" s="60"/>
      <c r="E571" s="60"/>
      <c r="F571" s="8"/>
      <c r="G571" s="8"/>
      <c r="H571" s="8"/>
      <c r="I571" s="60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60"/>
      <c r="B572" s="60"/>
      <c r="C572" s="8"/>
      <c r="D572" s="60"/>
      <c r="E572" s="60"/>
      <c r="F572" s="8"/>
      <c r="G572" s="8"/>
      <c r="H572" s="8"/>
      <c r="I572" s="60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60"/>
      <c r="B573" s="60"/>
      <c r="C573" s="8"/>
      <c r="D573" s="60"/>
      <c r="E573" s="60"/>
      <c r="F573" s="8"/>
      <c r="G573" s="8"/>
      <c r="H573" s="8"/>
      <c r="I573" s="60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60"/>
      <c r="B574" s="60"/>
      <c r="C574" s="8"/>
      <c r="D574" s="60"/>
      <c r="E574" s="60"/>
      <c r="F574" s="8"/>
      <c r="G574" s="8"/>
      <c r="H574" s="8"/>
      <c r="I574" s="60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60"/>
      <c r="B575" s="60"/>
      <c r="C575" s="8"/>
      <c r="D575" s="60"/>
      <c r="E575" s="60"/>
      <c r="F575" s="8"/>
      <c r="G575" s="8"/>
      <c r="H575" s="8"/>
      <c r="I575" s="60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60"/>
      <c r="B576" s="60"/>
      <c r="C576" s="8"/>
      <c r="D576" s="60"/>
      <c r="E576" s="60"/>
      <c r="F576" s="8"/>
      <c r="G576" s="8"/>
      <c r="H576" s="8"/>
      <c r="I576" s="60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60"/>
      <c r="B577" s="60"/>
      <c r="C577" s="8"/>
      <c r="D577" s="60"/>
      <c r="E577" s="60"/>
      <c r="F577" s="8"/>
      <c r="G577" s="8"/>
      <c r="H577" s="8"/>
      <c r="I577" s="60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60"/>
      <c r="B578" s="60"/>
      <c r="C578" s="8"/>
      <c r="D578" s="60"/>
      <c r="E578" s="60"/>
      <c r="F578" s="8"/>
      <c r="G578" s="8"/>
      <c r="H578" s="8"/>
      <c r="I578" s="60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60"/>
      <c r="B579" s="60"/>
      <c r="C579" s="8"/>
      <c r="D579" s="60"/>
      <c r="E579" s="60"/>
      <c r="F579" s="8"/>
      <c r="G579" s="8"/>
      <c r="H579" s="8"/>
      <c r="I579" s="60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60"/>
      <c r="B580" s="60"/>
      <c r="C580" s="8"/>
      <c r="D580" s="60"/>
      <c r="E580" s="60"/>
      <c r="F580" s="8"/>
      <c r="G580" s="8"/>
      <c r="H580" s="8"/>
      <c r="I580" s="60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60"/>
      <c r="B581" s="60"/>
      <c r="C581" s="8"/>
      <c r="D581" s="60"/>
      <c r="E581" s="60"/>
      <c r="F581" s="8"/>
      <c r="G581" s="8"/>
      <c r="H581" s="8"/>
      <c r="I581" s="60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60"/>
      <c r="B582" s="60"/>
      <c r="C582" s="8"/>
      <c r="D582" s="60"/>
      <c r="E582" s="60"/>
      <c r="F582" s="8"/>
      <c r="G582" s="8"/>
      <c r="H582" s="8"/>
      <c r="I582" s="60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60"/>
      <c r="B583" s="60"/>
      <c r="C583" s="8"/>
      <c r="D583" s="60"/>
      <c r="E583" s="60"/>
      <c r="F583" s="8"/>
      <c r="G583" s="8"/>
      <c r="H583" s="8"/>
      <c r="I583" s="60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60"/>
      <c r="B584" s="60"/>
      <c r="C584" s="8"/>
      <c r="D584" s="60"/>
      <c r="E584" s="60"/>
      <c r="F584" s="8"/>
      <c r="G584" s="8"/>
      <c r="H584" s="8"/>
      <c r="I584" s="60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60"/>
      <c r="B585" s="60"/>
      <c r="C585" s="8"/>
      <c r="D585" s="60"/>
      <c r="E585" s="60"/>
      <c r="F585" s="8"/>
      <c r="G585" s="8"/>
      <c r="H585" s="8"/>
      <c r="I585" s="60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60"/>
      <c r="B586" s="60"/>
      <c r="C586" s="8"/>
      <c r="D586" s="60"/>
      <c r="E586" s="60"/>
      <c r="F586" s="8"/>
      <c r="G586" s="8"/>
      <c r="H586" s="8"/>
      <c r="I586" s="60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60"/>
      <c r="B587" s="60"/>
      <c r="C587" s="8"/>
      <c r="D587" s="60"/>
      <c r="E587" s="60"/>
      <c r="F587" s="8"/>
      <c r="G587" s="8"/>
      <c r="H587" s="8"/>
      <c r="I587" s="60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60"/>
      <c r="B588" s="60"/>
      <c r="C588" s="8"/>
      <c r="D588" s="60"/>
      <c r="E588" s="60"/>
      <c r="F588" s="8"/>
      <c r="G588" s="8"/>
      <c r="H588" s="8"/>
      <c r="I588" s="60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60"/>
      <c r="B589" s="60"/>
      <c r="C589" s="8"/>
      <c r="D589" s="60"/>
      <c r="E589" s="60"/>
      <c r="F589" s="8"/>
      <c r="G589" s="8"/>
      <c r="H589" s="8"/>
      <c r="I589" s="60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60"/>
      <c r="B590" s="60"/>
      <c r="C590" s="8"/>
      <c r="D590" s="60"/>
      <c r="E590" s="60"/>
      <c r="F590" s="8"/>
      <c r="G590" s="8"/>
      <c r="H590" s="8"/>
      <c r="I590" s="60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60"/>
      <c r="B591" s="60"/>
      <c r="C591" s="8"/>
      <c r="D591" s="60"/>
      <c r="E591" s="60"/>
      <c r="F591" s="8"/>
      <c r="G591" s="8"/>
      <c r="H591" s="8"/>
      <c r="I591" s="60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60"/>
      <c r="B592" s="60"/>
      <c r="C592" s="8"/>
      <c r="D592" s="60"/>
      <c r="E592" s="60"/>
      <c r="F592" s="8"/>
      <c r="G592" s="8"/>
      <c r="H592" s="8"/>
      <c r="I592" s="60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60"/>
      <c r="B593" s="60"/>
      <c r="C593" s="8"/>
      <c r="D593" s="60"/>
      <c r="E593" s="60"/>
      <c r="F593" s="8"/>
      <c r="G593" s="8"/>
      <c r="H593" s="8"/>
      <c r="I593" s="60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60"/>
      <c r="B594" s="60"/>
      <c r="C594" s="8"/>
      <c r="D594" s="60"/>
      <c r="E594" s="60"/>
      <c r="F594" s="8"/>
      <c r="G594" s="8"/>
      <c r="H594" s="8"/>
      <c r="I594" s="60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60"/>
      <c r="B595" s="60"/>
      <c r="C595" s="8"/>
      <c r="D595" s="60"/>
      <c r="E595" s="60"/>
      <c r="F595" s="8"/>
      <c r="G595" s="8"/>
      <c r="H595" s="8"/>
      <c r="I595" s="60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60"/>
      <c r="B596" s="60"/>
      <c r="C596" s="8"/>
      <c r="D596" s="60"/>
      <c r="E596" s="60"/>
      <c r="F596" s="8"/>
      <c r="G596" s="8"/>
      <c r="H596" s="8"/>
      <c r="I596" s="60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60"/>
      <c r="B597" s="60"/>
      <c r="C597" s="8"/>
      <c r="D597" s="60"/>
      <c r="E597" s="60"/>
      <c r="F597" s="8"/>
      <c r="G597" s="8"/>
      <c r="H597" s="8"/>
      <c r="I597" s="60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60"/>
      <c r="B598" s="60"/>
      <c r="C598" s="8"/>
      <c r="D598" s="60"/>
      <c r="E598" s="60"/>
      <c r="F598" s="8"/>
      <c r="G598" s="8"/>
      <c r="H598" s="8"/>
      <c r="I598" s="60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60"/>
      <c r="B599" s="60"/>
      <c r="C599" s="8"/>
      <c r="D599" s="60"/>
      <c r="E599" s="60"/>
      <c r="F599" s="8"/>
      <c r="G599" s="8"/>
      <c r="H599" s="8"/>
      <c r="I599" s="60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60"/>
      <c r="B600" s="60"/>
      <c r="C600" s="8"/>
      <c r="D600" s="60"/>
      <c r="E600" s="60"/>
      <c r="F600" s="8"/>
      <c r="G600" s="8"/>
      <c r="H600" s="8"/>
      <c r="I600" s="60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60"/>
      <c r="B601" s="60"/>
      <c r="C601" s="8"/>
      <c r="D601" s="60"/>
      <c r="E601" s="60"/>
      <c r="F601" s="8"/>
      <c r="G601" s="8"/>
      <c r="H601" s="8"/>
      <c r="I601" s="60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60"/>
      <c r="B602" s="60"/>
      <c r="C602" s="8"/>
      <c r="D602" s="60"/>
      <c r="E602" s="60"/>
      <c r="F602" s="8"/>
      <c r="G602" s="8"/>
      <c r="H602" s="8"/>
      <c r="I602" s="60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60"/>
      <c r="B603" s="60"/>
      <c r="C603" s="8"/>
      <c r="D603" s="60"/>
      <c r="E603" s="60"/>
      <c r="F603" s="8"/>
      <c r="G603" s="8"/>
      <c r="H603" s="8"/>
      <c r="I603" s="60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60"/>
      <c r="B604" s="60"/>
      <c r="C604" s="8"/>
      <c r="D604" s="60"/>
      <c r="E604" s="60"/>
      <c r="F604" s="8"/>
      <c r="G604" s="8"/>
      <c r="H604" s="8"/>
      <c r="I604" s="60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60"/>
      <c r="B605" s="60"/>
      <c r="C605" s="8"/>
      <c r="D605" s="60"/>
      <c r="E605" s="60"/>
      <c r="F605" s="8"/>
      <c r="G605" s="8"/>
      <c r="H605" s="8"/>
      <c r="I605" s="60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60"/>
      <c r="B606" s="60"/>
      <c r="C606" s="8"/>
      <c r="D606" s="60"/>
      <c r="E606" s="60"/>
      <c r="F606" s="8"/>
      <c r="G606" s="8"/>
      <c r="H606" s="8"/>
      <c r="I606" s="60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60"/>
      <c r="B607" s="60"/>
      <c r="C607" s="8"/>
      <c r="D607" s="60"/>
      <c r="E607" s="60"/>
      <c r="F607" s="8"/>
      <c r="G607" s="8"/>
      <c r="H607" s="8"/>
      <c r="I607" s="60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60"/>
      <c r="B608" s="60"/>
      <c r="C608" s="8"/>
      <c r="D608" s="60"/>
      <c r="E608" s="60"/>
      <c r="F608" s="8"/>
      <c r="G608" s="8"/>
      <c r="H608" s="8"/>
      <c r="I608" s="60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60"/>
      <c r="B609" s="60"/>
      <c r="C609" s="8"/>
      <c r="D609" s="60"/>
      <c r="E609" s="60"/>
      <c r="F609" s="8"/>
      <c r="G609" s="8"/>
      <c r="H609" s="8"/>
      <c r="I609" s="60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60"/>
      <c r="B610" s="60"/>
      <c r="C610" s="8"/>
      <c r="D610" s="60"/>
      <c r="E610" s="60"/>
      <c r="F610" s="8"/>
      <c r="G610" s="8"/>
      <c r="H610" s="8"/>
      <c r="I610" s="60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60"/>
      <c r="B611" s="60"/>
      <c r="C611" s="8"/>
      <c r="D611" s="60"/>
      <c r="E611" s="60"/>
      <c r="F611" s="8"/>
      <c r="G611" s="8"/>
      <c r="H611" s="8"/>
      <c r="I611" s="60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60"/>
      <c r="B612" s="60"/>
      <c r="C612" s="8"/>
      <c r="D612" s="60"/>
      <c r="E612" s="60"/>
      <c r="F612" s="8"/>
      <c r="G612" s="8"/>
      <c r="H612" s="8"/>
      <c r="I612" s="60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60"/>
      <c r="B613" s="60"/>
      <c r="C613" s="8"/>
      <c r="D613" s="60"/>
      <c r="E613" s="60"/>
      <c r="F613" s="8"/>
      <c r="G613" s="8"/>
      <c r="H613" s="8"/>
      <c r="I613" s="60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60"/>
      <c r="B614" s="60"/>
      <c r="C614" s="8"/>
      <c r="D614" s="60"/>
      <c r="E614" s="60"/>
      <c r="F614" s="8"/>
      <c r="G614" s="8"/>
      <c r="H614" s="8"/>
      <c r="I614" s="60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60"/>
      <c r="B615" s="60"/>
      <c r="C615" s="8"/>
      <c r="D615" s="60"/>
      <c r="E615" s="60"/>
      <c r="F615" s="8"/>
      <c r="G615" s="8"/>
      <c r="H615" s="8"/>
      <c r="I615" s="60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60"/>
      <c r="B616" s="60"/>
      <c r="C616" s="8"/>
      <c r="D616" s="60"/>
      <c r="E616" s="60"/>
      <c r="F616" s="8"/>
      <c r="G616" s="8"/>
      <c r="H616" s="8"/>
      <c r="I616" s="60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60"/>
      <c r="B617" s="60"/>
      <c r="C617" s="8"/>
      <c r="D617" s="60"/>
      <c r="E617" s="60"/>
      <c r="F617" s="8"/>
      <c r="G617" s="8"/>
      <c r="H617" s="8"/>
      <c r="I617" s="60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60"/>
      <c r="B618" s="60"/>
      <c r="C618" s="8"/>
      <c r="D618" s="60"/>
      <c r="E618" s="60"/>
      <c r="F618" s="8"/>
      <c r="G618" s="8"/>
      <c r="H618" s="8"/>
      <c r="I618" s="60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60"/>
      <c r="B619" s="60"/>
      <c r="C619" s="8"/>
      <c r="D619" s="60"/>
      <c r="E619" s="60"/>
      <c r="F619" s="8"/>
      <c r="G619" s="8"/>
      <c r="H619" s="8"/>
      <c r="I619" s="60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60"/>
      <c r="B620" s="60"/>
      <c r="C620" s="8"/>
      <c r="D620" s="60"/>
      <c r="E620" s="60"/>
      <c r="F620" s="8"/>
      <c r="G620" s="8"/>
      <c r="H620" s="8"/>
      <c r="I620" s="60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60"/>
      <c r="B621" s="60"/>
      <c r="C621" s="8"/>
      <c r="D621" s="60"/>
      <c r="E621" s="60"/>
      <c r="F621" s="8"/>
      <c r="G621" s="8"/>
      <c r="H621" s="8"/>
      <c r="I621" s="60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60"/>
      <c r="B622" s="60"/>
      <c r="C622" s="8"/>
      <c r="D622" s="60"/>
      <c r="E622" s="60"/>
      <c r="F622" s="8"/>
      <c r="G622" s="8"/>
      <c r="H622" s="8"/>
      <c r="I622" s="60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60"/>
      <c r="B623" s="60"/>
      <c r="C623" s="8"/>
      <c r="D623" s="60"/>
      <c r="E623" s="60"/>
      <c r="F623" s="8"/>
      <c r="G623" s="8"/>
      <c r="H623" s="8"/>
      <c r="I623" s="60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60"/>
      <c r="B624" s="60"/>
      <c r="C624" s="8"/>
      <c r="D624" s="60"/>
      <c r="E624" s="60"/>
      <c r="F624" s="8"/>
      <c r="G624" s="8"/>
      <c r="H624" s="8"/>
      <c r="I624" s="60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60"/>
      <c r="B625" s="60"/>
      <c r="C625" s="8"/>
      <c r="D625" s="60"/>
      <c r="E625" s="60"/>
      <c r="F625" s="8"/>
      <c r="G625" s="8"/>
      <c r="H625" s="8"/>
      <c r="I625" s="60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60"/>
      <c r="B626" s="60"/>
      <c r="C626" s="8"/>
      <c r="D626" s="60"/>
      <c r="E626" s="60"/>
      <c r="F626" s="8"/>
      <c r="G626" s="8"/>
      <c r="H626" s="8"/>
      <c r="I626" s="60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60"/>
      <c r="B627" s="60"/>
      <c r="C627" s="8"/>
      <c r="D627" s="60"/>
      <c r="E627" s="60"/>
      <c r="F627" s="8"/>
      <c r="G627" s="8"/>
      <c r="H627" s="8"/>
      <c r="I627" s="60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60"/>
      <c r="B628" s="60"/>
      <c r="C628" s="8"/>
      <c r="D628" s="60"/>
      <c r="E628" s="60"/>
      <c r="F628" s="8"/>
      <c r="G628" s="8"/>
      <c r="H628" s="8"/>
      <c r="I628" s="60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60"/>
      <c r="B629" s="60"/>
      <c r="C629" s="8"/>
      <c r="D629" s="60"/>
      <c r="E629" s="60"/>
      <c r="F629" s="8"/>
      <c r="G629" s="8"/>
      <c r="H629" s="8"/>
      <c r="I629" s="60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60"/>
      <c r="B630" s="60"/>
      <c r="C630" s="8"/>
      <c r="D630" s="60"/>
      <c r="E630" s="60"/>
      <c r="F630" s="8"/>
      <c r="G630" s="8"/>
      <c r="H630" s="8"/>
      <c r="I630" s="60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60"/>
      <c r="B631" s="60"/>
      <c r="C631" s="8"/>
      <c r="D631" s="60"/>
      <c r="E631" s="60"/>
      <c r="F631" s="8"/>
      <c r="G631" s="8"/>
      <c r="H631" s="8"/>
      <c r="I631" s="60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60"/>
      <c r="B632" s="60"/>
      <c r="C632" s="8"/>
      <c r="D632" s="60"/>
      <c r="E632" s="60"/>
      <c r="F632" s="8"/>
      <c r="G632" s="8"/>
      <c r="H632" s="8"/>
      <c r="I632" s="60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60"/>
      <c r="B633" s="60"/>
      <c r="C633" s="8"/>
      <c r="D633" s="60"/>
      <c r="E633" s="60"/>
      <c r="F633" s="8"/>
      <c r="G633" s="8"/>
      <c r="H633" s="8"/>
      <c r="I633" s="60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60"/>
      <c r="B634" s="60"/>
      <c r="C634" s="8"/>
      <c r="D634" s="60"/>
      <c r="E634" s="60"/>
      <c r="F634" s="8"/>
      <c r="G634" s="8"/>
      <c r="H634" s="8"/>
      <c r="I634" s="60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60"/>
      <c r="B635" s="60"/>
      <c r="C635" s="8"/>
      <c r="D635" s="60"/>
      <c r="E635" s="60"/>
      <c r="F635" s="8"/>
      <c r="G635" s="8"/>
      <c r="H635" s="8"/>
      <c r="I635" s="60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60"/>
      <c r="B636" s="60"/>
      <c r="C636" s="8"/>
      <c r="D636" s="60"/>
      <c r="E636" s="60"/>
      <c r="F636" s="8"/>
      <c r="G636" s="8"/>
      <c r="H636" s="8"/>
      <c r="I636" s="60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60"/>
      <c r="B637" s="60"/>
      <c r="C637" s="8"/>
      <c r="D637" s="60"/>
      <c r="E637" s="60"/>
      <c r="F637" s="8"/>
      <c r="G637" s="8"/>
      <c r="H637" s="8"/>
      <c r="I637" s="60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60"/>
      <c r="B638" s="60"/>
      <c r="C638" s="8"/>
      <c r="D638" s="60"/>
      <c r="E638" s="60"/>
      <c r="F638" s="8"/>
      <c r="G638" s="8"/>
      <c r="H638" s="8"/>
      <c r="I638" s="60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60"/>
      <c r="B639" s="60"/>
      <c r="C639" s="8"/>
      <c r="D639" s="60"/>
      <c r="E639" s="60"/>
      <c r="F639" s="8"/>
      <c r="G639" s="8"/>
      <c r="H639" s="8"/>
      <c r="I639" s="60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60"/>
      <c r="B640" s="60"/>
      <c r="C640" s="8"/>
      <c r="D640" s="60"/>
      <c r="E640" s="60"/>
      <c r="F640" s="8"/>
      <c r="G640" s="8"/>
      <c r="H640" s="8"/>
      <c r="I640" s="60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60"/>
      <c r="B641" s="60"/>
      <c r="C641" s="8"/>
      <c r="D641" s="60"/>
      <c r="E641" s="60"/>
      <c r="F641" s="8"/>
      <c r="G641" s="8"/>
      <c r="H641" s="8"/>
      <c r="I641" s="60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60"/>
      <c r="B642" s="60"/>
      <c r="C642" s="8"/>
      <c r="D642" s="60"/>
      <c r="E642" s="60"/>
      <c r="F642" s="8"/>
      <c r="G642" s="8"/>
      <c r="H642" s="8"/>
      <c r="I642" s="60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60"/>
      <c r="B643" s="60"/>
      <c r="C643" s="8"/>
      <c r="D643" s="60"/>
      <c r="E643" s="60"/>
      <c r="F643" s="8"/>
      <c r="G643" s="8"/>
      <c r="H643" s="8"/>
      <c r="I643" s="60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60"/>
      <c r="B644" s="60"/>
      <c r="C644" s="8"/>
      <c r="D644" s="60"/>
      <c r="E644" s="60"/>
      <c r="F644" s="8"/>
      <c r="G644" s="8"/>
      <c r="H644" s="8"/>
      <c r="I644" s="60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60"/>
      <c r="B645" s="60"/>
      <c r="C645" s="8"/>
      <c r="D645" s="60"/>
      <c r="E645" s="60"/>
      <c r="F645" s="8"/>
      <c r="G645" s="8"/>
      <c r="H645" s="8"/>
      <c r="I645" s="60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60"/>
      <c r="B646" s="60"/>
      <c r="C646" s="8"/>
      <c r="D646" s="60"/>
      <c r="E646" s="60"/>
      <c r="F646" s="8"/>
      <c r="G646" s="8"/>
      <c r="H646" s="8"/>
      <c r="I646" s="60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60"/>
      <c r="B647" s="60"/>
      <c r="C647" s="8"/>
      <c r="D647" s="60"/>
      <c r="E647" s="60"/>
      <c r="F647" s="8"/>
      <c r="G647" s="8"/>
      <c r="H647" s="8"/>
      <c r="I647" s="60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60"/>
      <c r="B648" s="60"/>
      <c r="C648" s="8"/>
      <c r="D648" s="60"/>
      <c r="E648" s="60"/>
      <c r="F648" s="8"/>
      <c r="G648" s="8"/>
      <c r="H648" s="8"/>
      <c r="I648" s="60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60"/>
      <c r="B649" s="60"/>
      <c r="C649" s="8"/>
      <c r="D649" s="60"/>
      <c r="E649" s="60"/>
      <c r="F649" s="8"/>
      <c r="G649" s="8"/>
      <c r="H649" s="8"/>
      <c r="I649" s="60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60"/>
      <c r="B650" s="60"/>
      <c r="C650" s="8"/>
      <c r="D650" s="60"/>
      <c r="E650" s="60"/>
      <c r="F650" s="8"/>
      <c r="G650" s="8"/>
      <c r="H650" s="8"/>
      <c r="I650" s="60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60"/>
      <c r="B651" s="60"/>
      <c r="C651" s="8"/>
      <c r="D651" s="60"/>
      <c r="E651" s="60"/>
      <c r="F651" s="8"/>
      <c r="G651" s="8"/>
      <c r="H651" s="8"/>
      <c r="I651" s="60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60"/>
      <c r="B652" s="60"/>
      <c r="C652" s="8"/>
      <c r="D652" s="60"/>
      <c r="E652" s="60"/>
      <c r="F652" s="8"/>
      <c r="G652" s="8"/>
      <c r="H652" s="8"/>
      <c r="I652" s="60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60"/>
      <c r="B653" s="60"/>
      <c r="C653" s="8"/>
      <c r="D653" s="60"/>
      <c r="E653" s="60"/>
      <c r="F653" s="8"/>
      <c r="G653" s="8"/>
      <c r="H653" s="8"/>
      <c r="I653" s="60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60"/>
      <c r="B654" s="60"/>
      <c r="C654" s="8"/>
      <c r="D654" s="60"/>
      <c r="E654" s="60"/>
      <c r="F654" s="8"/>
      <c r="G654" s="8"/>
      <c r="H654" s="8"/>
      <c r="I654" s="60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60"/>
      <c r="B655" s="60"/>
      <c r="C655" s="8"/>
      <c r="D655" s="60"/>
      <c r="E655" s="60"/>
      <c r="F655" s="8"/>
      <c r="G655" s="8"/>
      <c r="H655" s="8"/>
      <c r="I655" s="60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60"/>
      <c r="B656" s="60"/>
      <c r="C656" s="8"/>
      <c r="D656" s="60"/>
      <c r="E656" s="60"/>
      <c r="F656" s="8"/>
      <c r="G656" s="8"/>
      <c r="H656" s="8"/>
      <c r="I656" s="60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60"/>
      <c r="B657" s="60"/>
      <c r="C657" s="8"/>
      <c r="D657" s="60"/>
      <c r="E657" s="60"/>
      <c r="F657" s="8"/>
      <c r="G657" s="8"/>
      <c r="H657" s="8"/>
      <c r="I657" s="60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60"/>
      <c r="B658" s="60"/>
      <c r="C658" s="8"/>
      <c r="D658" s="60"/>
      <c r="E658" s="60"/>
      <c r="F658" s="8"/>
      <c r="G658" s="8"/>
      <c r="H658" s="8"/>
      <c r="I658" s="60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60"/>
      <c r="B659" s="60"/>
      <c r="C659" s="8"/>
      <c r="D659" s="60"/>
      <c r="E659" s="60"/>
      <c r="F659" s="8"/>
      <c r="G659" s="8"/>
      <c r="H659" s="8"/>
      <c r="I659" s="60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60"/>
      <c r="B660" s="60"/>
      <c r="C660" s="8"/>
      <c r="D660" s="60"/>
      <c r="E660" s="60"/>
      <c r="F660" s="8"/>
      <c r="G660" s="8"/>
      <c r="H660" s="8"/>
      <c r="I660" s="60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60"/>
      <c r="B661" s="60"/>
      <c r="C661" s="8"/>
      <c r="D661" s="60"/>
      <c r="E661" s="60"/>
      <c r="F661" s="8"/>
      <c r="G661" s="8"/>
      <c r="H661" s="8"/>
      <c r="I661" s="60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60"/>
      <c r="B662" s="60"/>
      <c r="C662" s="8"/>
      <c r="D662" s="60"/>
      <c r="E662" s="60"/>
      <c r="F662" s="8"/>
      <c r="G662" s="8"/>
      <c r="H662" s="8"/>
      <c r="I662" s="60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60"/>
      <c r="B663" s="60"/>
      <c r="C663" s="8"/>
      <c r="D663" s="60"/>
      <c r="E663" s="60"/>
      <c r="F663" s="8"/>
      <c r="G663" s="8"/>
      <c r="H663" s="8"/>
      <c r="I663" s="60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60"/>
      <c r="B664" s="60"/>
      <c r="C664" s="8"/>
      <c r="D664" s="60"/>
      <c r="E664" s="60"/>
      <c r="F664" s="8"/>
      <c r="G664" s="8"/>
      <c r="H664" s="8"/>
      <c r="I664" s="60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60"/>
      <c r="B665" s="60"/>
      <c r="C665" s="8"/>
      <c r="D665" s="60"/>
      <c r="E665" s="60"/>
      <c r="F665" s="8"/>
      <c r="G665" s="8"/>
      <c r="H665" s="8"/>
      <c r="I665" s="60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60"/>
      <c r="B666" s="60"/>
      <c r="C666" s="8"/>
      <c r="D666" s="60"/>
      <c r="E666" s="60"/>
      <c r="F666" s="8"/>
      <c r="G666" s="8"/>
      <c r="H666" s="8"/>
      <c r="I666" s="60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60"/>
      <c r="B667" s="60"/>
      <c r="C667" s="8"/>
      <c r="D667" s="60"/>
      <c r="E667" s="60"/>
      <c r="F667" s="8"/>
      <c r="G667" s="8"/>
      <c r="H667" s="8"/>
      <c r="I667" s="60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60"/>
      <c r="B668" s="60"/>
      <c r="C668" s="8"/>
      <c r="D668" s="60"/>
      <c r="E668" s="60"/>
      <c r="F668" s="8"/>
      <c r="G668" s="8"/>
      <c r="H668" s="8"/>
      <c r="I668" s="60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60"/>
      <c r="B669" s="60"/>
      <c r="C669" s="8"/>
      <c r="D669" s="60"/>
      <c r="E669" s="60"/>
      <c r="F669" s="8"/>
      <c r="G669" s="8"/>
      <c r="H669" s="8"/>
      <c r="I669" s="60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60"/>
      <c r="B670" s="60"/>
      <c r="C670" s="8"/>
      <c r="D670" s="60"/>
      <c r="E670" s="60"/>
      <c r="F670" s="8"/>
      <c r="G670" s="8"/>
      <c r="H670" s="8"/>
      <c r="I670" s="60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60"/>
      <c r="B671" s="60"/>
      <c r="C671" s="8"/>
      <c r="D671" s="60"/>
      <c r="E671" s="60"/>
      <c r="F671" s="8"/>
      <c r="G671" s="8"/>
      <c r="H671" s="8"/>
      <c r="I671" s="60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60"/>
      <c r="B672" s="60"/>
      <c r="C672" s="8"/>
      <c r="D672" s="60"/>
      <c r="E672" s="60"/>
      <c r="F672" s="8"/>
      <c r="G672" s="8"/>
      <c r="H672" s="8"/>
      <c r="I672" s="60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60"/>
      <c r="B673" s="60"/>
      <c r="C673" s="8"/>
      <c r="D673" s="60"/>
      <c r="E673" s="60"/>
      <c r="F673" s="8"/>
      <c r="G673" s="8"/>
      <c r="H673" s="8"/>
      <c r="I673" s="60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60"/>
      <c r="B674" s="60"/>
      <c r="C674" s="8"/>
      <c r="D674" s="60"/>
      <c r="E674" s="60"/>
      <c r="F674" s="8"/>
      <c r="G674" s="8"/>
      <c r="H674" s="8"/>
      <c r="I674" s="60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60"/>
      <c r="B675" s="60"/>
      <c r="C675" s="8"/>
      <c r="D675" s="60"/>
      <c r="E675" s="60"/>
      <c r="F675" s="8"/>
      <c r="G675" s="8"/>
      <c r="H675" s="8"/>
      <c r="I675" s="60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60"/>
      <c r="B676" s="60"/>
      <c r="C676" s="8"/>
      <c r="D676" s="60"/>
      <c r="E676" s="60"/>
      <c r="F676" s="8"/>
      <c r="G676" s="8"/>
      <c r="H676" s="8"/>
      <c r="I676" s="60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60"/>
      <c r="B677" s="60"/>
      <c r="C677" s="8"/>
      <c r="D677" s="60"/>
      <c r="E677" s="60"/>
      <c r="F677" s="8"/>
      <c r="G677" s="8"/>
      <c r="H677" s="8"/>
      <c r="I677" s="60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60"/>
      <c r="B678" s="60"/>
      <c r="C678" s="8"/>
      <c r="D678" s="60"/>
      <c r="E678" s="60"/>
      <c r="F678" s="8"/>
      <c r="G678" s="8"/>
      <c r="H678" s="8"/>
      <c r="I678" s="60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60"/>
      <c r="B679" s="60"/>
      <c r="C679" s="8"/>
      <c r="D679" s="60"/>
      <c r="E679" s="60"/>
      <c r="F679" s="8"/>
      <c r="G679" s="8"/>
      <c r="H679" s="8"/>
      <c r="I679" s="60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60"/>
      <c r="B680" s="60"/>
      <c r="C680" s="8"/>
      <c r="D680" s="60"/>
      <c r="E680" s="60"/>
      <c r="F680" s="8"/>
      <c r="G680" s="8"/>
      <c r="H680" s="8"/>
      <c r="I680" s="60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60"/>
      <c r="B681" s="60"/>
      <c r="C681" s="8"/>
      <c r="D681" s="60"/>
      <c r="E681" s="60"/>
      <c r="F681" s="8"/>
      <c r="G681" s="8"/>
      <c r="H681" s="8"/>
      <c r="I681" s="60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60"/>
      <c r="B682" s="60"/>
      <c r="C682" s="8"/>
      <c r="D682" s="60"/>
      <c r="E682" s="60"/>
      <c r="F682" s="8"/>
      <c r="G682" s="8"/>
      <c r="H682" s="8"/>
      <c r="I682" s="60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60"/>
      <c r="B683" s="60"/>
      <c r="C683" s="8"/>
      <c r="D683" s="60"/>
      <c r="E683" s="60"/>
      <c r="F683" s="8"/>
      <c r="G683" s="8"/>
      <c r="H683" s="8"/>
      <c r="I683" s="60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60"/>
      <c r="B684" s="60"/>
      <c r="C684" s="8"/>
      <c r="D684" s="60"/>
      <c r="E684" s="60"/>
      <c r="F684" s="8"/>
      <c r="G684" s="8"/>
      <c r="H684" s="8"/>
      <c r="I684" s="60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60"/>
      <c r="B685" s="60"/>
      <c r="C685" s="8"/>
      <c r="D685" s="60"/>
      <c r="E685" s="60"/>
      <c r="F685" s="8"/>
      <c r="G685" s="8"/>
      <c r="H685" s="8"/>
      <c r="I685" s="60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60"/>
      <c r="B686" s="60"/>
      <c r="C686" s="8"/>
      <c r="D686" s="60"/>
      <c r="E686" s="60"/>
      <c r="F686" s="8"/>
      <c r="G686" s="8"/>
      <c r="H686" s="8"/>
      <c r="I686" s="60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60"/>
      <c r="B687" s="60"/>
      <c r="C687" s="8"/>
      <c r="D687" s="60"/>
      <c r="E687" s="60"/>
      <c r="F687" s="8"/>
      <c r="G687" s="8"/>
      <c r="H687" s="8"/>
      <c r="I687" s="60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60"/>
      <c r="B688" s="60"/>
      <c r="C688" s="8"/>
      <c r="D688" s="60"/>
      <c r="E688" s="60"/>
      <c r="F688" s="8"/>
      <c r="G688" s="8"/>
      <c r="H688" s="8"/>
      <c r="I688" s="60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60"/>
      <c r="B689" s="60"/>
      <c r="C689" s="8"/>
      <c r="D689" s="60"/>
      <c r="E689" s="60"/>
      <c r="F689" s="8"/>
      <c r="G689" s="8"/>
      <c r="H689" s="8"/>
      <c r="I689" s="60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60"/>
      <c r="B690" s="60"/>
      <c r="C690" s="8"/>
      <c r="D690" s="60"/>
      <c r="E690" s="60"/>
      <c r="F690" s="8"/>
      <c r="G690" s="8"/>
      <c r="H690" s="8"/>
      <c r="I690" s="60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60"/>
      <c r="B691" s="60"/>
      <c r="C691" s="8"/>
      <c r="D691" s="60"/>
      <c r="E691" s="60"/>
      <c r="F691" s="8"/>
      <c r="G691" s="8"/>
      <c r="H691" s="8"/>
      <c r="I691" s="60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60"/>
      <c r="B692" s="60"/>
      <c r="C692" s="8"/>
      <c r="D692" s="60"/>
      <c r="E692" s="60"/>
      <c r="F692" s="8"/>
      <c r="G692" s="8"/>
      <c r="H692" s="8"/>
      <c r="I692" s="60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60"/>
      <c r="B693" s="60"/>
      <c r="C693" s="8"/>
      <c r="D693" s="60"/>
      <c r="E693" s="60"/>
      <c r="F693" s="8"/>
      <c r="G693" s="8"/>
      <c r="H693" s="8"/>
      <c r="I693" s="60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60"/>
      <c r="B694" s="60"/>
      <c r="C694" s="8"/>
      <c r="D694" s="60"/>
      <c r="E694" s="60"/>
      <c r="F694" s="8"/>
      <c r="G694" s="8"/>
      <c r="H694" s="8"/>
      <c r="I694" s="60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60"/>
      <c r="B695" s="60"/>
      <c r="C695" s="8"/>
      <c r="D695" s="60"/>
      <c r="E695" s="60"/>
      <c r="F695" s="8"/>
      <c r="G695" s="8"/>
      <c r="H695" s="8"/>
      <c r="I695" s="60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60"/>
      <c r="B696" s="60"/>
      <c r="C696" s="8"/>
      <c r="D696" s="60"/>
      <c r="E696" s="60"/>
      <c r="F696" s="8"/>
      <c r="G696" s="8"/>
      <c r="H696" s="8"/>
      <c r="I696" s="60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60"/>
      <c r="B697" s="60"/>
      <c r="C697" s="8"/>
      <c r="D697" s="60"/>
      <c r="E697" s="60"/>
      <c r="F697" s="8"/>
      <c r="G697" s="8"/>
      <c r="H697" s="8"/>
      <c r="I697" s="60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60"/>
      <c r="B698" s="60"/>
      <c r="C698" s="8"/>
      <c r="D698" s="60"/>
      <c r="E698" s="60"/>
      <c r="F698" s="8"/>
      <c r="G698" s="8"/>
      <c r="H698" s="8"/>
      <c r="I698" s="60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60"/>
      <c r="B699" s="60"/>
      <c r="C699" s="8"/>
      <c r="D699" s="60"/>
      <c r="E699" s="60"/>
      <c r="F699" s="8"/>
      <c r="G699" s="8"/>
      <c r="H699" s="8"/>
      <c r="I699" s="60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60"/>
      <c r="B700" s="60"/>
      <c r="C700" s="8"/>
      <c r="D700" s="60"/>
      <c r="E700" s="60"/>
      <c r="F700" s="8"/>
      <c r="G700" s="8"/>
      <c r="H700" s="8"/>
      <c r="I700" s="60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60"/>
      <c r="B701" s="60"/>
      <c r="C701" s="8"/>
      <c r="D701" s="60"/>
      <c r="E701" s="60"/>
      <c r="F701" s="8"/>
      <c r="G701" s="8"/>
      <c r="H701" s="8"/>
      <c r="I701" s="60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60"/>
      <c r="B702" s="60"/>
      <c r="C702" s="8"/>
      <c r="D702" s="60"/>
      <c r="E702" s="60"/>
      <c r="F702" s="8"/>
      <c r="G702" s="8"/>
      <c r="H702" s="8"/>
      <c r="I702" s="60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60"/>
      <c r="B703" s="60"/>
      <c r="C703" s="8"/>
      <c r="D703" s="60"/>
      <c r="E703" s="60"/>
      <c r="F703" s="8"/>
      <c r="G703" s="8"/>
      <c r="H703" s="8"/>
      <c r="I703" s="60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60"/>
      <c r="B704" s="60"/>
      <c r="C704" s="8"/>
      <c r="D704" s="60"/>
      <c r="E704" s="60"/>
      <c r="F704" s="8"/>
      <c r="G704" s="8"/>
      <c r="H704" s="8"/>
      <c r="I704" s="60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60"/>
      <c r="B705" s="60"/>
      <c r="C705" s="8"/>
      <c r="D705" s="60"/>
      <c r="E705" s="60"/>
      <c r="F705" s="8"/>
      <c r="G705" s="8"/>
      <c r="H705" s="8"/>
      <c r="I705" s="60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60"/>
      <c r="B706" s="60"/>
      <c r="C706" s="8"/>
      <c r="D706" s="60"/>
      <c r="E706" s="60"/>
      <c r="F706" s="8"/>
      <c r="G706" s="8"/>
      <c r="H706" s="8"/>
      <c r="I706" s="60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60"/>
      <c r="B707" s="60"/>
      <c r="C707" s="8"/>
      <c r="D707" s="60"/>
      <c r="E707" s="60"/>
      <c r="F707" s="8"/>
      <c r="G707" s="8"/>
      <c r="H707" s="8"/>
      <c r="I707" s="60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60"/>
      <c r="B708" s="60"/>
      <c r="C708" s="8"/>
      <c r="D708" s="60"/>
      <c r="E708" s="60"/>
      <c r="F708" s="8"/>
      <c r="G708" s="8"/>
      <c r="H708" s="8"/>
      <c r="I708" s="60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60"/>
      <c r="B709" s="60"/>
      <c r="C709" s="8"/>
      <c r="D709" s="60"/>
      <c r="E709" s="60"/>
      <c r="F709" s="8"/>
      <c r="G709" s="8"/>
      <c r="H709" s="8"/>
      <c r="I709" s="60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60"/>
      <c r="B710" s="60"/>
      <c r="C710" s="8"/>
      <c r="D710" s="60"/>
      <c r="E710" s="60"/>
      <c r="F710" s="8"/>
      <c r="G710" s="8"/>
      <c r="H710" s="8"/>
      <c r="I710" s="60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60"/>
      <c r="B711" s="60"/>
      <c r="C711" s="8"/>
      <c r="D711" s="60"/>
      <c r="E711" s="60"/>
      <c r="F711" s="8"/>
      <c r="G711" s="8"/>
      <c r="H711" s="8"/>
      <c r="I711" s="60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60"/>
      <c r="B712" s="60"/>
      <c r="C712" s="8"/>
      <c r="D712" s="60"/>
      <c r="E712" s="60"/>
      <c r="F712" s="8"/>
      <c r="G712" s="8"/>
      <c r="H712" s="8"/>
      <c r="I712" s="60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60"/>
      <c r="B713" s="60"/>
      <c r="C713" s="8"/>
      <c r="D713" s="60"/>
      <c r="E713" s="60"/>
      <c r="F713" s="8"/>
      <c r="G713" s="8"/>
      <c r="H713" s="8"/>
      <c r="I713" s="60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60"/>
      <c r="B714" s="60"/>
      <c r="C714" s="8"/>
      <c r="D714" s="60"/>
      <c r="E714" s="60"/>
      <c r="F714" s="8"/>
      <c r="G714" s="8"/>
      <c r="H714" s="8"/>
      <c r="I714" s="60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60"/>
      <c r="B715" s="60"/>
      <c r="C715" s="8"/>
      <c r="D715" s="60"/>
      <c r="E715" s="60"/>
      <c r="F715" s="8"/>
      <c r="G715" s="8"/>
      <c r="H715" s="8"/>
      <c r="I715" s="60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60"/>
      <c r="B716" s="60"/>
      <c r="C716" s="8"/>
      <c r="D716" s="60"/>
      <c r="E716" s="60"/>
      <c r="F716" s="8"/>
      <c r="G716" s="8"/>
      <c r="H716" s="8"/>
      <c r="I716" s="60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60"/>
      <c r="B717" s="60"/>
      <c r="C717" s="8"/>
      <c r="D717" s="60"/>
      <c r="E717" s="60"/>
      <c r="F717" s="8"/>
      <c r="G717" s="8"/>
      <c r="H717" s="8"/>
      <c r="I717" s="60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60"/>
      <c r="B718" s="60"/>
      <c r="C718" s="8"/>
      <c r="D718" s="60"/>
      <c r="E718" s="60"/>
      <c r="F718" s="8"/>
      <c r="G718" s="8"/>
      <c r="H718" s="8"/>
      <c r="I718" s="60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60"/>
      <c r="B719" s="60"/>
      <c r="C719" s="8"/>
      <c r="D719" s="60"/>
      <c r="E719" s="60"/>
      <c r="F719" s="8"/>
      <c r="G719" s="8"/>
      <c r="H719" s="8"/>
      <c r="I719" s="60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60"/>
      <c r="B720" s="60"/>
      <c r="C720" s="8"/>
      <c r="D720" s="60"/>
      <c r="E720" s="60"/>
      <c r="F720" s="8"/>
      <c r="G720" s="8"/>
      <c r="H720" s="8"/>
      <c r="I720" s="60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60"/>
      <c r="B721" s="60"/>
      <c r="C721" s="8"/>
      <c r="D721" s="60"/>
      <c r="E721" s="60"/>
      <c r="F721" s="8"/>
      <c r="G721" s="8"/>
      <c r="H721" s="8"/>
      <c r="I721" s="60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60"/>
      <c r="B722" s="60"/>
      <c r="C722" s="8"/>
      <c r="D722" s="60"/>
      <c r="E722" s="60"/>
      <c r="F722" s="8"/>
      <c r="G722" s="8"/>
      <c r="H722" s="8"/>
      <c r="I722" s="60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60"/>
      <c r="B723" s="60"/>
      <c r="C723" s="8"/>
      <c r="D723" s="60"/>
      <c r="E723" s="60"/>
      <c r="F723" s="8"/>
      <c r="G723" s="8"/>
      <c r="H723" s="8"/>
      <c r="I723" s="60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60"/>
      <c r="B724" s="60"/>
      <c r="C724" s="8"/>
      <c r="D724" s="60"/>
      <c r="E724" s="60"/>
      <c r="F724" s="8"/>
      <c r="G724" s="8"/>
      <c r="H724" s="8"/>
      <c r="I724" s="60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60"/>
      <c r="B725" s="60"/>
      <c r="C725" s="8"/>
      <c r="D725" s="60"/>
      <c r="E725" s="60"/>
      <c r="F725" s="8"/>
      <c r="G725" s="8"/>
      <c r="H725" s="8"/>
      <c r="I725" s="60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60"/>
      <c r="B726" s="60"/>
      <c r="C726" s="8"/>
      <c r="D726" s="60"/>
      <c r="E726" s="60"/>
      <c r="F726" s="8"/>
      <c r="G726" s="8"/>
      <c r="H726" s="8"/>
      <c r="I726" s="60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60"/>
      <c r="B727" s="60"/>
      <c r="C727" s="8"/>
      <c r="D727" s="60"/>
      <c r="E727" s="60"/>
      <c r="F727" s="8"/>
      <c r="G727" s="8"/>
      <c r="H727" s="8"/>
      <c r="I727" s="60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60"/>
      <c r="B728" s="60"/>
      <c r="C728" s="8"/>
      <c r="D728" s="60"/>
      <c r="E728" s="60"/>
      <c r="F728" s="8"/>
      <c r="G728" s="8"/>
      <c r="H728" s="8"/>
      <c r="I728" s="60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60"/>
      <c r="B729" s="60"/>
      <c r="C729" s="8"/>
      <c r="D729" s="60"/>
      <c r="E729" s="60"/>
      <c r="F729" s="8"/>
      <c r="G729" s="8"/>
      <c r="H729" s="8"/>
      <c r="I729" s="60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60"/>
      <c r="B730" s="60"/>
      <c r="C730" s="8"/>
      <c r="D730" s="60"/>
      <c r="E730" s="60"/>
      <c r="F730" s="8"/>
      <c r="G730" s="8"/>
      <c r="H730" s="8"/>
      <c r="I730" s="60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60"/>
      <c r="B731" s="60"/>
      <c r="C731" s="8"/>
      <c r="D731" s="60"/>
      <c r="E731" s="60"/>
      <c r="F731" s="8"/>
      <c r="G731" s="8"/>
      <c r="H731" s="8"/>
      <c r="I731" s="60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60"/>
      <c r="B732" s="60"/>
      <c r="C732" s="8"/>
      <c r="D732" s="60"/>
      <c r="E732" s="60"/>
      <c r="F732" s="8"/>
      <c r="G732" s="8"/>
      <c r="H732" s="8"/>
      <c r="I732" s="60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60"/>
      <c r="B733" s="60"/>
      <c r="C733" s="8"/>
      <c r="D733" s="60"/>
      <c r="E733" s="60"/>
      <c r="F733" s="8"/>
      <c r="G733" s="8"/>
      <c r="H733" s="8"/>
      <c r="I733" s="60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60"/>
      <c r="B734" s="60"/>
      <c r="C734" s="8"/>
      <c r="D734" s="60"/>
      <c r="E734" s="60"/>
      <c r="F734" s="8"/>
      <c r="G734" s="8"/>
      <c r="H734" s="8"/>
      <c r="I734" s="60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60"/>
      <c r="B735" s="60"/>
      <c r="C735" s="8"/>
      <c r="D735" s="60"/>
      <c r="E735" s="60"/>
      <c r="F735" s="8"/>
      <c r="G735" s="8"/>
      <c r="H735" s="8"/>
      <c r="I735" s="60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60"/>
      <c r="B736" s="60"/>
      <c r="C736" s="8"/>
      <c r="D736" s="60"/>
      <c r="E736" s="60"/>
      <c r="F736" s="8"/>
      <c r="G736" s="8"/>
      <c r="H736" s="8"/>
      <c r="I736" s="60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60"/>
      <c r="B737" s="60"/>
      <c r="C737" s="8"/>
      <c r="D737" s="60"/>
      <c r="E737" s="60"/>
      <c r="F737" s="8"/>
      <c r="G737" s="8"/>
      <c r="H737" s="8"/>
      <c r="I737" s="60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60"/>
      <c r="B738" s="60"/>
      <c r="C738" s="8"/>
      <c r="D738" s="60"/>
      <c r="E738" s="60"/>
      <c r="F738" s="8"/>
      <c r="G738" s="8"/>
      <c r="H738" s="8"/>
      <c r="I738" s="60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60"/>
      <c r="B739" s="60"/>
      <c r="C739" s="8"/>
      <c r="D739" s="60"/>
      <c r="E739" s="60"/>
      <c r="F739" s="8"/>
      <c r="G739" s="8"/>
      <c r="H739" s="8"/>
      <c r="I739" s="60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60"/>
      <c r="B740" s="60"/>
      <c r="C740" s="8"/>
      <c r="D740" s="60"/>
      <c r="E740" s="60"/>
      <c r="F740" s="8"/>
      <c r="G740" s="8"/>
      <c r="H740" s="8"/>
      <c r="I740" s="60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60"/>
      <c r="B741" s="60"/>
      <c r="C741" s="8"/>
      <c r="D741" s="60"/>
      <c r="E741" s="60"/>
      <c r="F741" s="8"/>
      <c r="G741" s="8"/>
      <c r="H741" s="8"/>
      <c r="I741" s="60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60"/>
      <c r="B742" s="60"/>
      <c r="C742" s="8"/>
      <c r="D742" s="60"/>
      <c r="E742" s="60"/>
      <c r="F742" s="8"/>
      <c r="G742" s="8"/>
      <c r="H742" s="8"/>
      <c r="I742" s="60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60"/>
      <c r="B743" s="60"/>
      <c r="C743" s="8"/>
      <c r="D743" s="60"/>
      <c r="E743" s="60"/>
      <c r="F743" s="8"/>
      <c r="G743" s="8"/>
      <c r="H743" s="8"/>
      <c r="I743" s="60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60"/>
      <c r="B744" s="60"/>
      <c r="C744" s="8"/>
      <c r="D744" s="60"/>
      <c r="E744" s="60"/>
      <c r="F744" s="8"/>
      <c r="G744" s="8"/>
      <c r="H744" s="8"/>
      <c r="I744" s="60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60"/>
      <c r="B745" s="60"/>
      <c r="C745" s="8"/>
      <c r="D745" s="60"/>
      <c r="E745" s="60"/>
      <c r="F745" s="8"/>
      <c r="G745" s="8"/>
      <c r="H745" s="8"/>
      <c r="I745" s="60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60"/>
      <c r="B746" s="60"/>
      <c r="C746" s="8"/>
      <c r="D746" s="60"/>
      <c r="E746" s="60"/>
      <c r="F746" s="8"/>
      <c r="G746" s="8"/>
      <c r="H746" s="8"/>
      <c r="I746" s="60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60"/>
      <c r="B747" s="60"/>
      <c r="C747" s="8"/>
      <c r="D747" s="60"/>
      <c r="E747" s="60"/>
      <c r="F747" s="8"/>
      <c r="G747" s="8"/>
      <c r="H747" s="8"/>
      <c r="I747" s="60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60"/>
      <c r="B748" s="60"/>
      <c r="C748" s="8"/>
      <c r="D748" s="60"/>
      <c r="E748" s="60"/>
      <c r="F748" s="8"/>
      <c r="G748" s="8"/>
      <c r="H748" s="8"/>
      <c r="I748" s="60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60"/>
      <c r="B749" s="60"/>
      <c r="C749" s="8"/>
      <c r="D749" s="60"/>
      <c r="E749" s="60"/>
      <c r="F749" s="8"/>
      <c r="G749" s="8"/>
      <c r="H749" s="8"/>
      <c r="I749" s="60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60"/>
      <c r="B750" s="60"/>
      <c r="C750" s="8"/>
      <c r="D750" s="60"/>
      <c r="E750" s="60"/>
      <c r="F750" s="8"/>
      <c r="G750" s="8"/>
      <c r="H750" s="8"/>
      <c r="I750" s="60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60"/>
      <c r="B751" s="60"/>
      <c r="C751" s="8"/>
      <c r="D751" s="60"/>
      <c r="E751" s="60"/>
      <c r="F751" s="8"/>
      <c r="G751" s="8"/>
      <c r="H751" s="8"/>
      <c r="I751" s="60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60"/>
      <c r="B752" s="60"/>
      <c r="C752" s="8"/>
      <c r="D752" s="60"/>
      <c r="E752" s="60"/>
      <c r="F752" s="8"/>
      <c r="G752" s="8"/>
      <c r="H752" s="8"/>
      <c r="I752" s="60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60"/>
      <c r="B753" s="60"/>
      <c r="C753" s="8"/>
      <c r="D753" s="60"/>
      <c r="E753" s="60"/>
      <c r="F753" s="8"/>
      <c r="G753" s="8"/>
      <c r="H753" s="8"/>
      <c r="I753" s="60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60"/>
      <c r="B754" s="60"/>
      <c r="C754" s="8"/>
      <c r="D754" s="60"/>
      <c r="E754" s="60"/>
      <c r="F754" s="8"/>
      <c r="G754" s="8"/>
      <c r="H754" s="8"/>
      <c r="I754" s="60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60"/>
      <c r="B755" s="60"/>
      <c r="C755" s="8"/>
      <c r="D755" s="60"/>
      <c r="E755" s="60"/>
      <c r="F755" s="8"/>
      <c r="G755" s="8"/>
      <c r="H755" s="8"/>
      <c r="I755" s="60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60"/>
      <c r="B756" s="60"/>
      <c r="C756" s="8"/>
      <c r="D756" s="60"/>
      <c r="E756" s="60"/>
      <c r="F756" s="8"/>
      <c r="G756" s="8"/>
      <c r="H756" s="8"/>
      <c r="I756" s="60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60"/>
      <c r="B757" s="60"/>
      <c r="C757" s="8"/>
      <c r="D757" s="60"/>
      <c r="E757" s="60"/>
      <c r="F757" s="8"/>
      <c r="G757" s="8"/>
      <c r="H757" s="8"/>
      <c r="I757" s="60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60"/>
      <c r="B758" s="60"/>
      <c r="C758" s="8"/>
      <c r="D758" s="60"/>
      <c r="E758" s="60"/>
      <c r="F758" s="8"/>
      <c r="G758" s="8"/>
      <c r="H758" s="8"/>
      <c r="I758" s="60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60"/>
      <c r="B759" s="60"/>
      <c r="C759" s="8"/>
      <c r="D759" s="60"/>
      <c r="E759" s="60"/>
      <c r="F759" s="8"/>
      <c r="G759" s="8"/>
      <c r="H759" s="8"/>
      <c r="I759" s="60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60"/>
      <c r="B760" s="60"/>
      <c r="C760" s="8"/>
      <c r="D760" s="60"/>
      <c r="E760" s="60"/>
      <c r="F760" s="8"/>
      <c r="G760" s="8"/>
      <c r="H760" s="8"/>
      <c r="I760" s="60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60"/>
      <c r="B761" s="60"/>
      <c r="C761" s="8"/>
      <c r="D761" s="60"/>
      <c r="E761" s="60"/>
      <c r="F761" s="8"/>
      <c r="G761" s="8"/>
      <c r="H761" s="8"/>
      <c r="I761" s="60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60"/>
      <c r="B762" s="60"/>
      <c r="C762" s="8"/>
      <c r="D762" s="60"/>
      <c r="E762" s="60"/>
      <c r="F762" s="8"/>
      <c r="G762" s="8"/>
      <c r="H762" s="8"/>
      <c r="I762" s="60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60"/>
      <c r="B763" s="60"/>
      <c r="C763" s="8"/>
      <c r="D763" s="60"/>
      <c r="E763" s="60"/>
      <c r="F763" s="8"/>
      <c r="G763" s="8"/>
      <c r="H763" s="8"/>
      <c r="I763" s="60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60"/>
      <c r="B764" s="60"/>
      <c r="C764" s="8"/>
      <c r="D764" s="60"/>
      <c r="E764" s="60"/>
      <c r="F764" s="8"/>
      <c r="G764" s="8"/>
      <c r="H764" s="8"/>
      <c r="I764" s="60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60"/>
      <c r="B765" s="60"/>
      <c r="C765" s="8"/>
      <c r="D765" s="60"/>
      <c r="E765" s="60"/>
      <c r="F765" s="8"/>
      <c r="G765" s="8"/>
      <c r="H765" s="8"/>
      <c r="I765" s="60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60"/>
      <c r="B766" s="60"/>
      <c r="C766" s="8"/>
      <c r="D766" s="60"/>
      <c r="E766" s="60"/>
      <c r="F766" s="8"/>
      <c r="G766" s="8"/>
      <c r="H766" s="8"/>
      <c r="I766" s="60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60"/>
      <c r="B767" s="60"/>
      <c r="C767" s="8"/>
      <c r="D767" s="60"/>
      <c r="E767" s="60"/>
      <c r="F767" s="8"/>
      <c r="G767" s="8"/>
      <c r="H767" s="8"/>
      <c r="I767" s="60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60"/>
      <c r="B768" s="60"/>
      <c r="C768" s="8"/>
      <c r="D768" s="60"/>
      <c r="E768" s="60"/>
      <c r="F768" s="8"/>
      <c r="G768" s="8"/>
      <c r="H768" s="8"/>
      <c r="I768" s="60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60"/>
      <c r="B769" s="60"/>
      <c r="C769" s="8"/>
      <c r="D769" s="60"/>
      <c r="E769" s="60"/>
      <c r="F769" s="8"/>
      <c r="G769" s="8"/>
      <c r="H769" s="8"/>
      <c r="I769" s="60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60"/>
      <c r="B770" s="60"/>
      <c r="C770" s="8"/>
      <c r="D770" s="60"/>
      <c r="E770" s="60"/>
      <c r="F770" s="8"/>
      <c r="G770" s="8"/>
      <c r="H770" s="8"/>
      <c r="I770" s="60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60"/>
      <c r="B771" s="60"/>
      <c r="C771" s="8"/>
      <c r="D771" s="60"/>
      <c r="E771" s="60"/>
      <c r="F771" s="8"/>
      <c r="G771" s="8"/>
      <c r="H771" s="8"/>
      <c r="I771" s="60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60"/>
      <c r="B772" s="60"/>
      <c r="C772" s="8"/>
      <c r="D772" s="60"/>
      <c r="E772" s="60"/>
      <c r="F772" s="8"/>
      <c r="G772" s="8"/>
      <c r="H772" s="8"/>
      <c r="I772" s="60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60"/>
      <c r="B773" s="60"/>
      <c r="C773" s="8"/>
      <c r="D773" s="60"/>
      <c r="E773" s="60"/>
      <c r="F773" s="8"/>
      <c r="G773" s="8"/>
      <c r="H773" s="8"/>
      <c r="I773" s="60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60"/>
      <c r="B774" s="60"/>
      <c r="C774" s="8"/>
      <c r="D774" s="60"/>
      <c r="E774" s="60"/>
      <c r="F774" s="8"/>
      <c r="G774" s="8"/>
      <c r="H774" s="8"/>
      <c r="I774" s="60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60"/>
      <c r="B775" s="60"/>
      <c r="C775" s="8"/>
      <c r="D775" s="60"/>
      <c r="E775" s="60"/>
      <c r="F775" s="8"/>
      <c r="G775" s="8"/>
      <c r="H775" s="8"/>
      <c r="I775" s="60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60"/>
      <c r="B776" s="60"/>
      <c r="C776" s="8"/>
      <c r="D776" s="60"/>
      <c r="E776" s="60"/>
      <c r="F776" s="8"/>
      <c r="G776" s="8"/>
      <c r="H776" s="8"/>
      <c r="I776" s="60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60"/>
      <c r="B777" s="60"/>
      <c r="C777" s="8"/>
      <c r="D777" s="60"/>
      <c r="E777" s="60"/>
      <c r="F777" s="8"/>
      <c r="G777" s="8"/>
      <c r="H777" s="8"/>
      <c r="I777" s="60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60"/>
      <c r="B778" s="60"/>
      <c r="C778" s="8"/>
      <c r="D778" s="60"/>
      <c r="E778" s="60"/>
      <c r="F778" s="8"/>
      <c r="G778" s="8"/>
      <c r="H778" s="8"/>
      <c r="I778" s="60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60"/>
      <c r="B779" s="60"/>
      <c r="C779" s="8"/>
      <c r="D779" s="60"/>
      <c r="E779" s="60"/>
      <c r="F779" s="8"/>
      <c r="G779" s="8"/>
      <c r="H779" s="8"/>
      <c r="I779" s="60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60"/>
      <c r="B780" s="60"/>
      <c r="C780" s="8"/>
      <c r="D780" s="60"/>
      <c r="E780" s="60"/>
      <c r="F780" s="8"/>
      <c r="G780" s="8"/>
      <c r="H780" s="8"/>
      <c r="I780" s="60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60"/>
      <c r="B781" s="60"/>
      <c r="C781" s="8"/>
      <c r="D781" s="60"/>
      <c r="E781" s="60"/>
      <c r="F781" s="8"/>
      <c r="G781" s="8"/>
      <c r="H781" s="8"/>
      <c r="I781" s="60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60"/>
      <c r="B782" s="60"/>
      <c r="C782" s="8"/>
      <c r="D782" s="60"/>
      <c r="E782" s="60"/>
      <c r="F782" s="8"/>
      <c r="G782" s="8"/>
      <c r="H782" s="8"/>
      <c r="I782" s="60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60"/>
      <c r="B783" s="60"/>
      <c r="C783" s="8"/>
      <c r="D783" s="60"/>
      <c r="E783" s="60"/>
      <c r="F783" s="8"/>
      <c r="G783" s="8"/>
      <c r="H783" s="8"/>
      <c r="I783" s="60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60"/>
      <c r="B784" s="60"/>
      <c r="C784" s="8"/>
      <c r="D784" s="60"/>
      <c r="E784" s="60"/>
      <c r="F784" s="8"/>
      <c r="G784" s="8"/>
      <c r="H784" s="8"/>
      <c r="I784" s="60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60"/>
      <c r="B785" s="60"/>
      <c r="C785" s="8"/>
      <c r="D785" s="60"/>
      <c r="E785" s="60"/>
      <c r="F785" s="8"/>
      <c r="G785" s="8"/>
      <c r="H785" s="8"/>
      <c r="I785" s="60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60"/>
      <c r="B786" s="60"/>
      <c r="C786" s="8"/>
      <c r="D786" s="60"/>
      <c r="E786" s="60"/>
      <c r="F786" s="8"/>
      <c r="G786" s="8"/>
      <c r="H786" s="8"/>
      <c r="I786" s="60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60"/>
      <c r="B787" s="60"/>
      <c r="C787" s="8"/>
      <c r="D787" s="60"/>
      <c r="E787" s="60"/>
      <c r="F787" s="8"/>
      <c r="G787" s="8"/>
      <c r="H787" s="8"/>
      <c r="I787" s="60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60"/>
      <c r="B788" s="60"/>
      <c r="C788" s="8"/>
      <c r="D788" s="60"/>
      <c r="E788" s="60"/>
      <c r="F788" s="8"/>
      <c r="G788" s="8"/>
      <c r="H788" s="8"/>
      <c r="I788" s="60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60"/>
      <c r="B789" s="60"/>
      <c r="C789" s="8"/>
      <c r="D789" s="60"/>
      <c r="E789" s="60"/>
      <c r="F789" s="8"/>
      <c r="G789" s="8"/>
      <c r="H789" s="8"/>
      <c r="I789" s="60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60"/>
      <c r="B790" s="60"/>
      <c r="C790" s="8"/>
      <c r="D790" s="60"/>
      <c r="E790" s="60"/>
      <c r="F790" s="8"/>
      <c r="G790" s="8"/>
      <c r="H790" s="8"/>
      <c r="I790" s="60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60"/>
      <c r="B791" s="60"/>
      <c r="C791" s="8"/>
      <c r="D791" s="60"/>
      <c r="E791" s="60"/>
      <c r="F791" s="8"/>
      <c r="G791" s="8"/>
      <c r="H791" s="8"/>
      <c r="I791" s="60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60"/>
      <c r="B792" s="60"/>
      <c r="C792" s="8"/>
      <c r="D792" s="60"/>
      <c r="E792" s="60"/>
      <c r="F792" s="8"/>
      <c r="G792" s="8"/>
      <c r="H792" s="8"/>
      <c r="I792" s="60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60"/>
      <c r="B793" s="60"/>
      <c r="C793" s="8"/>
      <c r="D793" s="60"/>
      <c r="E793" s="60"/>
      <c r="F793" s="8"/>
      <c r="G793" s="8"/>
      <c r="H793" s="8"/>
      <c r="I793" s="60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60"/>
      <c r="B794" s="60"/>
      <c r="C794" s="8"/>
      <c r="D794" s="60"/>
      <c r="E794" s="60"/>
      <c r="F794" s="8"/>
      <c r="G794" s="8"/>
      <c r="H794" s="8"/>
      <c r="I794" s="60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60"/>
      <c r="B795" s="60"/>
      <c r="C795" s="8"/>
      <c r="D795" s="60"/>
      <c r="E795" s="60"/>
      <c r="F795" s="8"/>
      <c r="G795" s="8"/>
      <c r="H795" s="8"/>
      <c r="I795" s="60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60"/>
      <c r="B796" s="60"/>
      <c r="C796" s="8"/>
      <c r="D796" s="60"/>
      <c r="E796" s="60"/>
      <c r="F796" s="8"/>
      <c r="G796" s="8"/>
      <c r="H796" s="8"/>
      <c r="I796" s="60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60"/>
      <c r="B797" s="60"/>
      <c r="C797" s="8"/>
      <c r="D797" s="60"/>
      <c r="E797" s="60"/>
      <c r="F797" s="8"/>
      <c r="G797" s="8"/>
      <c r="H797" s="8"/>
      <c r="I797" s="60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60"/>
      <c r="B798" s="60"/>
      <c r="C798" s="8"/>
      <c r="D798" s="60"/>
      <c r="E798" s="60"/>
      <c r="F798" s="8"/>
      <c r="G798" s="8"/>
      <c r="H798" s="8"/>
      <c r="I798" s="60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60"/>
      <c r="B799" s="60"/>
      <c r="C799" s="8"/>
      <c r="D799" s="60"/>
      <c r="E799" s="60"/>
      <c r="F799" s="8"/>
      <c r="G799" s="8"/>
      <c r="H799" s="8"/>
      <c r="I799" s="60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60"/>
      <c r="B800" s="60"/>
      <c r="C800" s="8"/>
      <c r="D800" s="60"/>
      <c r="E800" s="60"/>
      <c r="F800" s="8"/>
      <c r="G800" s="8"/>
      <c r="H800" s="8"/>
      <c r="I800" s="60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60"/>
      <c r="B801" s="60"/>
      <c r="C801" s="8"/>
      <c r="D801" s="60"/>
      <c r="E801" s="60"/>
      <c r="F801" s="8"/>
      <c r="G801" s="8"/>
      <c r="H801" s="8"/>
      <c r="I801" s="60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60"/>
      <c r="B802" s="60"/>
      <c r="C802" s="8"/>
      <c r="D802" s="60"/>
      <c r="E802" s="60"/>
      <c r="F802" s="8"/>
      <c r="G802" s="8"/>
      <c r="H802" s="8"/>
      <c r="I802" s="60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60"/>
      <c r="B803" s="60"/>
      <c r="C803" s="8"/>
      <c r="D803" s="60"/>
      <c r="E803" s="60"/>
      <c r="F803" s="8"/>
      <c r="G803" s="8"/>
      <c r="H803" s="8"/>
      <c r="I803" s="60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60"/>
      <c r="B804" s="60"/>
      <c r="C804" s="8"/>
      <c r="D804" s="60"/>
      <c r="E804" s="60"/>
      <c r="F804" s="8"/>
      <c r="G804" s="8"/>
      <c r="H804" s="8"/>
      <c r="I804" s="60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60"/>
      <c r="B805" s="60"/>
      <c r="C805" s="8"/>
      <c r="D805" s="60"/>
      <c r="E805" s="60"/>
      <c r="F805" s="8"/>
      <c r="G805" s="8"/>
      <c r="H805" s="8"/>
      <c r="I805" s="60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60"/>
      <c r="B806" s="60"/>
      <c r="C806" s="8"/>
      <c r="D806" s="60"/>
      <c r="E806" s="60"/>
      <c r="F806" s="8"/>
      <c r="G806" s="8"/>
      <c r="H806" s="8"/>
      <c r="I806" s="60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60"/>
      <c r="B807" s="60"/>
      <c r="C807" s="8"/>
      <c r="D807" s="60"/>
      <c r="E807" s="60"/>
      <c r="F807" s="8"/>
      <c r="G807" s="8"/>
      <c r="H807" s="8"/>
      <c r="I807" s="60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60"/>
      <c r="B808" s="60"/>
      <c r="C808" s="8"/>
      <c r="D808" s="60"/>
      <c r="E808" s="60"/>
      <c r="F808" s="8"/>
      <c r="G808" s="8"/>
      <c r="H808" s="8"/>
      <c r="I808" s="60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60"/>
      <c r="B809" s="60"/>
      <c r="C809" s="8"/>
      <c r="D809" s="60"/>
      <c r="E809" s="60"/>
      <c r="F809" s="8"/>
      <c r="G809" s="8"/>
      <c r="H809" s="8"/>
      <c r="I809" s="60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60"/>
      <c r="B810" s="60"/>
      <c r="C810" s="8"/>
      <c r="D810" s="60"/>
      <c r="E810" s="60"/>
      <c r="F810" s="8"/>
      <c r="G810" s="8"/>
      <c r="H810" s="8"/>
      <c r="I810" s="60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60"/>
      <c r="B811" s="60"/>
      <c r="C811" s="8"/>
      <c r="D811" s="60"/>
      <c r="E811" s="60"/>
      <c r="F811" s="8"/>
      <c r="G811" s="8"/>
      <c r="H811" s="8"/>
      <c r="I811" s="60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60"/>
      <c r="B812" s="60"/>
      <c r="C812" s="8"/>
      <c r="D812" s="60"/>
      <c r="E812" s="60"/>
      <c r="F812" s="8"/>
      <c r="G812" s="8"/>
      <c r="H812" s="8"/>
      <c r="I812" s="60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60"/>
      <c r="B813" s="60"/>
      <c r="C813" s="8"/>
      <c r="D813" s="60"/>
      <c r="E813" s="60"/>
      <c r="F813" s="8"/>
      <c r="G813" s="8"/>
      <c r="H813" s="8"/>
      <c r="I813" s="60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60"/>
      <c r="B814" s="60"/>
      <c r="C814" s="8"/>
      <c r="D814" s="60"/>
      <c r="E814" s="60"/>
      <c r="F814" s="8"/>
      <c r="G814" s="8"/>
      <c r="H814" s="8"/>
      <c r="I814" s="60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60"/>
      <c r="B815" s="60"/>
      <c r="C815" s="8"/>
      <c r="D815" s="60"/>
      <c r="E815" s="60"/>
      <c r="F815" s="8"/>
      <c r="G815" s="8"/>
      <c r="H815" s="8"/>
      <c r="I815" s="60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60"/>
      <c r="B816" s="60"/>
      <c r="C816" s="8"/>
      <c r="D816" s="60"/>
      <c r="E816" s="60"/>
      <c r="F816" s="8"/>
      <c r="G816" s="8"/>
      <c r="H816" s="8"/>
      <c r="I816" s="60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60"/>
      <c r="B817" s="60"/>
      <c r="C817" s="8"/>
      <c r="D817" s="60"/>
      <c r="E817" s="60"/>
      <c r="F817" s="8"/>
      <c r="G817" s="8"/>
      <c r="H817" s="8"/>
      <c r="I817" s="60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60"/>
      <c r="B818" s="60"/>
      <c r="C818" s="8"/>
      <c r="D818" s="60"/>
      <c r="E818" s="60"/>
      <c r="F818" s="8"/>
      <c r="G818" s="8"/>
      <c r="H818" s="8"/>
      <c r="I818" s="60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60"/>
      <c r="B819" s="60"/>
      <c r="C819" s="8"/>
      <c r="D819" s="60"/>
      <c r="E819" s="60"/>
      <c r="F819" s="8"/>
      <c r="G819" s="8"/>
      <c r="H819" s="8"/>
      <c r="I819" s="60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60"/>
      <c r="B820" s="60"/>
      <c r="C820" s="8"/>
      <c r="D820" s="60"/>
      <c r="E820" s="60"/>
      <c r="F820" s="8"/>
      <c r="G820" s="8"/>
      <c r="H820" s="8"/>
      <c r="I820" s="60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60"/>
      <c r="B821" s="60"/>
      <c r="C821" s="8"/>
      <c r="D821" s="60"/>
      <c r="E821" s="60"/>
      <c r="F821" s="8"/>
      <c r="G821" s="8"/>
      <c r="H821" s="8"/>
      <c r="I821" s="60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60"/>
      <c r="B822" s="60"/>
      <c r="C822" s="8"/>
      <c r="D822" s="60"/>
      <c r="E822" s="60"/>
      <c r="F822" s="8"/>
      <c r="G822" s="8"/>
      <c r="H822" s="8"/>
      <c r="I822" s="60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60"/>
      <c r="B823" s="60"/>
      <c r="C823" s="8"/>
      <c r="D823" s="60"/>
      <c r="E823" s="60"/>
      <c r="F823" s="8"/>
      <c r="G823" s="8"/>
      <c r="H823" s="8"/>
      <c r="I823" s="60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60"/>
      <c r="B824" s="60"/>
      <c r="C824" s="8"/>
      <c r="D824" s="60"/>
      <c r="E824" s="60"/>
      <c r="F824" s="8"/>
      <c r="G824" s="8"/>
      <c r="H824" s="8"/>
      <c r="I824" s="60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60"/>
      <c r="B825" s="60"/>
      <c r="C825" s="8"/>
      <c r="D825" s="60"/>
      <c r="E825" s="60"/>
      <c r="F825" s="8"/>
      <c r="G825" s="8"/>
      <c r="H825" s="8"/>
      <c r="I825" s="60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60"/>
      <c r="B826" s="60"/>
      <c r="C826" s="8"/>
      <c r="D826" s="60"/>
      <c r="E826" s="60"/>
      <c r="F826" s="8"/>
      <c r="G826" s="8"/>
      <c r="H826" s="8"/>
      <c r="I826" s="60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60"/>
      <c r="B827" s="60"/>
      <c r="C827" s="8"/>
      <c r="D827" s="60"/>
      <c r="E827" s="60"/>
      <c r="F827" s="8"/>
      <c r="G827" s="8"/>
      <c r="H827" s="8"/>
      <c r="I827" s="60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60"/>
      <c r="B828" s="60"/>
      <c r="C828" s="8"/>
      <c r="D828" s="60"/>
      <c r="E828" s="60"/>
      <c r="F828" s="8"/>
      <c r="G828" s="8"/>
      <c r="H828" s="8"/>
      <c r="I828" s="60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60"/>
      <c r="B829" s="60"/>
      <c r="C829" s="8"/>
      <c r="D829" s="60"/>
      <c r="E829" s="60"/>
      <c r="F829" s="8"/>
      <c r="G829" s="8"/>
      <c r="H829" s="8"/>
      <c r="I829" s="60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60"/>
      <c r="B830" s="60"/>
      <c r="C830" s="8"/>
      <c r="D830" s="60"/>
      <c r="E830" s="60"/>
      <c r="F830" s="8"/>
      <c r="G830" s="8"/>
      <c r="H830" s="8"/>
      <c r="I830" s="60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60"/>
      <c r="B831" s="60"/>
      <c r="C831" s="8"/>
      <c r="D831" s="60"/>
      <c r="E831" s="60"/>
      <c r="F831" s="8"/>
      <c r="G831" s="8"/>
      <c r="H831" s="8"/>
      <c r="I831" s="60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60"/>
      <c r="B832" s="60"/>
      <c r="C832" s="8"/>
      <c r="D832" s="60"/>
      <c r="E832" s="60"/>
      <c r="F832" s="8"/>
      <c r="G832" s="8"/>
      <c r="H832" s="8"/>
      <c r="I832" s="60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60"/>
      <c r="B833" s="60"/>
      <c r="C833" s="8"/>
      <c r="D833" s="60"/>
      <c r="E833" s="60"/>
      <c r="F833" s="8"/>
      <c r="G833" s="8"/>
      <c r="H833" s="8"/>
      <c r="I833" s="60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60"/>
      <c r="B834" s="60"/>
      <c r="C834" s="8"/>
      <c r="D834" s="60"/>
      <c r="E834" s="60"/>
      <c r="F834" s="8"/>
      <c r="G834" s="8"/>
      <c r="H834" s="8"/>
      <c r="I834" s="60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60"/>
      <c r="B835" s="60"/>
      <c r="C835" s="8"/>
      <c r="D835" s="60"/>
      <c r="E835" s="60"/>
      <c r="F835" s="8"/>
      <c r="G835" s="8"/>
      <c r="H835" s="8"/>
      <c r="I835" s="60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60"/>
      <c r="B836" s="60"/>
      <c r="C836" s="8"/>
      <c r="D836" s="60"/>
      <c r="E836" s="60"/>
      <c r="F836" s="8"/>
      <c r="G836" s="8"/>
      <c r="H836" s="8"/>
      <c r="I836" s="60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60"/>
      <c r="B837" s="60"/>
      <c r="C837" s="8"/>
      <c r="D837" s="60"/>
      <c r="E837" s="60"/>
      <c r="F837" s="8"/>
      <c r="G837" s="8"/>
      <c r="H837" s="8"/>
      <c r="I837" s="60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60"/>
      <c r="B838" s="60"/>
      <c r="C838" s="8"/>
      <c r="D838" s="60"/>
      <c r="E838" s="60"/>
      <c r="F838" s="8"/>
      <c r="G838" s="8"/>
      <c r="H838" s="8"/>
      <c r="I838" s="60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60"/>
      <c r="B839" s="60"/>
      <c r="C839" s="8"/>
      <c r="D839" s="60"/>
      <c r="E839" s="60"/>
      <c r="F839" s="8"/>
      <c r="G839" s="8"/>
      <c r="H839" s="8"/>
      <c r="I839" s="60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60"/>
      <c r="B840" s="60"/>
      <c r="C840" s="8"/>
      <c r="D840" s="60"/>
      <c r="E840" s="60"/>
      <c r="F840" s="8"/>
      <c r="G840" s="8"/>
      <c r="H840" s="8"/>
      <c r="I840" s="60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60"/>
      <c r="B841" s="60"/>
      <c r="C841" s="8"/>
      <c r="D841" s="60"/>
      <c r="E841" s="60"/>
      <c r="F841" s="8"/>
      <c r="G841" s="8"/>
      <c r="H841" s="8"/>
      <c r="I841" s="60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60"/>
      <c r="B842" s="60"/>
      <c r="C842" s="8"/>
      <c r="D842" s="60"/>
      <c r="E842" s="60"/>
      <c r="F842" s="8"/>
      <c r="G842" s="8"/>
      <c r="H842" s="8"/>
      <c r="I842" s="60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60"/>
      <c r="B843" s="60"/>
      <c r="C843" s="8"/>
      <c r="D843" s="60"/>
      <c r="E843" s="60"/>
      <c r="F843" s="8"/>
      <c r="G843" s="8"/>
      <c r="H843" s="8"/>
      <c r="I843" s="60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60"/>
      <c r="B844" s="60"/>
      <c r="C844" s="8"/>
      <c r="D844" s="60"/>
      <c r="E844" s="60"/>
      <c r="F844" s="8"/>
      <c r="G844" s="8"/>
      <c r="H844" s="8"/>
      <c r="I844" s="60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60"/>
      <c r="B845" s="60"/>
      <c r="C845" s="8"/>
      <c r="D845" s="60"/>
      <c r="E845" s="60"/>
      <c r="F845" s="8"/>
      <c r="G845" s="8"/>
      <c r="H845" s="8"/>
      <c r="I845" s="60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60"/>
      <c r="B846" s="60"/>
      <c r="C846" s="8"/>
      <c r="D846" s="60"/>
      <c r="E846" s="60"/>
      <c r="F846" s="8"/>
      <c r="G846" s="8"/>
      <c r="H846" s="8"/>
      <c r="I846" s="60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60"/>
      <c r="B847" s="60"/>
      <c r="C847" s="8"/>
      <c r="D847" s="60"/>
      <c r="E847" s="60"/>
      <c r="F847" s="8"/>
      <c r="G847" s="8"/>
      <c r="H847" s="8"/>
      <c r="I847" s="60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60"/>
      <c r="B848" s="60"/>
      <c r="C848" s="8"/>
      <c r="D848" s="60"/>
      <c r="E848" s="60"/>
      <c r="F848" s="8"/>
      <c r="G848" s="8"/>
      <c r="H848" s="8"/>
      <c r="I848" s="60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60"/>
      <c r="B849" s="60"/>
      <c r="C849" s="8"/>
      <c r="D849" s="60"/>
      <c r="E849" s="60"/>
      <c r="F849" s="8"/>
      <c r="G849" s="8"/>
      <c r="H849" s="8"/>
      <c r="I849" s="60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60"/>
      <c r="B850" s="60"/>
      <c r="C850" s="8"/>
      <c r="D850" s="60"/>
      <c r="E850" s="60"/>
      <c r="F850" s="8"/>
      <c r="G850" s="8"/>
      <c r="H850" s="8"/>
      <c r="I850" s="60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60"/>
      <c r="B851" s="60"/>
      <c r="C851" s="8"/>
      <c r="D851" s="60"/>
      <c r="E851" s="60"/>
      <c r="F851" s="8"/>
      <c r="G851" s="8"/>
      <c r="H851" s="8"/>
      <c r="I851" s="60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60"/>
      <c r="B852" s="60"/>
      <c r="C852" s="8"/>
      <c r="D852" s="60"/>
      <c r="E852" s="60"/>
      <c r="F852" s="8"/>
      <c r="G852" s="8"/>
      <c r="H852" s="8"/>
      <c r="I852" s="60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60"/>
      <c r="B853" s="60"/>
      <c r="C853" s="8"/>
      <c r="D853" s="60"/>
      <c r="E853" s="60"/>
      <c r="F853" s="8"/>
      <c r="G853" s="8"/>
      <c r="H853" s="8"/>
      <c r="I853" s="60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60"/>
      <c r="B854" s="60"/>
      <c r="C854" s="8"/>
      <c r="D854" s="60"/>
      <c r="E854" s="60"/>
      <c r="F854" s="8"/>
      <c r="G854" s="8"/>
      <c r="H854" s="8"/>
      <c r="I854" s="60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60"/>
      <c r="B855" s="60"/>
      <c r="C855" s="8"/>
      <c r="D855" s="60"/>
      <c r="E855" s="60"/>
      <c r="F855" s="8"/>
      <c r="G855" s="8"/>
      <c r="H855" s="8"/>
      <c r="I855" s="60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60"/>
      <c r="B856" s="60"/>
      <c r="C856" s="8"/>
      <c r="D856" s="60"/>
      <c r="E856" s="60"/>
      <c r="F856" s="8"/>
      <c r="G856" s="8"/>
      <c r="H856" s="8"/>
      <c r="I856" s="60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60"/>
      <c r="B857" s="60"/>
      <c r="C857" s="8"/>
      <c r="D857" s="60"/>
      <c r="E857" s="60"/>
      <c r="F857" s="8"/>
      <c r="G857" s="8"/>
      <c r="H857" s="8"/>
      <c r="I857" s="60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60"/>
      <c r="B858" s="60"/>
      <c r="C858" s="8"/>
      <c r="D858" s="60"/>
      <c r="E858" s="60"/>
      <c r="F858" s="8"/>
      <c r="G858" s="8"/>
      <c r="H858" s="8"/>
      <c r="I858" s="60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60"/>
      <c r="B859" s="60"/>
      <c r="C859" s="8"/>
      <c r="D859" s="60"/>
      <c r="E859" s="60"/>
      <c r="F859" s="8"/>
      <c r="G859" s="8"/>
      <c r="H859" s="8"/>
      <c r="I859" s="60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60"/>
      <c r="B860" s="60"/>
      <c r="C860" s="8"/>
      <c r="D860" s="60"/>
      <c r="E860" s="60"/>
      <c r="F860" s="8"/>
      <c r="G860" s="8"/>
      <c r="H860" s="8"/>
      <c r="I860" s="60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60"/>
      <c r="B861" s="60"/>
      <c r="C861" s="8"/>
      <c r="D861" s="60"/>
      <c r="E861" s="60"/>
      <c r="F861" s="8"/>
      <c r="G861" s="8"/>
      <c r="H861" s="8"/>
      <c r="I861" s="60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60"/>
      <c r="B862" s="60"/>
      <c r="C862" s="8"/>
      <c r="D862" s="60"/>
      <c r="E862" s="60"/>
      <c r="F862" s="8"/>
      <c r="G862" s="8"/>
      <c r="H862" s="8"/>
      <c r="I862" s="60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60"/>
      <c r="B863" s="60"/>
      <c r="C863" s="8"/>
      <c r="D863" s="60"/>
      <c r="E863" s="60"/>
      <c r="F863" s="8"/>
      <c r="G863" s="8"/>
      <c r="H863" s="8"/>
      <c r="I863" s="60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60"/>
      <c r="B864" s="60"/>
      <c r="C864" s="8"/>
      <c r="D864" s="60"/>
      <c r="E864" s="60"/>
      <c r="F864" s="8"/>
      <c r="G864" s="8"/>
      <c r="H864" s="8"/>
      <c r="I864" s="60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60"/>
      <c r="B865" s="60"/>
      <c r="C865" s="8"/>
      <c r="D865" s="60"/>
      <c r="E865" s="60"/>
      <c r="F865" s="8"/>
      <c r="G865" s="8"/>
      <c r="H865" s="8"/>
      <c r="I865" s="60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60"/>
      <c r="B866" s="60"/>
      <c r="C866" s="8"/>
      <c r="D866" s="60"/>
      <c r="E866" s="60"/>
      <c r="F866" s="8"/>
      <c r="G866" s="8"/>
      <c r="H866" s="8"/>
      <c r="I866" s="60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60"/>
      <c r="B867" s="60"/>
      <c r="C867" s="8"/>
      <c r="D867" s="60"/>
      <c r="E867" s="60"/>
      <c r="F867" s="8"/>
      <c r="G867" s="8"/>
      <c r="H867" s="8"/>
      <c r="I867" s="60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60"/>
      <c r="B868" s="60"/>
      <c r="C868" s="8"/>
      <c r="D868" s="60"/>
      <c r="E868" s="60"/>
      <c r="F868" s="8"/>
      <c r="G868" s="8"/>
      <c r="H868" s="8"/>
      <c r="I868" s="60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60"/>
      <c r="B869" s="60"/>
      <c r="C869" s="8"/>
      <c r="D869" s="60"/>
      <c r="E869" s="60"/>
      <c r="F869" s="8"/>
      <c r="G869" s="8"/>
      <c r="H869" s="8"/>
      <c r="I869" s="60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60"/>
      <c r="B870" s="60"/>
      <c r="C870" s="8"/>
      <c r="D870" s="60"/>
      <c r="E870" s="60"/>
      <c r="F870" s="8"/>
      <c r="G870" s="8"/>
      <c r="H870" s="8"/>
      <c r="I870" s="60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60"/>
      <c r="B871" s="60"/>
      <c r="C871" s="8"/>
      <c r="D871" s="60"/>
      <c r="E871" s="60"/>
      <c r="F871" s="8"/>
      <c r="G871" s="8"/>
      <c r="H871" s="8"/>
      <c r="I871" s="60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60"/>
      <c r="B872" s="60"/>
      <c r="C872" s="8"/>
      <c r="D872" s="60"/>
      <c r="E872" s="60"/>
      <c r="F872" s="8"/>
      <c r="G872" s="8"/>
      <c r="H872" s="8"/>
      <c r="I872" s="60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60"/>
      <c r="B873" s="60"/>
      <c r="C873" s="8"/>
      <c r="D873" s="60"/>
      <c r="E873" s="60"/>
      <c r="F873" s="8"/>
      <c r="G873" s="8"/>
      <c r="H873" s="8"/>
      <c r="I873" s="60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60"/>
      <c r="B874" s="60"/>
      <c r="C874" s="8"/>
      <c r="D874" s="60"/>
      <c r="E874" s="60"/>
      <c r="F874" s="8"/>
      <c r="G874" s="8"/>
      <c r="H874" s="8"/>
      <c r="I874" s="60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60"/>
      <c r="B875" s="60"/>
      <c r="C875" s="8"/>
      <c r="D875" s="60"/>
      <c r="E875" s="60"/>
      <c r="F875" s="8"/>
      <c r="G875" s="8"/>
      <c r="H875" s="8"/>
      <c r="I875" s="60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60"/>
      <c r="B876" s="60"/>
      <c r="C876" s="8"/>
      <c r="D876" s="60"/>
      <c r="E876" s="60"/>
      <c r="F876" s="8"/>
      <c r="G876" s="8"/>
      <c r="H876" s="8"/>
      <c r="I876" s="60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60"/>
      <c r="B877" s="60"/>
      <c r="C877" s="8"/>
      <c r="D877" s="60"/>
      <c r="E877" s="60"/>
      <c r="F877" s="8"/>
      <c r="G877" s="8"/>
      <c r="H877" s="8"/>
      <c r="I877" s="60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60"/>
      <c r="B878" s="60"/>
      <c r="C878" s="8"/>
      <c r="D878" s="60"/>
      <c r="E878" s="60"/>
      <c r="F878" s="8"/>
      <c r="G878" s="8"/>
      <c r="H878" s="8"/>
      <c r="I878" s="60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60"/>
      <c r="B879" s="60"/>
      <c r="C879" s="8"/>
      <c r="D879" s="60"/>
      <c r="E879" s="60"/>
      <c r="F879" s="8"/>
      <c r="G879" s="8"/>
      <c r="H879" s="8"/>
      <c r="I879" s="60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60"/>
      <c r="B880" s="60"/>
      <c r="C880" s="8"/>
      <c r="D880" s="60"/>
      <c r="E880" s="60"/>
      <c r="F880" s="8"/>
      <c r="G880" s="8"/>
      <c r="H880" s="8"/>
      <c r="I880" s="60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60"/>
      <c r="B881" s="60"/>
      <c r="C881" s="8"/>
      <c r="D881" s="60"/>
      <c r="E881" s="60"/>
      <c r="F881" s="8"/>
      <c r="G881" s="8"/>
      <c r="H881" s="8"/>
      <c r="I881" s="60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60"/>
      <c r="B882" s="60"/>
      <c r="C882" s="8"/>
      <c r="D882" s="60"/>
      <c r="E882" s="60"/>
      <c r="F882" s="8"/>
      <c r="G882" s="8"/>
      <c r="H882" s="8"/>
      <c r="I882" s="60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60"/>
      <c r="B883" s="60"/>
      <c r="C883" s="8"/>
      <c r="D883" s="60"/>
      <c r="E883" s="60"/>
      <c r="F883" s="8"/>
      <c r="G883" s="8"/>
      <c r="H883" s="8"/>
      <c r="I883" s="60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60"/>
      <c r="B884" s="60"/>
      <c r="C884" s="8"/>
      <c r="D884" s="60"/>
      <c r="E884" s="60"/>
      <c r="F884" s="8"/>
      <c r="G884" s="8"/>
      <c r="H884" s="8"/>
      <c r="I884" s="60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60"/>
      <c r="B885" s="60"/>
      <c r="C885" s="8"/>
      <c r="D885" s="60"/>
      <c r="E885" s="60"/>
      <c r="F885" s="8"/>
      <c r="G885" s="8"/>
      <c r="H885" s="8"/>
      <c r="I885" s="60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60"/>
      <c r="B886" s="60"/>
      <c r="C886" s="8"/>
      <c r="D886" s="60"/>
      <c r="E886" s="60"/>
      <c r="F886" s="8"/>
      <c r="G886" s="8"/>
      <c r="H886" s="8"/>
      <c r="I886" s="60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60"/>
      <c r="B887" s="60"/>
      <c r="C887" s="8"/>
      <c r="D887" s="60"/>
      <c r="E887" s="60"/>
      <c r="F887" s="8"/>
      <c r="G887" s="8"/>
      <c r="H887" s="8"/>
      <c r="I887" s="60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60"/>
      <c r="B888" s="60"/>
      <c r="C888" s="8"/>
      <c r="D888" s="60"/>
      <c r="E888" s="60"/>
      <c r="F888" s="8"/>
      <c r="G888" s="8"/>
      <c r="H888" s="8"/>
      <c r="I888" s="60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60"/>
      <c r="B889" s="60"/>
      <c r="C889" s="8"/>
      <c r="D889" s="60"/>
      <c r="E889" s="60"/>
      <c r="F889" s="8"/>
      <c r="G889" s="8"/>
      <c r="H889" s="8"/>
      <c r="I889" s="60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60"/>
      <c r="B890" s="60"/>
      <c r="C890" s="8"/>
      <c r="D890" s="60"/>
      <c r="E890" s="60"/>
      <c r="F890" s="8"/>
      <c r="G890" s="8"/>
      <c r="H890" s="8"/>
      <c r="I890" s="60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60"/>
      <c r="B891" s="60"/>
      <c r="C891" s="8"/>
      <c r="D891" s="60"/>
      <c r="E891" s="60"/>
      <c r="F891" s="8"/>
      <c r="G891" s="8"/>
      <c r="H891" s="8"/>
      <c r="I891" s="60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60"/>
      <c r="B892" s="60"/>
      <c r="C892" s="8"/>
      <c r="D892" s="60"/>
      <c r="E892" s="60"/>
      <c r="F892" s="8"/>
      <c r="G892" s="8"/>
      <c r="H892" s="8"/>
      <c r="I892" s="60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60"/>
      <c r="B893" s="60"/>
      <c r="C893" s="8"/>
      <c r="D893" s="60"/>
      <c r="E893" s="60"/>
      <c r="F893" s="8"/>
      <c r="G893" s="8"/>
      <c r="H893" s="8"/>
      <c r="I893" s="60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60"/>
      <c r="B894" s="60"/>
      <c r="C894" s="8"/>
      <c r="D894" s="60"/>
      <c r="E894" s="60"/>
      <c r="F894" s="8"/>
      <c r="G894" s="8"/>
      <c r="H894" s="8"/>
      <c r="I894" s="60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60"/>
      <c r="B895" s="60"/>
      <c r="C895" s="8"/>
      <c r="D895" s="60"/>
      <c r="E895" s="60"/>
      <c r="F895" s="8"/>
      <c r="G895" s="8"/>
      <c r="H895" s="8"/>
      <c r="I895" s="60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60"/>
      <c r="B896" s="60"/>
      <c r="C896" s="8"/>
      <c r="D896" s="60"/>
      <c r="E896" s="60"/>
      <c r="F896" s="8"/>
      <c r="G896" s="8"/>
      <c r="H896" s="8"/>
      <c r="I896" s="60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60"/>
      <c r="B897" s="60"/>
      <c r="C897" s="8"/>
      <c r="D897" s="60"/>
      <c r="E897" s="60"/>
      <c r="F897" s="8"/>
      <c r="G897" s="8"/>
      <c r="H897" s="8"/>
      <c r="I897" s="60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60"/>
      <c r="B898" s="60"/>
      <c r="C898" s="8"/>
      <c r="D898" s="60"/>
      <c r="E898" s="60"/>
      <c r="F898" s="8"/>
      <c r="G898" s="8"/>
      <c r="H898" s="8"/>
      <c r="I898" s="60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60"/>
      <c r="B899" s="60"/>
      <c r="C899" s="8"/>
      <c r="D899" s="60"/>
      <c r="E899" s="60"/>
      <c r="F899" s="8"/>
      <c r="G899" s="8"/>
      <c r="H899" s="8"/>
      <c r="I899" s="60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60"/>
      <c r="B900" s="60"/>
      <c r="C900" s="8"/>
      <c r="D900" s="60"/>
      <c r="E900" s="60"/>
      <c r="F900" s="8"/>
      <c r="G900" s="8"/>
      <c r="H900" s="8"/>
      <c r="I900" s="60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60"/>
      <c r="B901" s="60"/>
      <c r="C901" s="8"/>
      <c r="D901" s="60"/>
      <c r="E901" s="60"/>
      <c r="F901" s="8"/>
      <c r="G901" s="8"/>
      <c r="H901" s="8"/>
      <c r="I901" s="60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60"/>
      <c r="B902" s="60"/>
      <c r="C902" s="8"/>
      <c r="D902" s="60"/>
      <c r="E902" s="60"/>
      <c r="F902" s="8"/>
      <c r="G902" s="8"/>
      <c r="H902" s="8"/>
      <c r="I902" s="60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60"/>
      <c r="B903" s="60"/>
      <c r="C903" s="8"/>
      <c r="D903" s="60"/>
      <c r="E903" s="60"/>
      <c r="F903" s="8"/>
      <c r="G903" s="8"/>
      <c r="H903" s="8"/>
      <c r="I903" s="60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60"/>
      <c r="B904" s="60"/>
      <c r="C904" s="8"/>
      <c r="D904" s="60"/>
      <c r="E904" s="60"/>
      <c r="F904" s="8"/>
      <c r="G904" s="8"/>
      <c r="H904" s="8"/>
      <c r="I904" s="60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60"/>
      <c r="B905" s="60"/>
      <c r="C905" s="8"/>
      <c r="D905" s="60"/>
      <c r="E905" s="60"/>
      <c r="F905" s="8"/>
      <c r="G905" s="8"/>
      <c r="H905" s="8"/>
      <c r="I905" s="60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60"/>
      <c r="B906" s="60"/>
      <c r="C906" s="8"/>
      <c r="D906" s="60"/>
      <c r="E906" s="60"/>
      <c r="F906" s="8"/>
      <c r="G906" s="8"/>
      <c r="H906" s="8"/>
      <c r="I906" s="60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60"/>
      <c r="B907" s="60"/>
      <c r="C907" s="8"/>
      <c r="D907" s="60"/>
      <c r="E907" s="60"/>
      <c r="F907" s="8"/>
      <c r="G907" s="8"/>
      <c r="H907" s="8"/>
      <c r="I907" s="60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60"/>
      <c r="B908" s="60"/>
      <c r="C908" s="8"/>
      <c r="D908" s="60"/>
      <c r="E908" s="60"/>
      <c r="F908" s="8"/>
      <c r="G908" s="8"/>
      <c r="H908" s="8"/>
      <c r="I908" s="60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60"/>
      <c r="B909" s="60"/>
      <c r="C909" s="8"/>
      <c r="D909" s="60"/>
      <c r="E909" s="60"/>
      <c r="F909" s="8"/>
      <c r="G909" s="8"/>
      <c r="H909" s="8"/>
      <c r="I909" s="60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60"/>
      <c r="B910" s="60"/>
      <c r="C910" s="8"/>
      <c r="D910" s="60"/>
      <c r="E910" s="60"/>
      <c r="F910" s="8"/>
      <c r="G910" s="8"/>
      <c r="H910" s="8"/>
      <c r="I910" s="60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60"/>
      <c r="B911" s="60"/>
      <c r="C911" s="8"/>
      <c r="D911" s="60"/>
      <c r="E911" s="60"/>
      <c r="F911" s="8"/>
      <c r="G911" s="8"/>
      <c r="H911" s="8"/>
      <c r="I911" s="60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60"/>
      <c r="B912" s="60"/>
      <c r="C912" s="8"/>
      <c r="D912" s="60"/>
      <c r="E912" s="60"/>
      <c r="F912" s="8"/>
      <c r="G912" s="8"/>
      <c r="H912" s="8"/>
      <c r="I912" s="60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60"/>
      <c r="B913" s="60"/>
      <c r="C913" s="8"/>
      <c r="D913" s="60"/>
      <c r="E913" s="60"/>
      <c r="F913" s="8"/>
      <c r="G913" s="8"/>
      <c r="H913" s="8"/>
      <c r="I913" s="60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60"/>
      <c r="B914" s="60"/>
      <c r="C914" s="8"/>
      <c r="D914" s="60"/>
      <c r="E914" s="60"/>
      <c r="F914" s="8"/>
      <c r="G914" s="8"/>
      <c r="H914" s="8"/>
      <c r="I914" s="60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60"/>
      <c r="B915" s="60"/>
      <c r="C915" s="8"/>
      <c r="D915" s="60"/>
      <c r="E915" s="60"/>
      <c r="F915" s="8"/>
      <c r="G915" s="8"/>
      <c r="H915" s="8"/>
      <c r="I915" s="60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60"/>
      <c r="B916" s="60"/>
      <c r="C916" s="8"/>
      <c r="D916" s="60"/>
      <c r="E916" s="60"/>
      <c r="F916" s="8"/>
      <c r="G916" s="8"/>
      <c r="H916" s="8"/>
      <c r="I916" s="60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60"/>
      <c r="B917" s="60"/>
      <c r="C917" s="8"/>
      <c r="D917" s="60"/>
      <c r="E917" s="60"/>
      <c r="F917" s="8"/>
      <c r="G917" s="8"/>
      <c r="H917" s="8"/>
      <c r="I917" s="60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60"/>
      <c r="B918" s="60"/>
      <c r="C918" s="8"/>
      <c r="D918" s="60"/>
      <c r="E918" s="60"/>
      <c r="F918" s="8"/>
      <c r="G918" s="8"/>
      <c r="H918" s="8"/>
      <c r="I918" s="60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60"/>
      <c r="B919" s="60"/>
      <c r="C919" s="8"/>
      <c r="D919" s="60"/>
      <c r="E919" s="60"/>
      <c r="F919" s="8"/>
      <c r="G919" s="8"/>
      <c r="H919" s="8"/>
      <c r="I919" s="60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60"/>
      <c r="B920" s="60"/>
      <c r="C920" s="8"/>
      <c r="D920" s="60"/>
      <c r="E920" s="60"/>
      <c r="F920" s="8"/>
      <c r="G920" s="8"/>
      <c r="H920" s="8"/>
      <c r="I920" s="60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60"/>
      <c r="B921" s="60"/>
      <c r="C921" s="8"/>
      <c r="D921" s="60"/>
      <c r="E921" s="60"/>
      <c r="F921" s="8"/>
      <c r="G921" s="8"/>
      <c r="H921" s="8"/>
      <c r="I921" s="60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60"/>
      <c r="B922" s="60"/>
      <c r="C922" s="8"/>
      <c r="D922" s="60"/>
      <c r="E922" s="60"/>
      <c r="F922" s="8"/>
      <c r="G922" s="8"/>
      <c r="H922" s="8"/>
      <c r="I922" s="60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60"/>
      <c r="B923" s="60"/>
      <c r="C923" s="8"/>
      <c r="D923" s="60"/>
      <c r="E923" s="60"/>
      <c r="F923" s="8"/>
      <c r="G923" s="8"/>
      <c r="H923" s="8"/>
      <c r="I923" s="60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60"/>
      <c r="B924" s="60"/>
      <c r="C924" s="8"/>
      <c r="D924" s="60"/>
      <c r="E924" s="60"/>
      <c r="F924" s="8"/>
      <c r="G924" s="8"/>
      <c r="H924" s="8"/>
      <c r="I924" s="60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60"/>
      <c r="B925" s="60"/>
      <c r="C925" s="8"/>
      <c r="D925" s="60"/>
      <c r="E925" s="60"/>
      <c r="F925" s="8"/>
      <c r="G925" s="8"/>
      <c r="H925" s="8"/>
      <c r="I925" s="60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60"/>
      <c r="B926" s="60"/>
      <c r="C926" s="8"/>
      <c r="D926" s="60"/>
      <c r="E926" s="60"/>
      <c r="F926" s="8"/>
      <c r="G926" s="8"/>
      <c r="H926" s="8"/>
      <c r="I926" s="60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60"/>
      <c r="B927" s="60"/>
      <c r="C927" s="8"/>
      <c r="D927" s="60"/>
      <c r="E927" s="60"/>
      <c r="F927" s="8"/>
      <c r="G927" s="8"/>
      <c r="H927" s="8"/>
      <c r="I927" s="60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60"/>
      <c r="B928" s="60"/>
      <c r="C928" s="8"/>
      <c r="D928" s="60"/>
      <c r="E928" s="60"/>
      <c r="F928" s="8"/>
      <c r="G928" s="8"/>
      <c r="H928" s="8"/>
      <c r="I928" s="60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60"/>
      <c r="B929" s="60"/>
      <c r="C929" s="8"/>
      <c r="D929" s="60"/>
      <c r="E929" s="60"/>
      <c r="F929" s="8"/>
      <c r="G929" s="8"/>
      <c r="H929" s="8"/>
      <c r="I929" s="60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60"/>
      <c r="B930" s="60"/>
      <c r="C930" s="8"/>
      <c r="D930" s="60"/>
      <c r="E930" s="60"/>
      <c r="F930" s="8"/>
      <c r="G930" s="8"/>
      <c r="H930" s="8"/>
      <c r="I930" s="60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60"/>
      <c r="B931" s="60"/>
      <c r="C931" s="8"/>
      <c r="D931" s="60"/>
      <c r="E931" s="60"/>
      <c r="F931" s="8"/>
      <c r="G931" s="8"/>
      <c r="H931" s="8"/>
      <c r="I931" s="60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60"/>
      <c r="B932" s="60"/>
      <c r="C932" s="8"/>
      <c r="D932" s="60"/>
      <c r="E932" s="60"/>
      <c r="F932" s="8"/>
      <c r="G932" s="8"/>
      <c r="H932" s="8"/>
      <c r="I932" s="60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60"/>
      <c r="B933" s="60"/>
      <c r="C933" s="8"/>
      <c r="D933" s="60"/>
      <c r="E933" s="60"/>
      <c r="F933" s="8"/>
      <c r="G933" s="8"/>
      <c r="H933" s="8"/>
      <c r="I933" s="60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60"/>
      <c r="B934" s="60"/>
      <c r="C934" s="8"/>
      <c r="D934" s="60"/>
      <c r="E934" s="60"/>
      <c r="F934" s="8"/>
      <c r="G934" s="8"/>
      <c r="H934" s="8"/>
      <c r="I934" s="60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60"/>
      <c r="B935" s="60"/>
      <c r="C935" s="8"/>
      <c r="D935" s="60"/>
      <c r="E935" s="60"/>
      <c r="F935" s="8"/>
      <c r="G935" s="8"/>
      <c r="H935" s="8"/>
      <c r="I935" s="60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60"/>
      <c r="B936" s="60"/>
      <c r="C936" s="8"/>
      <c r="D936" s="60"/>
      <c r="E936" s="60"/>
      <c r="F936" s="8"/>
      <c r="G936" s="8"/>
      <c r="H936" s="8"/>
      <c r="I936" s="60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60"/>
      <c r="B937" s="60"/>
      <c r="C937" s="8"/>
      <c r="D937" s="60"/>
      <c r="E937" s="60"/>
      <c r="F937" s="8"/>
      <c r="G937" s="8"/>
      <c r="H937" s="8"/>
      <c r="I937" s="60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60"/>
      <c r="B938" s="60"/>
      <c r="C938" s="8"/>
      <c r="D938" s="60"/>
      <c r="E938" s="60"/>
      <c r="F938" s="8"/>
      <c r="G938" s="8"/>
      <c r="H938" s="8"/>
      <c r="I938" s="60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60"/>
      <c r="B939" s="60"/>
      <c r="C939" s="8"/>
      <c r="D939" s="60"/>
      <c r="E939" s="60"/>
      <c r="F939" s="8"/>
      <c r="G939" s="8"/>
      <c r="H939" s="8"/>
      <c r="I939" s="60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60"/>
      <c r="B940" s="60"/>
      <c r="C940" s="8"/>
      <c r="D940" s="60"/>
      <c r="E940" s="60"/>
      <c r="F940" s="8"/>
      <c r="G940" s="8"/>
      <c r="H940" s="8"/>
      <c r="I940" s="60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60"/>
      <c r="B941" s="60"/>
      <c r="C941" s="8"/>
      <c r="D941" s="60"/>
      <c r="E941" s="60"/>
      <c r="F941" s="8"/>
      <c r="G941" s="8"/>
      <c r="H941" s="8"/>
      <c r="I941" s="60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60"/>
      <c r="B942" s="60"/>
      <c r="C942" s="8"/>
      <c r="D942" s="60"/>
      <c r="E942" s="60"/>
      <c r="F942" s="8"/>
      <c r="G942" s="8"/>
      <c r="H942" s="8"/>
      <c r="I942" s="60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60"/>
      <c r="B943" s="60"/>
      <c r="C943" s="8"/>
      <c r="D943" s="60"/>
      <c r="E943" s="60"/>
      <c r="F943" s="8"/>
      <c r="G943" s="8"/>
      <c r="H943" s="8"/>
      <c r="I943" s="60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60"/>
      <c r="B944" s="60"/>
      <c r="C944" s="8"/>
      <c r="D944" s="60"/>
      <c r="E944" s="60"/>
      <c r="F944" s="8"/>
      <c r="G944" s="8"/>
      <c r="H944" s="8"/>
      <c r="I944" s="60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60"/>
      <c r="B945" s="60"/>
      <c r="C945" s="8"/>
      <c r="D945" s="60"/>
      <c r="E945" s="60"/>
      <c r="F945" s="8"/>
      <c r="G945" s="8"/>
      <c r="H945" s="8"/>
      <c r="I945" s="60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60"/>
      <c r="B946" s="60"/>
      <c r="C946" s="8"/>
      <c r="D946" s="60"/>
      <c r="E946" s="60"/>
      <c r="F946" s="8"/>
      <c r="G946" s="8"/>
      <c r="H946" s="8"/>
      <c r="I946" s="60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60"/>
      <c r="B947" s="60"/>
      <c r="C947" s="8"/>
      <c r="D947" s="60"/>
      <c r="E947" s="60"/>
      <c r="F947" s="8"/>
      <c r="G947" s="8"/>
      <c r="H947" s="8"/>
      <c r="I947" s="60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60"/>
      <c r="B948" s="60"/>
      <c r="C948" s="8"/>
      <c r="D948" s="60"/>
      <c r="E948" s="60"/>
      <c r="F948" s="8"/>
      <c r="G948" s="8"/>
      <c r="H948" s="8"/>
      <c r="I948" s="60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60"/>
      <c r="B949" s="60"/>
      <c r="C949" s="8"/>
      <c r="D949" s="60"/>
      <c r="E949" s="60"/>
      <c r="F949" s="8"/>
      <c r="G949" s="8"/>
      <c r="H949" s="8"/>
      <c r="I949" s="60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60"/>
      <c r="B950" s="60"/>
      <c r="C950" s="8"/>
      <c r="D950" s="60"/>
      <c r="E950" s="60"/>
      <c r="F950" s="8"/>
      <c r="G950" s="8"/>
      <c r="H950" s="8"/>
      <c r="I950" s="60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60"/>
      <c r="B951" s="60"/>
      <c r="C951" s="8"/>
      <c r="D951" s="60"/>
      <c r="E951" s="60"/>
      <c r="F951" s="8"/>
      <c r="G951" s="8"/>
      <c r="H951" s="8"/>
      <c r="I951" s="60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60"/>
      <c r="B952" s="60"/>
      <c r="C952" s="8"/>
      <c r="D952" s="60"/>
      <c r="E952" s="60"/>
      <c r="F952" s="8"/>
      <c r="G952" s="8"/>
      <c r="H952" s="8"/>
      <c r="I952" s="60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60"/>
      <c r="B953" s="60"/>
      <c r="C953" s="8"/>
      <c r="D953" s="60"/>
      <c r="E953" s="60"/>
      <c r="F953" s="8"/>
      <c r="G953" s="8"/>
      <c r="H953" s="8"/>
      <c r="I953" s="60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60"/>
      <c r="B954" s="60"/>
      <c r="C954" s="8"/>
      <c r="D954" s="60"/>
      <c r="E954" s="60"/>
      <c r="F954" s="8"/>
      <c r="G954" s="8"/>
      <c r="H954" s="8"/>
      <c r="I954" s="60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60"/>
      <c r="B955" s="60"/>
      <c r="C955" s="8"/>
      <c r="D955" s="60"/>
      <c r="E955" s="60"/>
      <c r="F955" s="8"/>
      <c r="G955" s="8"/>
      <c r="H955" s="8"/>
      <c r="I955" s="60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60"/>
      <c r="B956" s="60"/>
      <c r="C956" s="8"/>
      <c r="D956" s="60"/>
      <c r="E956" s="60"/>
      <c r="F956" s="8"/>
      <c r="G956" s="8"/>
      <c r="H956" s="8"/>
      <c r="I956" s="60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60"/>
      <c r="B957" s="60"/>
      <c r="C957" s="8"/>
      <c r="D957" s="60"/>
      <c r="E957" s="60"/>
      <c r="F957" s="8"/>
      <c r="G957" s="8"/>
      <c r="H957" s="8"/>
      <c r="I957" s="60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60"/>
      <c r="B958" s="60"/>
      <c r="C958" s="8"/>
      <c r="D958" s="60"/>
      <c r="E958" s="60"/>
      <c r="F958" s="8"/>
      <c r="G958" s="8"/>
      <c r="H958" s="8"/>
      <c r="I958" s="60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60"/>
      <c r="B959" s="60"/>
      <c r="C959" s="8"/>
      <c r="D959" s="60"/>
      <c r="E959" s="60"/>
      <c r="F959" s="8"/>
      <c r="G959" s="8"/>
      <c r="H959" s="8"/>
      <c r="I959" s="60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60"/>
      <c r="B960" s="60"/>
      <c r="C960" s="8"/>
      <c r="D960" s="60"/>
      <c r="E960" s="60"/>
      <c r="F960" s="8"/>
      <c r="G960" s="8"/>
      <c r="H960" s="8"/>
      <c r="I960" s="60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60"/>
      <c r="B961" s="60"/>
      <c r="C961" s="8"/>
      <c r="D961" s="60"/>
      <c r="E961" s="60"/>
      <c r="F961" s="8"/>
      <c r="G961" s="8"/>
      <c r="H961" s="8"/>
      <c r="I961" s="60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60"/>
      <c r="B962" s="60"/>
      <c r="C962" s="8"/>
      <c r="D962" s="60"/>
      <c r="E962" s="60"/>
      <c r="F962" s="8"/>
      <c r="G962" s="8"/>
      <c r="H962" s="8"/>
      <c r="I962" s="60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60"/>
      <c r="B963" s="60"/>
      <c r="C963" s="8"/>
      <c r="D963" s="60"/>
      <c r="E963" s="60"/>
      <c r="F963" s="8"/>
      <c r="G963" s="8"/>
      <c r="H963" s="8"/>
      <c r="I963" s="60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60"/>
      <c r="B964" s="60"/>
      <c r="C964" s="8"/>
      <c r="D964" s="60"/>
      <c r="E964" s="60"/>
      <c r="F964" s="8"/>
      <c r="G964" s="8"/>
      <c r="H964" s="8"/>
      <c r="I964" s="60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60"/>
      <c r="B965" s="60"/>
      <c r="C965" s="8"/>
      <c r="D965" s="60"/>
      <c r="E965" s="60"/>
      <c r="F965" s="8"/>
      <c r="G965" s="8"/>
      <c r="H965" s="8"/>
      <c r="I965" s="60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60"/>
      <c r="B966" s="60"/>
      <c r="C966" s="8"/>
      <c r="D966" s="60"/>
      <c r="E966" s="60"/>
      <c r="F966" s="8"/>
      <c r="G966" s="8"/>
      <c r="H966" s="8"/>
      <c r="I966" s="60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60"/>
      <c r="B967" s="60"/>
      <c r="C967" s="8"/>
      <c r="D967" s="60"/>
      <c r="E967" s="60"/>
      <c r="F967" s="8"/>
      <c r="G967" s="8"/>
      <c r="H967" s="8"/>
      <c r="I967" s="60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60"/>
      <c r="B968" s="60"/>
      <c r="C968" s="8"/>
      <c r="D968" s="60"/>
      <c r="E968" s="60"/>
      <c r="F968" s="8"/>
      <c r="G968" s="8"/>
      <c r="H968" s="8"/>
      <c r="I968" s="60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60"/>
      <c r="B969" s="60"/>
      <c r="C969" s="8"/>
      <c r="D969" s="60"/>
      <c r="E969" s="60"/>
      <c r="F969" s="8"/>
      <c r="G969" s="8"/>
      <c r="H969" s="8"/>
      <c r="I969" s="60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60"/>
      <c r="B970" s="60"/>
      <c r="C970" s="8"/>
      <c r="D970" s="60"/>
      <c r="E970" s="60"/>
      <c r="F970" s="8"/>
      <c r="G970" s="8"/>
      <c r="H970" s="8"/>
      <c r="I970" s="60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60"/>
      <c r="B971" s="60"/>
      <c r="C971" s="8"/>
      <c r="D971" s="60"/>
      <c r="E971" s="60"/>
      <c r="F971" s="8"/>
      <c r="G971" s="8"/>
      <c r="H971" s="8"/>
      <c r="I971" s="60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60"/>
      <c r="B972" s="60"/>
      <c r="C972" s="8"/>
      <c r="D972" s="60"/>
      <c r="E972" s="60"/>
      <c r="F972" s="8"/>
      <c r="G972" s="8"/>
      <c r="H972" s="8"/>
      <c r="I972" s="60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60"/>
      <c r="B973" s="60"/>
      <c r="C973" s="8"/>
      <c r="D973" s="60"/>
      <c r="E973" s="60"/>
      <c r="F973" s="8"/>
      <c r="G973" s="8"/>
      <c r="H973" s="8"/>
      <c r="I973" s="60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60"/>
      <c r="B974" s="60"/>
      <c r="C974" s="8"/>
      <c r="D974" s="60"/>
      <c r="E974" s="60"/>
      <c r="F974" s="8"/>
      <c r="G974" s="8"/>
      <c r="H974" s="8"/>
      <c r="I974" s="60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60"/>
      <c r="B975" s="60"/>
      <c r="C975" s="8"/>
      <c r="D975" s="60"/>
      <c r="E975" s="60"/>
      <c r="F975" s="8"/>
      <c r="G975" s="8"/>
      <c r="H975" s="8"/>
      <c r="I975" s="60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60"/>
      <c r="B976" s="60"/>
      <c r="C976" s="8"/>
      <c r="D976" s="60"/>
      <c r="E976" s="60"/>
      <c r="F976" s="8"/>
      <c r="G976" s="8"/>
      <c r="H976" s="8"/>
      <c r="I976" s="60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60"/>
      <c r="B977" s="60"/>
      <c r="C977" s="8"/>
      <c r="D977" s="60"/>
      <c r="E977" s="60"/>
      <c r="F977" s="8"/>
      <c r="G977" s="8"/>
      <c r="H977" s="8"/>
      <c r="I977" s="60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60"/>
      <c r="B978" s="60"/>
      <c r="C978" s="8"/>
      <c r="D978" s="60"/>
      <c r="E978" s="60"/>
      <c r="F978" s="8"/>
      <c r="G978" s="8"/>
      <c r="H978" s="8"/>
      <c r="I978" s="60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60"/>
      <c r="B979" s="60"/>
      <c r="C979" s="8"/>
      <c r="D979" s="60"/>
      <c r="E979" s="60"/>
      <c r="F979" s="8"/>
      <c r="G979" s="8"/>
      <c r="H979" s="8"/>
      <c r="I979" s="60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60"/>
      <c r="B980" s="60"/>
      <c r="C980" s="8"/>
      <c r="D980" s="60"/>
      <c r="E980" s="60"/>
      <c r="F980" s="8"/>
      <c r="G980" s="8"/>
      <c r="H980" s="8"/>
      <c r="I980" s="60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60"/>
      <c r="B981" s="60"/>
      <c r="C981" s="8"/>
      <c r="D981" s="60"/>
      <c r="E981" s="60"/>
      <c r="F981" s="8"/>
      <c r="G981" s="8"/>
      <c r="H981" s="8"/>
      <c r="I981" s="60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60"/>
      <c r="B982" s="60"/>
      <c r="C982" s="8"/>
      <c r="D982" s="60"/>
      <c r="E982" s="60"/>
      <c r="F982" s="8"/>
      <c r="G982" s="8"/>
      <c r="H982" s="8"/>
      <c r="I982" s="60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60"/>
      <c r="B983" s="60"/>
      <c r="C983" s="8"/>
      <c r="D983" s="60"/>
      <c r="E983" s="60"/>
      <c r="F983" s="8"/>
      <c r="G983" s="8"/>
      <c r="H983" s="8"/>
      <c r="I983" s="60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60"/>
      <c r="B984" s="60"/>
      <c r="C984" s="8"/>
      <c r="D984" s="60"/>
      <c r="E984" s="60"/>
      <c r="F984" s="8"/>
      <c r="G984" s="8"/>
      <c r="H984" s="8"/>
      <c r="I984" s="60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60"/>
      <c r="B985" s="60"/>
      <c r="C985" s="8"/>
      <c r="D985" s="60"/>
      <c r="E985" s="60"/>
      <c r="F985" s="8"/>
      <c r="G985" s="8"/>
      <c r="H985" s="8"/>
      <c r="I985" s="60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60"/>
      <c r="B986" s="60"/>
      <c r="C986" s="8"/>
      <c r="D986" s="60"/>
      <c r="E986" s="60"/>
      <c r="F986" s="8"/>
      <c r="G986" s="8"/>
      <c r="H986" s="8"/>
      <c r="I986" s="60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60"/>
      <c r="B987" s="60"/>
      <c r="C987" s="8"/>
      <c r="D987" s="60"/>
      <c r="E987" s="60"/>
      <c r="F987" s="8"/>
      <c r="G987" s="8"/>
      <c r="H987" s="8"/>
      <c r="I987" s="60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60"/>
      <c r="B988" s="60"/>
      <c r="C988" s="8"/>
      <c r="D988" s="60"/>
      <c r="E988" s="60"/>
      <c r="F988" s="8"/>
      <c r="G988" s="8"/>
      <c r="H988" s="8"/>
      <c r="I988" s="60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60"/>
      <c r="B989" s="60"/>
      <c r="C989" s="8"/>
      <c r="D989" s="60"/>
      <c r="E989" s="60"/>
      <c r="F989" s="8"/>
      <c r="G989" s="8"/>
      <c r="H989" s="8"/>
      <c r="I989" s="60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60"/>
      <c r="B990" s="60"/>
      <c r="C990" s="8"/>
      <c r="D990" s="60"/>
      <c r="E990" s="60"/>
      <c r="F990" s="8"/>
      <c r="G990" s="8"/>
      <c r="H990" s="8"/>
      <c r="I990" s="60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60"/>
      <c r="B991" s="60"/>
      <c r="C991" s="8"/>
      <c r="D991" s="60"/>
      <c r="E991" s="60"/>
      <c r="F991" s="8"/>
      <c r="G991" s="8"/>
      <c r="H991" s="8"/>
      <c r="I991" s="60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60"/>
      <c r="B992" s="60"/>
      <c r="C992" s="8"/>
      <c r="D992" s="60"/>
      <c r="E992" s="60"/>
      <c r="F992" s="8"/>
      <c r="G992" s="8"/>
      <c r="H992" s="8"/>
      <c r="I992" s="60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60"/>
      <c r="B993" s="60"/>
      <c r="C993" s="8"/>
      <c r="D993" s="60"/>
      <c r="E993" s="60"/>
      <c r="F993" s="8"/>
      <c r="G993" s="8"/>
      <c r="H993" s="8"/>
      <c r="I993" s="60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60"/>
      <c r="B994" s="60"/>
      <c r="C994" s="8"/>
      <c r="D994" s="60"/>
      <c r="E994" s="60"/>
      <c r="F994" s="8"/>
      <c r="G994" s="8"/>
      <c r="H994" s="8"/>
      <c r="I994" s="60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60"/>
      <c r="B995" s="60"/>
      <c r="C995" s="8"/>
      <c r="D995" s="60"/>
      <c r="E995" s="60"/>
      <c r="F995" s="8"/>
      <c r="G995" s="8"/>
      <c r="H995" s="8"/>
      <c r="I995" s="60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60"/>
      <c r="B996" s="60"/>
      <c r="C996" s="8"/>
      <c r="D996" s="60"/>
      <c r="E996" s="60"/>
      <c r="F996" s="8"/>
      <c r="G996" s="8"/>
      <c r="H996" s="8"/>
      <c r="I996" s="60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60"/>
      <c r="B997" s="60"/>
      <c r="C997" s="8"/>
      <c r="D997" s="60"/>
      <c r="E997" s="60"/>
      <c r="F997" s="8"/>
      <c r="G997" s="8"/>
      <c r="H997" s="8"/>
      <c r="I997" s="60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60"/>
      <c r="B998" s="60"/>
      <c r="C998" s="8"/>
      <c r="D998" s="60"/>
      <c r="E998" s="60"/>
      <c r="F998" s="8"/>
      <c r="G998" s="8"/>
      <c r="H998" s="8"/>
      <c r="I998" s="60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60"/>
      <c r="B999" s="60"/>
      <c r="C999" s="8"/>
      <c r="D999" s="60"/>
      <c r="E999" s="60"/>
      <c r="F999" s="8"/>
      <c r="G999" s="8"/>
      <c r="H999" s="8"/>
      <c r="I999" s="60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60"/>
      <c r="B1000" s="60"/>
      <c r="C1000" s="8"/>
      <c r="D1000" s="60"/>
      <c r="E1000" s="60"/>
      <c r="F1000" s="8"/>
      <c r="G1000" s="8"/>
      <c r="H1000" s="8"/>
      <c r="I1000" s="60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60"/>
      <c r="B1001" s="60"/>
      <c r="C1001" s="8"/>
      <c r="D1001" s="60"/>
      <c r="E1001" s="60"/>
      <c r="F1001" s="8"/>
      <c r="G1001" s="8"/>
      <c r="H1001" s="8"/>
      <c r="I1001" s="60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dataValidations>
    <dataValidation type="custom" allowBlank="1" showDropDown="1" sqref="E2:E33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6.63"/>
    <col customWidth="1" min="3" max="3" width="35.5"/>
    <col customWidth="1" min="4" max="4" width="20.75"/>
    <col customWidth="1" min="5" max="5" width="23.5"/>
    <col customWidth="1" min="6" max="6" width="23.63"/>
    <col customWidth="1" min="7" max="7" width="29.25"/>
  </cols>
  <sheetData>
    <row r="1" ht="22.5" customHeight="1">
      <c r="A1" s="1" t="s">
        <v>914</v>
      </c>
      <c r="B1" s="1" t="s">
        <v>2</v>
      </c>
      <c r="C1" s="4" t="s">
        <v>915</v>
      </c>
      <c r="D1" s="1" t="s">
        <v>916</v>
      </c>
      <c r="E1" s="1" t="s">
        <v>917</v>
      </c>
      <c r="F1" s="1" t="s">
        <v>918</v>
      </c>
      <c r="G1" s="1" t="s">
        <v>919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11" t="s">
        <v>920</v>
      </c>
      <c r="B2" s="11" t="s">
        <v>28</v>
      </c>
      <c r="C2" s="86" t="s">
        <v>198</v>
      </c>
      <c r="D2" s="11" t="s">
        <v>60</v>
      </c>
      <c r="E2" s="84">
        <v>45244.0</v>
      </c>
      <c r="F2" s="146" t="s">
        <v>921</v>
      </c>
      <c r="G2" s="11" t="s">
        <v>922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11" t="s">
        <v>923</v>
      </c>
      <c r="B3" s="11" t="s">
        <v>28</v>
      </c>
      <c r="C3" s="86" t="s">
        <v>192</v>
      </c>
      <c r="D3" s="11" t="s">
        <v>60</v>
      </c>
      <c r="E3" s="84">
        <v>44880.0</v>
      </c>
      <c r="F3" s="146" t="s">
        <v>921</v>
      </c>
      <c r="G3" s="11" t="s">
        <v>924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11" t="s">
        <v>925</v>
      </c>
      <c r="B4" s="11" t="s">
        <v>28</v>
      </c>
      <c r="C4" s="86" t="s">
        <v>184</v>
      </c>
      <c r="D4" s="11" t="s">
        <v>60</v>
      </c>
      <c r="E4" s="84">
        <v>44880.0</v>
      </c>
      <c r="F4" s="146" t="s">
        <v>921</v>
      </c>
      <c r="G4" s="11" t="s">
        <v>926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11" t="s">
        <v>927</v>
      </c>
      <c r="B5" s="11" t="s">
        <v>28</v>
      </c>
      <c r="C5" s="86" t="s">
        <v>502</v>
      </c>
      <c r="D5" s="11" t="s">
        <v>60</v>
      </c>
      <c r="E5" s="84">
        <v>44768.0</v>
      </c>
      <c r="F5" s="146" t="s">
        <v>921</v>
      </c>
      <c r="G5" s="11" t="s">
        <v>928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11" t="s">
        <v>929</v>
      </c>
      <c r="B6" s="11" t="s">
        <v>28</v>
      </c>
      <c r="C6" s="86" t="s">
        <v>160</v>
      </c>
      <c r="D6" s="11" t="s">
        <v>60</v>
      </c>
      <c r="E6" s="84">
        <v>44705.0</v>
      </c>
      <c r="F6" s="146" t="s">
        <v>921</v>
      </c>
      <c r="G6" s="11" t="s">
        <v>930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11" t="s">
        <v>931</v>
      </c>
      <c r="B7" s="11" t="s">
        <v>28</v>
      </c>
      <c r="C7" s="86" t="s">
        <v>151</v>
      </c>
      <c r="D7" s="11" t="s">
        <v>60</v>
      </c>
      <c r="E7" s="84">
        <v>44705.0</v>
      </c>
      <c r="F7" s="146" t="s">
        <v>921</v>
      </c>
      <c r="G7" s="11" t="s">
        <v>932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hidden="1" customHeight="1">
      <c r="A8" s="147" t="s">
        <v>933</v>
      </c>
      <c r="B8" s="147" t="s">
        <v>28</v>
      </c>
      <c r="C8" s="147" t="s">
        <v>160</v>
      </c>
      <c r="D8" s="147" t="s">
        <v>60</v>
      </c>
      <c r="E8" s="148">
        <v>44621.0</v>
      </c>
      <c r="F8" s="149" t="s">
        <v>934</v>
      </c>
      <c r="G8" s="147" t="s">
        <v>935</v>
      </c>
    </row>
    <row r="9" ht="22.5" hidden="1" customHeight="1">
      <c r="A9" s="147" t="s">
        <v>936</v>
      </c>
      <c r="B9" s="147" t="s">
        <v>28</v>
      </c>
      <c r="C9" s="147" t="s">
        <v>151</v>
      </c>
      <c r="D9" s="147" t="s">
        <v>60</v>
      </c>
      <c r="E9" s="148">
        <v>44621.0</v>
      </c>
      <c r="F9" s="149" t="s">
        <v>934</v>
      </c>
      <c r="G9" s="147" t="s">
        <v>937</v>
      </c>
    </row>
    <row r="10" ht="22.5" customHeight="1">
      <c r="A10" s="11" t="s">
        <v>938</v>
      </c>
      <c r="B10" s="11" t="s">
        <v>28</v>
      </c>
      <c r="C10" s="86" t="s">
        <v>146</v>
      </c>
      <c r="D10" s="11" t="s">
        <v>60</v>
      </c>
      <c r="E10" s="84">
        <v>44278.0</v>
      </c>
      <c r="F10" s="146" t="s">
        <v>921</v>
      </c>
      <c r="G10" s="11" t="s">
        <v>939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11" t="s">
        <v>940</v>
      </c>
      <c r="B11" s="11" t="s">
        <v>28</v>
      </c>
      <c r="C11" s="86" t="s">
        <v>137</v>
      </c>
      <c r="D11" s="11" t="s">
        <v>60</v>
      </c>
      <c r="E11" s="84">
        <v>44278.0</v>
      </c>
      <c r="F11" s="146" t="s">
        <v>921</v>
      </c>
      <c r="G11" s="11" t="s">
        <v>941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11" t="s">
        <v>942</v>
      </c>
      <c r="B12" s="11" t="s">
        <v>28</v>
      </c>
      <c r="C12" s="86" t="s">
        <v>495</v>
      </c>
      <c r="D12" s="11" t="s">
        <v>60</v>
      </c>
      <c r="E12" s="84">
        <v>43783.0</v>
      </c>
      <c r="F12" s="146" t="s">
        <v>921</v>
      </c>
      <c r="G12" s="11" t="s">
        <v>943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11" t="s">
        <v>944</v>
      </c>
      <c r="B13" s="11" t="s">
        <v>28</v>
      </c>
      <c r="C13" s="86" t="s">
        <v>401</v>
      </c>
      <c r="D13" s="11" t="s">
        <v>60</v>
      </c>
      <c r="E13" s="84">
        <v>43783.0</v>
      </c>
      <c r="F13" s="146" t="s">
        <v>921</v>
      </c>
      <c r="G13" s="11" t="s">
        <v>945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11" t="s">
        <v>946</v>
      </c>
      <c r="B14" s="11" t="s">
        <v>28</v>
      </c>
      <c r="C14" s="86" t="s">
        <v>240</v>
      </c>
      <c r="D14" s="11" t="s">
        <v>60</v>
      </c>
      <c r="E14" s="84">
        <v>43725.0</v>
      </c>
      <c r="F14" s="146" t="s">
        <v>921</v>
      </c>
      <c r="G14" s="11" t="s">
        <v>947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11" t="s">
        <v>948</v>
      </c>
      <c r="B15" s="11" t="s">
        <v>28</v>
      </c>
      <c r="C15" s="86" t="s">
        <v>643</v>
      </c>
      <c r="D15" s="11" t="s">
        <v>60</v>
      </c>
      <c r="E15" s="84">
        <v>43725.0</v>
      </c>
      <c r="F15" s="146" t="s">
        <v>921</v>
      </c>
      <c r="G15" s="11" t="s">
        <v>949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11" t="s">
        <v>950</v>
      </c>
      <c r="B16" s="11" t="s">
        <v>28</v>
      </c>
      <c r="C16" s="86" t="s">
        <v>951</v>
      </c>
      <c r="D16" s="11" t="s">
        <v>60</v>
      </c>
      <c r="E16" s="84">
        <v>43725.0</v>
      </c>
      <c r="F16" s="146" t="s">
        <v>921</v>
      </c>
      <c r="G16" s="11" t="s">
        <v>952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.5" hidden="1" customHeight="1">
      <c r="A17" s="147" t="s">
        <v>953</v>
      </c>
      <c r="B17" s="147"/>
      <c r="C17" s="147"/>
      <c r="D17" s="147"/>
      <c r="E17" s="148"/>
      <c r="F17" s="149"/>
      <c r="G17" s="147"/>
    </row>
    <row r="18" ht="22.5" hidden="1" customHeight="1">
      <c r="A18" s="147" t="s">
        <v>954</v>
      </c>
      <c r="B18" s="147"/>
      <c r="C18" s="147"/>
      <c r="D18" s="147"/>
      <c r="E18" s="148"/>
      <c r="F18" s="149"/>
      <c r="G18" s="147"/>
    </row>
    <row r="19" ht="22.5" hidden="1" customHeight="1">
      <c r="A19" s="147" t="s">
        <v>955</v>
      </c>
      <c r="B19" s="147"/>
      <c r="C19" s="147"/>
      <c r="D19" s="147"/>
      <c r="E19" s="148"/>
      <c r="F19" s="149"/>
      <c r="G19" s="147"/>
    </row>
    <row r="20" ht="22.5" hidden="1" customHeight="1">
      <c r="A20" s="147" t="s">
        <v>956</v>
      </c>
      <c r="B20" s="147"/>
      <c r="C20" s="147"/>
      <c r="D20" s="147"/>
      <c r="E20" s="148"/>
      <c r="F20" s="149"/>
      <c r="G20" s="147"/>
    </row>
    <row r="21" ht="22.5" hidden="1" customHeight="1">
      <c r="A21" s="147" t="s">
        <v>957</v>
      </c>
      <c r="B21" s="147"/>
      <c r="C21" s="147"/>
      <c r="D21" s="147"/>
      <c r="E21" s="148"/>
      <c r="F21" s="149"/>
      <c r="G21" s="147"/>
    </row>
    <row r="22" ht="22.5" hidden="1" customHeight="1">
      <c r="A22" s="147" t="s">
        <v>958</v>
      </c>
      <c r="B22" s="147"/>
      <c r="C22" s="147"/>
      <c r="D22" s="147"/>
      <c r="E22" s="148"/>
      <c r="F22" s="149"/>
      <c r="G22" s="147"/>
    </row>
    <row r="23" ht="22.5" hidden="1" customHeight="1">
      <c r="A23" s="147" t="s">
        <v>959</v>
      </c>
      <c r="B23" s="147"/>
      <c r="C23" s="147"/>
      <c r="D23" s="147"/>
      <c r="E23" s="148"/>
      <c r="F23" s="149"/>
      <c r="G23" s="147"/>
    </row>
    <row r="24" ht="22.5" hidden="1" customHeight="1">
      <c r="A24" s="147" t="s">
        <v>960</v>
      </c>
      <c r="B24" s="147"/>
      <c r="C24" s="147"/>
      <c r="D24" s="147"/>
      <c r="E24" s="148"/>
      <c r="F24" s="149"/>
      <c r="G24" s="147"/>
    </row>
    <row r="25" ht="22.5" hidden="1" customHeight="1">
      <c r="A25" s="147" t="s">
        <v>961</v>
      </c>
      <c r="B25" s="147"/>
      <c r="C25" s="147"/>
      <c r="D25" s="147"/>
      <c r="E25" s="148"/>
      <c r="F25" s="149"/>
      <c r="G25" s="147"/>
    </row>
    <row r="26" ht="22.5" hidden="1" customHeight="1">
      <c r="A26" s="147" t="s">
        <v>962</v>
      </c>
      <c r="B26" s="147"/>
      <c r="C26" s="147"/>
      <c r="D26" s="147"/>
      <c r="E26" s="148"/>
      <c r="F26" s="149"/>
      <c r="G26" s="147"/>
    </row>
    <row r="27" ht="22.5" hidden="1" customHeight="1">
      <c r="A27" s="147" t="s">
        <v>963</v>
      </c>
      <c r="B27" s="147"/>
      <c r="C27" s="147"/>
      <c r="D27" s="147"/>
      <c r="E27" s="148"/>
      <c r="F27" s="149"/>
      <c r="G27" s="147"/>
    </row>
    <row r="28" ht="22.5" customHeight="1">
      <c r="A28" s="11" t="s">
        <v>964</v>
      </c>
      <c r="B28" s="11" t="s">
        <v>67</v>
      </c>
      <c r="C28" s="86" t="s">
        <v>965</v>
      </c>
      <c r="D28" s="11" t="s">
        <v>78</v>
      </c>
      <c r="E28" s="84">
        <v>43559.0</v>
      </c>
      <c r="F28" s="146" t="s">
        <v>921</v>
      </c>
      <c r="G28" s="11" t="s">
        <v>966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2.5" customHeight="1">
      <c r="A29" s="11" t="s">
        <v>967</v>
      </c>
      <c r="B29" s="11" t="s">
        <v>67</v>
      </c>
      <c r="C29" s="86" t="s">
        <v>240</v>
      </c>
      <c r="D29" s="11" t="s">
        <v>78</v>
      </c>
      <c r="E29" s="84">
        <v>43720.0</v>
      </c>
      <c r="F29" s="146" t="s">
        <v>921</v>
      </c>
      <c r="G29" s="11" t="s">
        <v>968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2.5" customHeight="1">
      <c r="A30" s="11" t="s">
        <v>969</v>
      </c>
      <c r="B30" s="11" t="s">
        <v>67</v>
      </c>
      <c r="C30" s="86" t="s">
        <v>970</v>
      </c>
      <c r="D30" s="11" t="s">
        <v>78</v>
      </c>
      <c r="E30" s="84">
        <v>43720.0</v>
      </c>
      <c r="F30" s="146" t="s">
        <v>921</v>
      </c>
      <c r="G30" s="11" t="s">
        <v>972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2.5" customHeight="1">
      <c r="A31" s="11" t="s">
        <v>975</v>
      </c>
      <c r="B31" s="11" t="s">
        <v>67</v>
      </c>
      <c r="C31" s="86" t="s">
        <v>401</v>
      </c>
      <c r="D31" s="11" t="s">
        <v>78</v>
      </c>
      <c r="E31" s="84">
        <v>43788.0</v>
      </c>
      <c r="F31" s="146" t="s">
        <v>921</v>
      </c>
      <c r="G31" s="11" t="s">
        <v>981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2.5" customHeight="1">
      <c r="A32" s="11" t="s">
        <v>982</v>
      </c>
      <c r="B32" s="11" t="s">
        <v>67</v>
      </c>
      <c r="C32" s="86" t="s">
        <v>495</v>
      </c>
      <c r="D32" s="11" t="s">
        <v>78</v>
      </c>
      <c r="E32" s="84">
        <v>43788.0</v>
      </c>
      <c r="F32" s="146" t="s">
        <v>921</v>
      </c>
      <c r="G32" s="11" t="s">
        <v>984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2.5" customHeight="1">
      <c r="A33" s="11" t="s">
        <v>985</v>
      </c>
      <c r="B33" s="11" t="s">
        <v>67</v>
      </c>
      <c r="C33" s="86" t="s">
        <v>986</v>
      </c>
      <c r="D33" s="11" t="s">
        <v>78</v>
      </c>
      <c r="E33" s="84">
        <v>44168.0</v>
      </c>
      <c r="F33" s="146" t="s">
        <v>921</v>
      </c>
      <c r="G33" s="11" t="s">
        <v>988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2.5" customHeight="1">
      <c r="A34" s="11" t="s">
        <v>989</v>
      </c>
      <c r="B34" s="11" t="s">
        <v>67</v>
      </c>
      <c r="C34" s="86" t="s">
        <v>990</v>
      </c>
      <c r="D34" s="11" t="s">
        <v>78</v>
      </c>
      <c r="E34" s="84">
        <v>44754.0</v>
      </c>
      <c r="F34" s="146" t="s">
        <v>921</v>
      </c>
      <c r="G34" s="11" t="s">
        <v>992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2.5" customHeight="1">
      <c r="A35" s="11" t="s">
        <v>994</v>
      </c>
      <c r="B35" s="11" t="s">
        <v>67</v>
      </c>
      <c r="C35" s="86" t="s">
        <v>151</v>
      </c>
      <c r="D35" s="11" t="s">
        <v>78</v>
      </c>
      <c r="E35" s="84">
        <v>44754.0</v>
      </c>
      <c r="F35" s="146" t="s">
        <v>921</v>
      </c>
      <c r="G35" s="11" t="s">
        <v>995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2.5" customHeight="1">
      <c r="A36" s="11" t="s">
        <v>997</v>
      </c>
      <c r="B36" s="11" t="s">
        <v>67</v>
      </c>
      <c r="C36" s="86" t="s">
        <v>160</v>
      </c>
      <c r="D36" s="11" t="s">
        <v>78</v>
      </c>
      <c r="E36" s="84">
        <v>44754.0</v>
      </c>
      <c r="F36" s="146" t="s">
        <v>921</v>
      </c>
      <c r="G36" s="11" t="s">
        <v>999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2.5" customHeight="1">
      <c r="A37" s="11" t="s">
        <v>1000</v>
      </c>
      <c r="B37" s="11" t="s">
        <v>67</v>
      </c>
      <c r="C37" s="86" t="s">
        <v>184</v>
      </c>
      <c r="D37" s="11" t="s">
        <v>78</v>
      </c>
      <c r="E37" s="84">
        <v>44894.0</v>
      </c>
      <c r="F37" s="146" t="s">
        <v>921</v>
      </c>
      <c r="G37" s="11" t="s">
        <v>1002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2.5" customHeight="1">
      <c r="A38" s="11" t="s">
        <v>1004</v>
      </c>
      <c r="B38" s="11" t="s">
        <v>67</v>
      </c>
      <c r="C38" s="86" t="s">
        <v>192</v>
      </c>
      <c r="D38" s="11" t="s">
        <v>78</v>
      </c>
      <c r="E38" s="84">
        <v>44894.0</v>
      </c>
      <c r="F38" s="146" t="s">
        <v>921</v>
      </c>
      <c r="G38" s="11" t="s">
        <v>1005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2.5" customHeight="1">
      <c r="A39" s="11" t="s">
        <v>1007</v>
      </c>
      <c r="B39" s="11" t="s">
        <v>67</v>
      </c>
      <c r="C39" s="86" t="s">
        <v>1008</v>
      </c>
      <c r="D39" s="11" t="s">
        <v>78</v>
      </c>
      <c r="E39" s="84">
        <v>45146.0</v>
      </c>
      <c r="F39" s="146" t="s">
        <v>921</v>
      </c>
      <c r="G39" s="11" t="s">
        <v>1010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2.5" customHeight="1">
      <c r="A40" s="11" t="s">
        <v>1011</v>
      </c>
      <c r="B40" s="11" t="s">
        <v>67</v>
      </c>
      <c r="C40" s="86" t="s">
        <v>1013</v>
      </c>
      <c r="D40" s="11" t="s">
        <v>78</v>
      </c>
      <c r="E40" s="84">
        <v>45146.0</v>
      </c>
      <c r="F40" s="146" t="s">
        <v>921</v>
      </c>
      <c r="G40" s="11" t="s">
        <v>1014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2.5" customHeight="1">
      <c r="A41" s="11" t="s">
        <v>1016</v>
      </c>
      <c r="B41" s="11" t="s">
        <v>103</v>
      </c>
      <c r="C41" s="86" t="s">
        <v>240</v>
      </c>
      <c r="D41" s="11" t="s">
        <v>78</v>
      </c>
      <c r="E41" s="84">
        <v>43594.0</v>
      </c>
      <c r="F41" s="146" t="s">
        <v>921</v>
      </c>
      <c r="G41" s="11" t="s">
        <v>1018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2.5" customHeight="1">
      <c r="A42" s="11" t="s">
        <v>1023</v>
      </c>
      <c r="B42" s="11" t="s">
        <v>103</v>
      </c>
      <c r="C42" s="86" t="s">
        <v>1026</v>
      </c>
      <c r="D42" s="11" t="s">
        <v>78</v>
      </c>
      <c r="E42" s="84">
        <v>44658.0</v>
      </c>
      <c r="F42" s="146" t="s">
        <v>921</v>
      </c>
      <c r="G42" s="11" t="s">
        <v>1029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2.5" customHeight="1">
      <c r="A43" s="11" t="s">
        <v>1030</v>
      </c>
      <c r="B43" s="11" t="s">
        <v>103</v>
      </c>
      <c r="C43" s="86" t="s">
        <v>370</v>
      </c>
      <c r="D43" s="11" t="s">
        <v>78</v>
      </c>
      <c r="E43" s="84">
        <v>45176.0</v>
      </c>
      <c r="F43" s="146" t="s">
        <v>921</v>
      </c>
      <c r="G43" s="11" t="s">
        <v>1032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2.5" customHeight="1">
      <c r="A44" s="11" t="s">
        <v>1033</v>
      </c>
      <c r="B44" s="11" t="s">
        <v>103</v>
      </c>
      <c r="C44" s="86" t="s">
        <v>340</v>
      </c>
      <c r="D44" s="11" t="s">
        <v>78</v>
      </c>
      <c r="E44" s="84">
        <v>45401.0</v>
      </c>
      <c r="F44" s="146" t="s">
        <v>921</v>
      </c>
      <c r="G44" s="11" t="s">
        <v>1035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2.5" hidden="1" customHeight="1">
      <c r="A45" s="147"/>
      <c r="B45" s="147"/>
      <c r="C45" s="147"/>
      <c r="D45" s="147"/>
      <c r="E45" s="148"/>
      <c r="F45" s="153"/>
      <c r="G45" s="147"/>
    </row>
    <row r="46" ht="22.5" customHeight="1">
      <c r="A46" s="11" t="s">
        <v>1038</v>
      </c>
      <c r="B46" s="11" t="s">
        <v>133</v>
      </c>
      <c r="C46" s="86" t="s">
        <v>370</v>
      </c>
      <c r="D46" s="11" t="s">
        <v>60</v>
      </c>
      <c r="E46" s="84">
        <v>45344.0</v>
      </c>
      <c r="F46" s="146" t="s">
        <v>921</v>
      </c>
      <c r="G46" s="11" t="s">
        <v>1041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2.5" customHeight="1">
      <c r="A47" s="11" t="s">
        <v>1042</v>
      </c>
      <c r="B47" s="11" t="s">
        <v>133</v>
      </c>
      <c r="C47" s="86" t="s">
        <v>1043</v>
      </c>
      <c r="D47" s="11" t="s">
        <v>60</v>
      </c>
      <c r="E47" s="84">
        <v>45251.0</v>
      </c>
      <c r="F47" s="146" t="s">
        <v>921</v>
      </c>
      <c r="G47" s="11" t="s">
        <v>1045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2.5" customHeight="1">
      <c r="A48" s="11" t="s">
        <v>1046</v>
      </c>
      <c r="B48" s="11" t="s">
        <v>133</v>
      </c>
      <c r="C48" s="86" t="s">
        <v>240</v>
      </c>
      <c r="D48" s="11" t="s">
        <v>60</v>
      </c>
      <c r="E48" s="84">
        <v>43627.0</v>
      </c>
      <c r="F48" s="146" t="s">
        <v>921</v>
      </c>
      <c r="G48" s="11" t="s">
        <v>1048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2.5" customHeight="1">
      <c r="A49" s="11" t="s">
        <v>1050</v>
      </c>
      <c r="B49" s="11" t="s">
        <v>142</v>
      </c>
      <c r="C49" s="86" t="s">
        <v>965</v>
      </c>
      <c r="D49" s="11" t="s">
        <v>78</v>
      </c>
      <c r="E49" s="84">
        <v>43559.0</v>
      </c>
      <c r="F49" s="146" t="s">
        <v>921</v>
      </c>
      <c r="G49" s="11" t="s">
        <v>966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2.5" customHeight="1">
      <c r="A50" s="11" t="s">
        <v>1053</v>
      </c>
      <c r="B50" s="11" t="s">
        <v>169</v>
      </c>
      <c r="C50" s="86" t="s">
        <v>457</v>
      </c>
      <c r="D50" s="11" t="s">
        <v>60</v>
      </c>
      <c r="E50" s="154">
        <v>45237.0</v>
      </c>
      <c r="F50" s="146" t="s">
        <v>921</v>
      </c>
      <c r="G50" s="155" t="s">
        <v>1055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2.5" customHeight="1">
      <c r="A51" s="11" t="s">
        <v>1058</v>
      </c>
      <c r="B51" s="11" t="s">
        <v>169</v>
      </c>
      <c r="C51" s="86" t="s">
        <v>655</v>
      </c>
      <c r="D51" s="11" t="s">
        <v>60</v>
      </c>
      <c r="E51" s="154">
        <v>45237.0</v>
      </c>
      <c r="F51" s="146" t="s">
        <v>921</v>
      </c>
      <c r="G51" s="155" t="s">
        <v>1060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2.5" customHeight="1">
      <c r="A52" s="11" t="s">
        <v>1063</v>
      </c>
      <c r="B52" s="11" t="s">
        <v>169</v>
      </c>
      <c r="C52" s="86" t="s">
        <v>453</v>
      </c>
      <c r="D52" s="11" t="s">
        <v>60</v>
      </c>
      <c r="E52" s="154">
        <v>44910.0</v>
      </c>
      <c r="F52" s="146" t="s">
        <v>921</v>
      </c>
      <c r="G52" s="155" t="s">
        <v>1065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2.5" customHeight="1">
      <c r="A53" s="11" t="s">
        <v>1067</v>
      </c>
      <c r="B53" s="11" t="s">
        <v>169</v>
      </c>
      <c r="C53" s="86" t="s">
        <v>1068</v>
      </c>
      <c r="D53" s="11" t="s">
        <v>60</v>
      </c>
      <c r="E53" s="154">
        <v>44910.0</v>
      </c>
      <c r="F53" s="146" t="s">
        <v>921</v>
      </c>
      <c r="G53" s="155" t="s">
        <v>1070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2.5" customHeight="1">
      <c r="A54" s="11" t="s">
        <v>1072</v>
      </c>
      <c r="B54" s="11" t="s">
        <v>169</v>
      </c>
      <c r="C54" s="86" t="s">
        <v>449</v>
      </c>
      <c r="D54" s="11" t="s">
        <v>60</v>
      </c>
      <c r="E54" s="154">
        <v>44865.0</v>
      </c>
      <c r="F54" s="146" t="s">
        <v>921</v>
      </c>
      <c r="G54" s="155" t="s">
        <v>1074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2.5" customHeight="1">
      <c r="A55" s="11" t="s">
        <v>1076</v>
      </c>
      <c r="B55" s="11" t="s">
        <v>169</v>
      </c>
      <c r="C55" s="86" t="s">
        <v>445</v>
      </c>
      <c r="D55" s="11" t="s">
        <v>60</v>
      </c>
      <c r="E55" s="154">
        <v>44848.0</v>
      </c>
      <c r="F55" s="146" t="s">
        <v>921</v>
      </c>
      <c r="G55" s="155" t="s">
        <v>1078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2.5" customHeight="1">
      <c r="A56" s="11" t="s">
        <v>1081</v>
      </c>
      <c r="B56" s="11" t="s">
        <v>169</v>
      </c>
      <c r="C56" s="86" t="s">
        <v>442</v>
      </c>
      <c r="D56" s="11" t="s">
        <v>60</v>
      </c>
      <c r="E56" s="154">
        <v>44698.0</v>
      </c>
      <c r="F56" s="146" t="s">
        <v>921</v>
      </c>
      <c r="G56" s="155" t="s">
        <v>1083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2.5" customHeight="1">
      <c r="A57" s="11" t="s">
        <v>1086</v>
      </c>
      <c r="B57" s="11" t="s">
        <v>169</v>
      </c>
      <c r="C57" s="86" t="s">
        <v>146</v>
      </c>
      <c r="D57" s="11" t="s">
        <v>60</v>
      </c>
      <c r="E57" s="154">
        <v>44294.0</v>
      </c>
      <c r="F57" s="146" t="s">
        <v>921</v>
      </c>
      <c r="G57" s="155" t="s">
        <v>1088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2.5" customHeight="1">
      <c r="A58" s="11" t="s">
        <v>1090</v>
      </c>
      <c r="B58" s="11" t="s">
        <v>169</v>
      </c>
      <c r="C58" s="86" t="s">
        <v>137</v>
      </c>
      <c r="D58" s="11" t="s">
        <v>60</v>
      </c>
      <c r="E58" s="154">
        <v>44294.0</v>
      </c>
      <c r="F58" s="146" t="s">
        <v>921</v>
      </c>
      <c r="G58" s="155" t="s">
        <v>1092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2.5" customHeight="1">
      <c r="A59" s="11" t="s">
        <v>1095</v>
      </c>
      <c r="B59" s="11" t="s">
        <v>169</v>
      </c>
      <c r="C59" s="86" t="s">
        <v>495</v>
      </c>
      <c r="D59" s="11" t="s">
        <v>60</v>
      </c>
      <c r="E59" s="154">
        <v>43788.0</v>
      </c>
      <c r="F59" s="146" t="s">
        <v>921</v>
      </c>
      <c r="G59" s="155" t="s">
        <v>1097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2.5" customHeight="1">
      <c r="A60" s="11" t="s">
        <v>1099</v>
      </c>
      <c r="B60" s="11" t="s">
        <v>169</v>
      </c>
      <c r="C60" s="86" t="s">
        <v>401</v>
      </c>
      <c r="D60" s="11" t="s">
        <v>60</v>
      </c>
      <c r="E60" s="154">
        <v>43788.0</v>
      </c>
      <c r="F60" s="146" t="s">
        <v>921</v>
      </c>
      <c r="G60" s="155" t="s">
        <v>1101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2.5" customHeight="1">
      <c r="A61" s="11" t="s">
        <v>1104</v>
      </c>
      <c r="B61" s="11" t="s">
        <v>169</v>
      </c>
      <c r="C61" s="86" t="s">
        <v>1105</v>
      </c>
      <c r="D61" s="11" t="s">
        <v>60</v>
      </c>
      <c r="E61" s="154">
        <v>43398.0</v>
      </c>
      <c r="F61" s="146" t="s">
        <v>921</v>
      </c>
      <c r="G61" s="155" t="s">
        <v>1107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2.5" customHeight="1">
      <c r="A62" s="11" t="s">
        <v>1109</v>
      </c>
      <c r="B62" s="11" t="s">
        <v>169</v>
      </c>
      <c r="C62" s="86" t="s">
        <v>1111</v>
      </c>
      <c r="D62" s="11" t="s">
        <v>60</v>
      </c>
      <c r="E62" s="154">
        <v>43398.0</v>
      </c>
      <c r="F62" s="146" t="s">
        <v>921</v>
      </c>
      <c r="G62" s="155" t="s">
        <v>1112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2.5" customHeight="1">
      <c r="A63" s="11" t="s">
        <v>1115</v>
      </c>
      <c r="B63" s="11" t="s">
        <v>169</v>
      </c>
      <c r="C63" s="86" t="s">
        <v>240</v>
      </c>
      <c r="D63" s="11" t="s">
        <v>60</v>
      </c>
      <c r="E63" s="154">
        <v>43391.0</v>
      </c>
      <c r="F63" s="146" t="s">
        <v>921</v>
      </c>
      <c r="G63" s="155" t="s">
        <v>1117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2.5" customHeight="1">
      <c r="A64" s="11" t="s">
        <v>1119</v>
      </c>
      <c r="B64" s="11" t="s">
        <v>169</v>
      </c>
      <c r="C64" s="86" t="s">
        <v>643</v>
      </c>
      <c r="D64" s="11" t="s">
        <v>60</v>
      </c>
      <c r="E64" s="154">
        <v>43391.0</v>
      </c>
      <c r="F64" s="146" t="s">
        <v>921</v>
      </c>
      <c r="G64" s="155" t="s">
        <v>1121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2.5" customHeight="1">
      <c r="A65" s="11" t="s">
        <v>1123</v>
      </c>
      <c r="B65" s="11" t="s">
        <v>169</v>
      </c>
      <c r="C65" s="86" t="s">
        <v>951</v>
      </c>
      <c r="D65" s="11" t="s">
        <v>60</v>
      </c>
      <c r="E65" s="154">
        <v>43391.0</v>
      </c>
      <c r="F65" s="146" t="s">
        <v>921</v>
      </c>
      <c r="G65" s="155" t="s">
        <v>1125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2.5" customHeight="1">
      <c r="A66" s="11" t="s">
        <v>1127</v>
      </c>
      <c r="B66" s="11" t="s">
        <v>188</v>
      </c>
      <c r="C66" s="86" t="s">
        <v>1128</v>
      </c>
      <c r="D66" s="11"/>
      <c r="E66" s="156">
        <v>43559.0</v>
      </c>
      <c r="F66" s="146" t="s">
        <v>921</v>
      </c>
      <c r="G66" s="11" t="s">
        <v>1130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2.5" customHeight="1">
      <c r="A67" s="11" t="s">
        <v>1131</v>
      </c>
      <c r="B67" s="11" t="s">
        <v>188</v>
      </c>
      <c r="C67" s="86" t="s">
        <v>240</v>
      </c>
      <c r="D67" s="11"/>
      <c r="E67" s="156">
        <v>43713.0</v>
      </c>
      <c r="F67" s="146" t="s">
        <v>921</v>
      </c>
      <c r="G67" s="11" t="s">
        <v>1133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2.5" customHeight="1">
      <c r="A68" s="11" t="s">
        <v>1135</v>
      </c>
      <c r="B68" s="11" t="s">
        <v>188</v>
      </c>
      <c r="C68" s="86" t="s">
        <v>647</v>
      </c>
      <c r="D68" s="11"/>
      <c r="E68" s="156">
        <v>43713.0</v>
      </c>
      <c r="F68" s="146" t="s">
        <v>921</v>
      </c>
      <c r="G68" s="11" t="s">
        <v>1137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2.5" customHeight="1">
      <c r="A69" s="11" t="s">
        <v>1138</v>
      </c>
      <c r="B69" s="11" t="s">
        <v>188</v>
      </c>
      <c r="C69" s="86" t="s">
        <v>951</v>
      </c>
      <c r="D69" s="11"/>
      <c r="E69" s="156">
        <v>43713.0</v>
      </c>
      <c r="F69" s="146" t="s">
        <v>921</v>
      </c>
      <c r="G69" s="11" t="s">
        <v>1140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2.5" customHeight="1">
      <c r="A70" s="11" t="s">
        <v>1142</v>
      </c>
      <c r="B70" s="11" t="s">
        <v>188</v>
      </c>
      <c r="C70" s="86" t="s">
        <v>495</v>
      </c>
      <c r="D70" s="11"/>
      <c r="E70" s="154">
        <v>43788.0</v>
      </c>
      <c r="F70" s="146" t="s">
        <v>921</v>
      </c>
      <c r="G70" s="11" t="s">
        <v>1144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2.5" customHeight="1">
      <c r="A71" s="11" t="s">
        <v>1145</v>
      </c>
      <c r="B71" s="11" t="s">
        <v>188</v>
      </c>
      <c r="C71" s="86" t="s">
        <v>401</v>
      </c>
      <c r="D71" s="11"/>
      <c r="E71" s="154">
        <v>43788.0</v>
      </c>
      <c r="F71" s="146" t="s">
        <v>921</v>
      </c>
      <c r="G71" s="11" t="s">
        <v>1147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2.5" customHeight="1">
      <c r="A72" s="11" t="s">
        <v>1149</v>
      </c>
      <c r="B72" s="11" t="s">
        <v>188</v>
      </c>
      <c r="C72" s="86" t="s">
        <v>502</v>
      </c>
      <c r="D72" s="11"/>
      <c r="E72" s="156">
        <v>44168.0</v>
      </c>
      <c r="F72" s="146" t="s">
        <v>921</v>
      </c>
      <c r="G72" s="11" t="s">
        <v>1151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2.5" customHeight="1">
      <c r="A73" s="11" t="s">
        <v>1152</v>
      </c>
      <c r="B73" s="11" t="s">
        <v>188</v>
      </c>
      <c r="C73" s="86" t="s">
        <v>146</v>
      </c>
      <c r="D73" s="11"/>
      <c r="E73" s="156">
        <v>44236.0</v>
      </c>
      <c r="F73" s="146" t="s">
        <v>921</v>
      </c>
      <c r="G73" s="11" t="s">
        <v>1154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2.5" customHeight="1">
      <c r="A74" s="11" t="s">
        <v>1156</v>
      </c>
      <c r="B74" s="11" t="s">
        <v>188</v>
      </c>
      <c r="C74" s="86" t="s">
        <v>137</v>
      </c>
      <c r="D74" s="11"/>
      <c r="E74" s="156">
        <v>44236.0</v>
      </c>
      <c r="F74" s="146" t="s">
        <v>921</v>
      </c>
      <c r="G74" s="11" t="s">
        <v>1158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2.5" customHeight="1">
      <c r="A75" s="11" t="s">
        <v>1159</v>
      </c>
      <c r="B75" s="11" t="s">
        <v>188</v>
      </c>
      <c r="C75" s="86" t="s">
        <v>442</v>
      </c>
      <c r="D75" s="11"/>
      <c r="E75" s="156">
        <v>44754.0</v>
      </c>
      <c r="F75" s="146" t="s">
        <v>921</v>
      </c>
      <c r="G75" s="11" t="s">
        <v>1161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2.5" customHeight="1">
      <c r="A76" s="11" t="s">
        <v>1163</v>
      </c>
      <c r="B76" s="11" t="s">
        <v>188</v>
      </c>
      <c r="C76" s="86" t="s">
        <v>160</v>
      </c>
      <c r="D76" s="11"/>
      <c r="E76" s="156">
        <v>44754.0</v>
      </c>
      <c r="F76" s="146" t="s">
        <v>921</v>
      </c>
      <c r="G76" s="11" t="s">
        <v>1165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2.5" customHeight="1">
      <c r="A77" s="11" t="s">
        <v>1166</v>
      </c>
      <c r="B77" s="11" t="s">
        <v>188</v>
      </c>
      <c r="C77" s="86" t="s">
        <v>151</v>
      </c>
      <c r="D77" s="11"/>
      <c r="E77" s="156">
        <v>44754.0</v>
      </c>
      <c r="F77" s="146" t="s">
        <v>921</v>
      </c>
      <c r="G77" s="11" t="s">
        <v>1168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2.5" customHeight="1">
      <c r="A78" s="11" t="s">
        <v>1170</v>
      </c>
      <c r="B78" s="11" t="s">
        <v>188</v>
      </c>
      <c r="C78" s="86" t="s">
        <v>192</v>
      </c>
      <c r="D78" s="11"/>
      <c r="E78" s="154">
        <v>44894.0</v>
      </c>
      <c r="F78" s="146" t="s">
        <v>921</v>
      </c>
      <c r="G78" s="11" t="s">
        <v>1172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2.5" customHeight="1">
      <c r="A79" s="11" t="s">
        <v>1174</v>
      </c>
      <c r="B79" s="11" t="s">
        <v>188</v>
      </c>
      <c r="C79" s="86" t="s">
        <v>184</v>
      </c>
      <c r="D79" s="11"/>
      <c r="E79" s="154">
        <v>44894.0</v>
      </c>
      <c r="F79" s="146" t="s">
        <v>921</v>
      </c>
      <c r="G79" s="11" t="s">
        <v>1175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2.5" customHeight="1">
      <c r="A80" s="11" t="s">
        <v>1177</v>
      </c>
      <c r="B80" s="11" t="s">
        <v>188</v>
      </c>
      <c r="C80" s="86" t="s">
        <v>502</v>
      </c>
      <c r="D80" s="11"/>
      <c r="E80" s="156">
        <v>45146.0</v>
      </c>
      <c r="F80" s="146" t="s">
        <v>921</v>
      </c>
      <c r="G80" s="11" t="s">
        <v>1179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2.5" customHeight="1">
      <c r="A81" s="11" t="s">
        <v>1181</v>
      </c>
      <c r="B81" s="11" t="s">
        <v>188</v>
      </c>
      <c r="C81" s="86" t="s">
        <v>561</v>
      </c>
      <c r="D81" s="11"/>
      <c r="E81" s="156">
        <v>45190.0</v>
      </c>
      <c r="F81" s="146" t="s">
        <v>921</v>
      </c>
      <c r="G81" s="11" t="s">
        <v>1182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2.5" customHeight="1">
      <c r="A82" s="11" t="s">
        <v>1184</v>
      </c>
      <c r="B82" s="11" t="s">
        <v>188</v>
      </c>
      <c r="C82" s="86" t="s">
        <v>1185</v>
      </c>
      <c r="D82" s="11"/>
      <c r="E82" s="154">
        <v>45244.0</v>
      </c>
      <c r="F82" s="146" t="s">
        <v>921</v>
      </c>
      <c r="G82" s="11" t="s">
        <v>1187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2.5" customHeight="1">
      <c r="A83" s="11" t="s">
        <v>1189</v>
      </c>
      <c r="B83" s="11" t="s">
        <v>188</v>
      </c>
      <c r="C83" s="86" t="s">
        <v>1190</v>
      </c>
      <c r="D83" s="11"/>
      <c r="E83" s="154">
        <v>45244.0</v>
      </c>
      <c r="F83" s="146" t="s">
        <v>921</v>
      </c>
      <c r="G83" s="11" t="s">
        <v>1192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2.5" customHeight="1">
      <c r="A84" s="11" t="s">
        <v>1193</v>
      </c>
      <c r="B84" s="11" t="s">
        <v>188</v>
      </c>
      <c r="C84" s="86" t="s">
        <v>370</v>
      </c>
      <c r="D84" s="11"/>
      <c r="E84" s="156">
        <v>45461.0</v>
      </c>
      <c r="F84" s="146" t="s">
        <v>921</v>
      </c>
      <c r="G84" s="11" t="s">
        <v>1195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2.5" customHeight="1">
      <c r="A85" s="11" t="s">
        <v>1196</v>
      </c>
      <c r="B85" s="11" t="s">
        <v>188</v>
      </c>
      <c r="C85" s="86" t="s">
        <v>1192</v>
      </c>
      <c r="D85" s="11"/>
      <c r="E85" s="156">
        <v>45468.0</v>
      </c>
      <c r="F85" s="146" t="s">
        <v>921</v>
      </c>
      <c r="G85" s="11" t="s">
        <v>1198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2.5" customHeight="1">
      <c r="A86" s="11" t="s">
        <v>1200</v>
      </c>
      <c r="B86" s="11" t="s">
        <v>207</v>
      </c>
      <c r="C86" s="86" t="s">
        <v>561</v>
      </c>
      <c r="D86" s="11"/>
      <c r="E86" s="156">
        <v>45078.0</v>
      </c>
      <c r="F86" s="146" t="s">
        <v>921</v>
      </c>
      <c r="G86" s="11" t="s">
        <v>1202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2.5" customHeight="1">
      <c r="A87" s="11" t="s">
        <v>1204</v>
      </c>
      <c r="B87" s="11" t="s">
        <v>207</v>
      </c>
      <c r="C87" s="86" t="s">
        <v>240</v>
      </c>
      <c r="D87" s="11"/>
      <c r="E87" s="156">
        <v>43608.0</v>
      </c>
      <c r="F87" s="146" t="s">
        <v>921</v>
      </c>
      <c r="G87" s="11" t="s">
        <v>1206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2.5" customHeight="1">
      <c r="A88" s="11" t="s">
        <v>1207</v>
      </c>
      <c r="B88" s="11" t="s">
        <v>216</v>
      </c>
      <c r="C88" s="86" t="s">
        <v>1209</v>
      </c>
      <c r="D88" s="11"/>
      <c r="E88" s="156">
        <v>45092.0</v>
      </c>
      <c r="F88" s="146" t="s">
        <v>921</v>
      </c>
      <c r="G88" s="11" t="s">
        <v>1212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2.5" customHeight="1">
      <c r="A89" s="11" t="s">
        <v>1214</v>
      </c>
      <c r="B89" s="11" t="s">
        <v>216</v>
      </c>
      <c r="C89" s="86" t="s">
        <v>370</v>
      </c>
      <c r="D89" s="11"/>
      <c r="E89" s="156">
        <v>44889.0</v>
      </c>
      <c r="F89" s="146" t="s">
        <v>921</v>
      </c>
      <c r="G89" s="11" t="s">
        <v>1219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2.5" customHeight="1">
      <c r="A90" s="11" t="s">
        <v>1225</v>
      </c>
      <c r="B90" s="11" t="s">
        <v>216</v>
      </c>
      <c r="C90" s="86" t="s">
        <v>502</v>
      </c>
      <c r="D90" s="11"/>
      <c r="E90" s="156">
        <v>43413.0</v>
      </c>
      <c r="F90" s="146" t="s">
        <v>921</v>
      </c>
      <c r="G90" s="11" t="s">
        <v>1227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2.5" customHeight="1">
      <c r="A91" s="11" t="s">
        <v>1231</v>
      </c>
      <c r="B91" s="11" t="s">
        <v>216</v>
      </c>
      <c r="C91" s="86" t="s">
        <v>240</v>
      </c>
      <c r="D91" s="11"/>
      <c r="E91" s="156">
        <v>43161.0</v>
      </c>
      <c r="F91" s="146" t="s">
        <v>921</v>
      </c>
      <c r="G91" s="11" t="s">
        <v>1235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2.5" customHeight="1">
      <c r="A92" s="11" t="s">
        <v>1239</v>
      </c>
      <c r="B92" s="11" t="s">
        <v>239</v>
      </c>
      <c r="C92" s="86" t="s">
        <v>1240</v>
      </c>
      <c r="D92" s="11"/>
      <c r="E92" s="84">
        <v>45372.0</v>
      </c>
      <c r="F92" s="146" t="s">
        <v>921</v>
      </c>
      <c r="G92" s="11" t="s">
        <v>1244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2.5" customHeight="1">
      <c r="A93" s="11" t="s">
        <v>1246</v>
      </c>
      <c r="B93" s="11" t="s">
        <v>239</v>
      </c>
      <c r="C93" s="86" t="s">
        <v>1250</v>
      </c>
      <c r="D93" s="11"/>
      <c r="E93" s="84">
        <v>45372.0</v>
      </c>
      <c r="F93" s="146" t="s">
        <v>921</v>
      </c>
      <c r="G93" s="11" t="s">
        <v>1252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2.5" customHeight="1">
      <c r="A94" s="11" t="s">
        <v>1257</v>
      </c>
      <c r="B94" s="11" t="s">
        <v>239</v>
      </c>
      <c r="C94" s="86" t="s">
        <v>1258</v>
      </c>
      <c r="D94" s="11"/>
      <c r="E94" s="84">
        <v>45372.0</v>
      </c>
      <c r="F94" s="146" t="s">
        <v>921</v>
      </c>
      <c r="G94" s="11" t="s">
        <v>1261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2.5" customHeight="1">
      <c r="A95" s="11" t="s">
        <v>1265</v>
      </c>
      <c r="B95" s="11" t="s">
        <v>239</v>
      </c>
      <c r="C95" s="86" t="s">
        <v>643</v>
      </c>
      <c r="D95" s="11"/>
      <c r="E95" s="84">
        <v>45351.0</v>
      </c>
      <c r="F95" s="146" t="s">
        <v>921</v>
      </c>
      <c r="G95" s="11" t="s">
        <v>1268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2.5" customHeight="1">
      <c r="A96" s="11" t="s">
        <v>1270</v>
      </c>
      <c r="B96" s="11" t="s">
        <v>239</v>
      </c>
      <c r="C96" s="86" t="s">
        <v>951</v>
      </c>
      <c r="D96" s="11"/>
      <c r="E96" s="84">
        <v>45351.0</v>
      </c>
      <c r="F96" s="146" t="s">
        <v>921</v>
      </c>
      <c r="G96" s="11" t="s">
        <v>1274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2.5" customHeight="1">
      <c r="A97" s="11" t="s">
        <v>1277</v>
      </c>
      <c r="B97" s="11" t="s">
        <v>239</v>
      </c>
      <c r="C97" s="86" t="s">
        <v>1278</v>
      </c>
      <c r="D97" s="11"/>
      <c r="E97" s="84">
        <v>45351.0</v>
      </c>
      <c r="F97" s="146" t="s">
        <v>921</v>
      </c>
      <c r="G97" s="11" t="s">
        <v>1281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2.5" customHeight="1">
      <c r="A98" s="11" t="s">
        <v>1282</v>
      </c>
      <c r="B98" s="11" t="s">
        <v>239</v>
      </c>
      <c r="C98" s="86" t="s">
        <v>639</v>
      </c>
      <c r="D98" s="11"/>
      <c r="E98" s="84">
        <v>45272.0</v>
      </c>
      <c r="F98" s="146" t="s">
        <v>921</v>
      </c>
      <c r="G98" s="11" t="s">
        <v>1285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2.5" customHeight="1">
      <c r="A99" s="11" t="s">
        <v>1288</v>
      </c>
      <c r="B99" s="11" t="s">
        <v>239</v>
      </c>
      <c r="C99" s="86" t="s">
        <v>561</v>
      </c>
      <c r="D99" s="11"/>
      <c r="E99" s="84">
        <v>45181.0</v>
      </c>
      <c r="F99" s="146" t="s">
        <v>921</v>
      </c>
      <c r="G99" s="11" t="s">
        <v>1292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2.5" customHeight="1">
      <c r="A100" s="11" t="s">
        <v>1295</v>
      </c>
      <c r="B100" s="11" t="s">
        <v>239</v>
      </c>
      <c r="C100" s="86" t="s">
        <v>632</v>
      </c>
      <c r="D100" s="11"/>
      <c r="E100" s="84">
        <v>45008.0</v>
      </c>
      <c r="F100" s="146" t="s">
        <v>921</v>
      </c>
      <c r="G100" s="11" t="s">
        <v>1296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2.5" customHeight="1">
      <c r="A101" s="11" t="s">
        <v>1299</v>
      </c>
      <c r="B101" s="11" t="s">
        <v>239</v>
      </c>
      <c r="C101" s="86" t="s">
        <v>192</v>
      </c>
      <c r="D101" s="11"/>
      <c r="E101" s="84">
        <v>44896.0</v>
      </c>
      <c r="F101" s="146" t="s">
        <v>921</v>
      </c>
      <c r="G101" s="11" t="s">
        <v>1302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2.5" customHeight="1">
      <c r="A102" s="11" t="s">
        <v>1305</v>
      </c>
      <c r="B102" s="11" t="s">
        <v>239</v>
      </c>
      <c r="C102" s="86" t="s">
        <v>184</v>
      </c>
      <c r="D102" s="11"/>
      <c r="E102" s="84">
        <v>44896.0</v>
      </c>
      <c r="F102" s="146" t="s">
        <v>921</v>
      </c>
      <c r="G102" s="11" t="s">
        <v>1308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2.5" customHeight="1">
      <c r="A103" s="11" t="s">
        <v>1311</v>
      </c>
      <c r="B103" s="11" t="s">
        <v>239</v>
      </c>
      <c r="C103" s="86" t="s">
        <v>1313</v>
      </c>
      <c r="D103" s="11"/>
      <c r="E103" s="84">
        <v>44761.0</v>
      </c>
      <c r="F103" s="146" t="s">
        <v>921</v>
      </c>
      <c r="G103" s="11" t="s">
        <v>1315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2.5" customHeight="1">
      <c r="A104" s="11" t="s">
        <v>1319</v>
      </c>
      <c r="B104" s="11" t="s">
        <v>239</v>
      </c>
      <c r="C104" s="86" t="s">
        <v>160</v>
      </c>
      <c r="D104" s="11"/>
      <c r="E104" s="84">
        <v>44719.0</v>
      </c>
      <c r="F104" s="146" t="s">
        <v>921</v>
      </c>
      <c r="G104" s="11" t="s">
        <v>1322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2.5" customHeight="1">
      <c r="A105" s="11" t="s">
        <v>1324</v>
      </c>
      <c r="B105" s="11" t="s">
        <v>239</v>
      </c>
      <c r="C105" s="86" t="s">
        <v>151</v>
      </c>
      <c r="D105" s="11"/>
      <c r="E105" s="84">
        <v>44719.0</v>
      </c>
      <c r="F105" s="146" t="s">
        <v>921</v>
      </c>
      <c r="G105" s="11" t="s">
        <v>1327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2.5" customHeight="1">
      <c r="A106" s="11" t="s">
        <v>1330</v>
      </c>
      <c r="B106" s="11" t="s">
        <v>239</v>
      </c>
      <c r="C106" s="86" t="s">
        <v>442</v>
      </c>
      <c r="D106" s="11"/>
      <c r="E106" s="84">
        <v>44658.0</v>
      </c>
      <c r="F106" s="146" t="s">
        <v>921</v>
      </c>
      <c r="G106" s="11" t="s">
        <v>1333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2.5" customHeight="1">
      <c r="A107" s="11" t="s">
        <v>1335</v>
      </c>
      <c r="B107" s="11" t="s">
        <v>239</v>
      </c>
      <c r="C107" s="86" t="s">
        <v>146</v>
      </c>
      <c r="D107" s="11"/>
      <c r="E107" s="84">
        <v>44278.0</v>
      </c>
      <c r="F107" s="146" t="s">
        <v>921</v>
      </c>
      <c r="G107" s="11" t="s">
        <v>1339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2.5" customHeight="1">
      <c r="A108" s="11" t="s">
        <v>1341</v>
      </c>
      <c r="B108" s="11" t="s">
        <v>239</v>
      </c>
      <c r="C108" s="86" t="s">
        <v>137</v>
      </c>
      <c r="D108" s="11"/>
      <c r="E108" s="84">
        <v>44278.0</v>
      </c>
      <c r="F108" s="146" t="s">
        <v>921</v>
      </c>
      <c r="G108" s="11" t="s">
        <v>1344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2.5" customHeight="1">
      <c r="A109" s="11" t="s">
        <v>1346</v>
      </c>
      <c r="B109" s="11" t="s">
        <v>239</v>
      </c>
      <c r="C109" s="86" t="s">
        <v>495</v>
      </c>
      <c r="D109" s="11"/>
      <c r="E109" s="84">
        <v>43790.0</v>
      </c>
      <c r="F109" s="146" t="s">
        <v>921</v>
      </c>
      <c r="G109" s="11" t="s">
        <v>1348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2.5" customHeight="1">
      <c r="A110" s="11" t="s">
        <v>1351</v>
      </c>
      <c r="B110" s="11" t="s">
        <v>239</v>
      </c>
      <c r="C110" s="86" t="s">
        <v>401</v>
      </c>
      <c r="D110" s="11"/>
      <c r="E110" s="84">
        <v>43790.0</v>
      </c>
      <c r="F110" s="146" t="s">
        <v>921</v>
      </c>
      <c r="G110" s="11" t="s">
        <v>1354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2.5" customHeight="1">
      <c r="A111" s="11" t="s">
        <v>1355</v>
      </c>
      <c r="B111" s="11" t="s">
        <v>239</v>
      </c>
      <c r="C111" s="86" t="s">
        <v>240</v>
      </c>
      <c r="D111" s="11"/>
      <c r="E111" s="84">
        <v>43725.0</v>
      </c>
      <c r="F111" s="146" t="s">
        <v>921</v>
      </c>
      <c r="G111" s="11" t="s">
        <v>1358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2.5" customHeight="1">
      <c r="A112" s="11" t="s">
        <v>1360</v>
      </c>
      <c r="B112" s="11" t="s">
        <v>239</v>
      </c>
      <c r="C112" s="86" t="s">
        <v>643</v>
      </c>
      <c r="D112" s="11"/>
      <c r="E112" s="84">
        <v>43725.0</v>
      </c>
      <c r="F112" s="146" t="s">
        <v>921</v>
      </c>
      <c r="G112" s="11" t="s">
        <v>1362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2.5" customHeight="1">
      <c r="A113" s="11" t="s">
        <v>1364</v>
      </c>
      <c r="B113" s="11" t="s">
        <v>239</v>
      </c>
      <c r="C113" s="86" t="s">
        <v>951</v>
      </c>
      <c r="D113" s="11"/>
      <c r="E113" s="84">
        <v>43725.0</v>
      </c>
      <c r="F113" s="146" t="s">
        <v>921</v>
      </c>
      <c r="G113" s="11" t="s">
        <v>1367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2.5" customHeight="1">
      <c r="A114" s="11" t="s">
        <v>1368</v>
      </c>
      <c r="B114" s="11" t="s">
        <v>245</v>
      </c>
      <c r="C114" s="86" t="s">
        <v>457</v>
      </c>
      <c r="D114" s="11" t="s">
        <v>60</v>
      </c>
      <c r="E114" s="84">
        <v>45330.0</v>
      </c>
      <c r="F114" s="146" t="s">
        <v>921</v>
      </c>
      <c r="G114" s="11" t="s">
        <v>1371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2.5" customHeight="1">
      <c r="A115" s="11" t="s">
        <v>1374</v>
      </c>
      <c r="B115" s="11" t="s">
        <v>245</v>
      </c>
      <c r="C115" s="86" t="s">
        <v>457</v>
      </c>
      <c r="D115" s="11" t="s">
        <v>60</v>
      </c>
      <c r="E115" s="84">
        <v>45330.0</v>
      </c>
      <c r="F115" s="146" t="s">
        <v>921</v>
      </c>
      <c r="G115" s="11" t="s">
        <v>1371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2.5" customHeight="1">
      <c r="A116" s="11" t="s">
        <v>1376</v>
      </c>
      <c r="B116" s="11" t="s">
        <v>245</v>
      </c>
      <c r="C116" s="86" t="s">
        <v>655</v>
      </c>
      <c r="D116" s="11" t="s">
        <v>60</v>
      </c>
      <c r="E116" s="84">
        <v>45330.0</v>
      </c>
      <c r="F116" s="146" t="s">
        <v>921</v>
      </c>
      <c r="G116" s="11" t="s">
        <v>1379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2.5" customHeight="1">
      <c r="A117" s="11" t="s">
        <v>1380</v>
      </c>
      <c r="B117" s="11" t="s">
        <v>245</v>
      </c>
      <c r="C117" s="86" t="s">
        <v>442</v>
      </c>
      <c r="D117" s="11" t="s">
        <v>60</v>
      </c>
      <c r="E117" s="84">
        <v>45267.0</v>
      </c>
      <c r="F117" s="146" t="s">
        <v>921</v>
      </c>
      <c r="G117" s="11" t="s">
        <v>1385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2.5" customHeight="1">
      <c r="A118" s="11" t="s">
        <v>1386</v>
      </c>
      <c r="B118" s="11" t="s">
        <v>245</v>
      </c>
      <c r="C118" s="86" t="s">
        <v>453</v>
      </c>
      <c r="D118" s="11" t="s">
        <v>60</v>
      </c>
      <c r="E118" s="84">
        <v>45267.0</v>
      </c>
      <c r="F118" s="146" t="s">
        <v>921</v>
      </c>
      <c r="G118" s="11" t="s">
        <v>1391</v>
      </c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2.5" customHeight="1">
      <c r="A119" s="11" t="s">
        <v>1394</v>
      </c>
      <c r="B119" s="11" t="s">
        <v>245</v>
      </c>
      <c r="C119" s="86" t="s">
        <v>192</v>
      </c>
      <c r="D119" s="11" t="s">
        <v>60</v>
      </c>
      <c r="E119" s="84">
        <v>45267.0</v>
      </c>
      <c r="F119" s="146" t="s">
        <v>921</v>
      </c>
      <c r="G119" s="11" t="s">
        <v>1398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2.5" customHeight="1">
      <c r="A120" s="11" t="s">
        <v>1400</v>
      </c>
      <c r="B120" s="11" t="s">
        <v>245</v>
      </c>
      <c r="C120" s="86" t="s">
        <v>1068</v>
      </c>
      <c r="D120" s="11" t="s">
        <v>60</v>
      </c>
      <c r="E120" s="84">
        <v>45267.0</v>
      </c>
      <c r="F120" s="146" t="s">
        <v>921</v>
      </c>
      <c r="G120" s="11" t="s">
        <v>1403</v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2.5" customHeight="1">
      <c r="A121" s="11" t="s">
        <v>1406</v>
      </c>
      <c r="B121" s="11" t="s">
        <v>245</v>
      </c>
      <c r="C121" s="86" t="s">
        <v>184</v>
      </c>
      <c r="D121" s="11" t="s">
        <v>60</v>
      </c>
      <c r="E121" s="84">
        <v>45267.0</v>
      </c>
      <c r="F121" s="146" t="s">
        <v>921</v>
      </c>
      <c r="G121" s="11" t="s">
        <v>1408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2.5" customHeight="1">
      <c r="A122" s="11" t="s">
        <v>1411</v>
      </c>
      <c r="B122" s="11" t="s">
        <v>245</v>
      </c>
      <c r="C122" s="86" t="s">
        <v>502</v>
      </c>
      <c r="D122" s="11" t="s">
        <v>60</v>
      </c>
      <c r="E122" s="84">
        <v>45146.0</v>
      </c>
      <c r="F122" s="146" t="s">
        <v>921</v>
      </c>
      <c r="G122" s="11" t="s">
        <v>1414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2.5" customHeight="1">
      <c r="A123" s="11" t="s">
        <v>1417</v>
      </c>
      <c r="B123" s="11" t="s">
        <v>245</v>
      </c>
      <c r="C123" s="86" t="s">
        <v>1418</v>
      </c>
      <c r="D123" s="11" t="s">
        <v>60</v>
      </c>
      <c r="E123" s="84">
        <v>44896.0</v>
      </c>
      <c r="F123" s="146" t="s">
        <v>921</v>
      </c>
      <c r="G123" s="11" t="s">
        <v>1421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2.5" customHeight="1">
      <c r="A124" s="11" t="s">
        <v>1424</v>
      </c>
      <c r="B124" s="11" t="s">
        <v>245</v>
      </c>
      <c r="C124" s="86" t="s">
        <v>160</v>
      </c>
      <c r="D124" s="11" t="s">
        <v>60</v>
      </c>
      <c r="E124" s="84">
        <v>44798.0</v>
      </c>
      <c r="F124" s="146" t="s">
        <v>921</v>
      </c>
      <c r="G124" s="11" t="s">
        <v>1428</v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2.5" customHeight="1">
      <c r="A125" s="11" t="s">
        <v>1430</v>
      </c>
      <c r="B125" s="11" t="s">
        <v>245</v>
      </c>
      <c r="C125" s="86" t="s">
        <v>151</v>
      </c>
      <c r="D125" s="11" t="s">
        <v>60</v>
      </c>
      <c r="E125" s="84">
        <v>44798.0</v>
      </c>
      <c r="F125" s="146" t="s">
        <v>921</v>
      </c>
      <c r="G125" s="11" t="s">
        <v>1432</v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2.5" hidden="1" customHeight="1">
      <c r="A126" s="147" t="s">
        <v>1435</v>
      </c>
      <c r="B126" s="147" t="s">
        <v>245</v>
      </c>
      <c r="C126" s="147" t="s">
        <v>160</v>
      </c>
      <c r="D126" s="147" t="s">
        <v>60</v>
      </c>
      <c r="E126" s="148">
        <v>44621.0</v>
      </c>
      <c r="F126" s="149" t="s">
        <v>934</v>
      </c>
      <c r="G126" s="147" t="s">
        <v>1438</v>
      </c>
    </row>
    <row r="127" ht="22.5" hidden="1" customHeight="1">
      <c r="A127" s="147" t="s">
        <v>1439</v>
      </c>
      <c r="B127" s="147" t="s">
        <v>245</v>
      </c>
      <c r="C127" s="147" t="s">
        <v>151</v>
      </c>
      <c r="D127" s="147" t="s">
        <v>60</v>
      </c>
      <c r="E127" s="148">
        <v>44621.0</v>
      </c>
      <c r="F127" s="149" t="s">
        <v>934</v>
      </c>
      <c r="G127" s="147" t="s">
        <v>1442</v>
      </c>
    </row>
    <row r="128" ht="22.5" customHeight="1">
      <c r="A128" s="11" t="s">
        <v>1443</v>
      </c>
      <c r="B128" s="11" t="s">
        <v>245</v>
      </c>
      <c r="C128" s="86" t="s">
        <v>146</v>
      </c>
      <c r="D128" s="11" t="s">
        <v>60</v>
      </c>
      <c r="E128" s="84">
        <v>44299.0</v>
      </c>
      <c r="F128" s="146" t="s">
        <v>921</v>
      </c>
      <c r="G128" s="11" t="s">
        <v>1446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2.5" customHeight="1">
      <c r="A129" s="11" t="s">
        <v>1448</v>
      </c>
      <c r="B129" s="11" t="s">
        <v>245</v>
      </c>
      <c r="C129" s="86" t="s">
        <v>137</v>
      </c>
      <c r="D129" s="11" t="s">
        <v>60</v>
      </c>
      <c r="E129" s="84">
        <v>44299.0</v>
      </c>
      <c r="F129" s="146" t="s">
        <v>921</v>
      </c>
      <c r="G129" s="11" t="s">
        <v>1451</v>
      </c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2.5" customHeight="1">
      <c r="A130" s="11" t="s">
        <v>1453</v>
      </c>
      <c r="B130" s="11" t="s">
        <v>245</v>
      </c>
      <c r="C130" s="86" t="s">
        <v>502</v>
      </c>
      <c r="D130" s="11" t="s">
        <v>60</v>
      </c>
      <c r="E130" s="84">
        <v>44168.0</v>
      </c>
      <c r="F130" s="146" t="s">
        <v>921</v>
      </c>
      <c r="G130" s="11" t="s">
        <v>1455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2.5" customHeight="1">
      <c r="A131" s="11" t="s">
        <v>1458</v>
      </c>
      <c r="B131" s="11" t="s">
        <v>245</v>
      </c>
      <c r="C131" s="86" t="s">
        <v>495</v>
      </c>
      <c r="D131" s="11" t="s">
        <v>60</v>
      </c>
      <c r="E131" s="84">
        <v>43788.0</v>
      </c>
      <c r="F131" s="146" t="s">
        <v>921</v>
      </c>
      <c r="G131" s="11" t="s">
        <v>1460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2.5" customHeight="1">
      <c r="A132" s="11" t="s">
        <v>1462</v>
      </c>
      <c r="B132" s="11" t="s">
        <v>245</v>
      </c>
      <c r="C132" s="86" t="s">
        <v>401</v>
      </c>
      <c r="D132" s="11" t="s">
        <v>60</v>
      </c>
      <c r="E132" s="84">
        <v>43788.0</v>
      </c>
      <c r="F132" s="146" t="s">
        <v>921</v>
      </c>
      <c r="G132" s="11" t="s">
        <v>1465</v>
      </c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2.5" customHeight="1">
      <c r="A133" s="11" t="s">
        <v>1468</v>
      </c>
      <c r="B133" s="11" t="s">
        <v>245</v>
      </c>
      <c r="C133" s="86" t="s">
        <v>692</v>
      </c>
      <c r="D133" s="11" t="s">
        <v>60</v>
      </c>
      <c r="E133" s="84">
        <v>43559.0</v>
      </c>
      <c r="F133" s="146" t="s">
        <v>921</v>
      </c>
      <c r="G133" s="11" t="s">
        <v>1470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22.5" customHeight="1">
      <c r="A134" s="11" t="s">
        <v>1472</v>
      </c>
      <c r="B134" s="11" t="s">
        <v>245</v>
      </c>
      <c r="C134" s="86" t="s">
        <v>240</v>
      </c>
      <c r="D134" s="11" t="s">
        <v>60</v>
      </c>
      <c r="E134" s="84">
        <v>43403.0</v>
      </c>
      <c r="F134" s="146" t="s">
        <v>921</v>
      </c>
      <c r="G134" s="11" t="s">
        <v>1475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22.5" customHeight="1">
      <c r="A135" s="11" t="s">
        <v>1476</v>
      </c>
      <c r="B135" s="11" t="s">
        <v>245</v>
      </c>
      <c r="C135" s="86" t="s">
        <v>1105</v>
      </c>
      <c r="D135" s="11" t="s">
        <v>60</v>
      </c>
      <c r="E135" s="84">
        <v>43403.0</v>
      </c>
      <c r="F135" s="146" t="s">
        <v>921</v>
      </c>
      <c r="G135" s="11" t="s">
        <v>1479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22.5" customHeight="1">
      <c r="A136" s="11" t="s">
        <v>1481</v>
      </c>
      <c r="B136" s="11" t="s">
        <v>245</v>
      </c>
      <c r="C136" s="86" t="s">
        <v>643</v>
      </c>
      <c r="D136" s="11" t="s">
        <v>60</v>
      </c>
      <c r="E136" s="84">
        <v>43403.0</v>
      </c>
      <c r="F136" s="146" t="s">
        <v>921</v>
      </c>
      <c r="G136" s="11" t="s">
        <v>1484</v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22.5" customHeight="1">
      <c r="A137" s="11" t="s">
        <v>1486</v>
      </c>
      <c r="B137" s="11" t="s">
        <v>245</v>
      </c>
      <c r="C137" s="86" t="s">
        <v>951</v>
      </c>
      <c r="D137" s="11" t="s">
        <v>60</v>
      </c>
      <c r="E137" s="84">
        <v>43403.0</v>
      </c>
      <c r="F137" s="146" t="s">
        <v>921</v>
      </c>
      <c r="G137" s="11" t="s">
        <v>1488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2.5" customHeight="1">
      <c r="A138" s="11" t="s">
        <v>1491</v>
      </c>
      <c r="B138" s="11" t="s">
        <v>245</v>
      </c>
      <c r="C138" s="86" t="s">
        <v>1111</v>
      </c>
      <c r="D138" s="11" t="s">
        <v>60</v>
      </c>
      <c r="E138" s="84">
        <v>43403.0</v>
      </c>
      <c r="F138" s="146" t="s">
        <v>921</v>
      </c>
      <c r="G138" s="11" t="s">
        <v>1494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2.5" customHeight="1">
      <c r="A139" s="11" t="s">
        <v>1496</v>
      </c>
      <c r="B139" s="11" t="s">
        <v>268</v>
      </c>
      <c r="C139" s="86" t="s">
        <v>177</v>
      </c>
      <c r="D139" s="11" t="s">
        <v>272</v>
      </c>
      <c r="E139" s="84">
        <v>45470.0</v>
      </c>
      <c r="F139" s="146" t="s">
        <v>921</v>
      </c>
      <c r="G139" s="11" t="s">
        <v>272</v>
      </c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22.5" hidden="1" customHeight="1">
      <c r="A140" s="147"/>
      <c r="B140" s="147"/>
      <c r="C140" s="147"/>
      <c r="D140" s="147"/>
      <c r="E140" s="148"/>
      <c r="F140" s="153"/>
      <c r="G140" s="147"/>
    </row>
    <row r="141" ht="22.5" customHeight="1">
      <c r="A141" s="11" t="s">
        <v>1503</v>
      </c>
      <c r="B141" s="11" t="s">
        <v>268</v>
      </c>
      <c r="C141" s="86" t="s">
        <v>1504</v>
      </c>
      <c r="D141" s="11"/>
      <c r="E141" s="84">
        <v>45244.0</v>
      </c>
      <c r="F141" s="146" t="s">
        <v>921</v>
      </c>
      <c r="G141" s="11" t="s">
        <v>922</v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22.5" customHeight="1">
      <c r="A142" s="11" t="s">
        <v>1508</v>
      </c>
      <c r="B142" s="11" t="s">
        <v>268</v>
      </c>
      <c r="C142" s="86" t="s">
        <v>192</v>
      </c>
      <c r="D142" s="11" t="s">
        <v>60</v>
      </c>
      <c r="E142" s="84">
        <v>44880.0</v>
      </c>
      <c r="F142" s="146" t="s">
        <v>921</v>
      </c>
      <c r="G142" s="11" t="s">
        <v>924</v>
      </c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22.5" customHeight="1">
      <c r="A143" s="11" t="s">
        <v>1512</v>
      </c>
      <c r="B143" s="11" t="s">
        <v>268</v>
      </c>
      <c r="C143" s="86" t="s">
        <v>184</v>
      </c>
      <c r="D143" s="11" t="s">
        <v>60</v>
      </c>
      <c r="E143" s="84">
        <v>44880.0</v>
      </c>
      <c r="F143" s="146" t="s">
        <v>921</v>
      </c>
      <c r="G143" s="11" t="s">
        <v>926</v>
      </c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22.5" customHeight="1">
      <c r="A144" s="11" t="s">
        <v>1517</v>
      </c>
      <c r="B144" s="11" t="s">
        <v>268</v>
      </c>
      <c r="C144" s="86" t="s">
        <v>502</v>
      </c>
      <c r="D144" s="11" t="s">
        <v>60</v>
      </c>
      <c r="E144" s="84">
        <v>44768.0</v>
      </c>
      <c r="F144" s="146" t="s">
        <v>921</v>
      </c>
      <c r="G144" s="11" t="s">
        <v>928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22.5" customHeight="1">
      <c r="A145" s="11" t="s">
        <v>1521</v>
      </c>
      <c r="B145" s="11" t="s">
        <v>268</v>
      </c>
      <c r="C145" s="86" t="s">
        <v>160</v>
      </c>
      <c r="D145" s="11" t="s">
        <v>60</v>
      </c>
      <c r="E145" s="84">
        <v>44705.0</v>
      </c>
      <c r="F145" s="146" t="s">
        <v>921</v>
      </c>
      <c r="G145" s="11" t="s">
        <v>930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22.5" customHeight="1">
      <c r="A146" s="11" t="s">
        <v>1526</v>
      </c>
      <c r="B146" s="11" t="s">
        <v>268</v>
      </c>
      <c r="C146" s="86" t="s">
        <v>151</v>
      </c>
      <c r="D146" s="11" t="s">
        <v>60</v>
      </c>
      <c r="E146" s="84">
        <v>44705.0</v>
      </c>
      <c r="F146" s="146" t="s">
        <v>921</v>
      </c>
      <c r="G146" s="11" t="s">
        <v>932</v>
      </c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22.5" customHeight="1">
      <c r="A147" s="11" t="s">
        <v>1529</v>
      </c>
      <c r="B147" s="11" t="s">
        <v>268</v>
      </c>
      <c r="C147" s="86" t="s">
        <v>177</v>
      </c>
      <c r="D147" s="11" t="s">
        <v>272</v>
      </c>
      <c r="E147" s="84">
        <v>44396.0</v>
      </c>
      <c r="F147" s="146" t="s">
        <v>921</v>
      </c>
      <c r="G147" s="11" t="s">
        <v>272</v>
      </c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22.5" customHeight="1">
      <c r="A148" s="11" t="s">
        <v>1533</v>
      </c>
      <c r="B148" s="11" t="s">
        <v>268</v>
      </c>
      <c r="C148" s="86" t="s">
        <v>146</v>
      </c>
      <c r="D148" s="11" t="s">
        <v>60</v>
      </c>
      <c r="E148" s="84">
        <v>44278.0</v>
      </c>
      <c r="F148" s="146" t="s">
        <v>921</v>
      </c>
      <c r="G148" s="11" t="s">
        <v>939</v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22.5" customHeight="1">
      <c r="A149" s="11" t="s">
        <v>1539</v>
      </c>
      <c r="B149" s="11" t="s">
        <v>268</v>
      </c>
      <c r="C149" s="86" t="s">
        <v>137</v>
      </c>
      <c r="D149" s="11" t="s">
        <v>60</v>
      </c>
      <c r="E149" s="84">
        <v>44278.0</v>
      </c>
      <c r="F149" s="146" t="s">
        <v>921</v>
      </c>
      <c r="G149" s="11" t="s">
        <v>941</v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22.5" customHeight="1">
      <c r="A150" s="11" t="s">
        <v>1543</v>
      </c>
      <c r="B150" s="11" t="s">
        <v>268</v>
      </c>
      <c r="C150" s="86" t="s">
        <v>240</v>
      </c>
      <c r="D150" s="11" t="s">
        <v>60</v>
      </c>
      <c r="E150" s="84">
        <v>43727.0</v>
      </c>
      <c r="F150" s="146" t="s">
        <v>921</v>
      </c>
      <c r="G150" s="11" t="s">
        <v>1545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22.5" customHeight="1">
      <c r="A151" s="11" t="s">
        <v>1548</v>
      </c>
      <c r="B151" s="11" t="s">
        <v>268</v>
      </c>
      <c r="C151" s="86" t="s">
        <v>495</v>
      </c>
      <c r="D151" s="11" t="s">
        <v>60</v>
      </c>
      <c r="E151" s="84">
        <v>43783.0</v>
      </c>
      <c r="F151" s="146" t="s">
        <v>921</v>
      </c>
      <c r="G151" s="11" t="s">
        <v>943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22.5" customHeight="1">
      <c r="A152" s="11" t="s">
        <v>1551</v>
      </c>
      <c r="B152" s="11" t="s">
        <v>268</v>
      </c>
      <c r="C152" s="86" t="s">
        <v>401</v>
      </c>
      <c r="D152" s="11" t="s">
        <v>60</v>
      </c>
      <c r="E152" s="84">
        <v>43783.0</v>
      </c>
      <c r="F152" s="146" t="s">
        <v>921</v>
      </c>
      <c r="G152" s="11" t="s">
        <v>945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22.5" customHeight="1">
      <c r="A153" s="11" t="s">
        <v>1556</v>
      </c>
      <c r="B153" s="11" t="s">
        <v>268</v>
      </c>
      <c r="C153" s="86" t="s">
        <v>240</v>
      </c>
      <c r="D153" s="11" t="s">
        <v>60</v>
      </c>
      <c r="E153" s="84">
        <v>43725.0</v>
      </c>
      <c r="F153" s="146" t="s">
        <v>921</v>
      </c>
      <c r="G153" s="11" t="s">
        <v>947</v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22.5" customHeight="1">
      <c r="A154" s="11" t="s">
        <v>1561</v>
      </c>
      <c r="B154" s="11" t="s">
        <v>268</v>
      </c>
      <c r="C154" s="86" t="s">
        <v>643</v>
      </c>
      <c r="D154" s="11" t="s">
        <v>60</v>
      </c>
      <c r="E154" s="84">
        <v>43725.0</v>
      </c>
      <c r="F154" s="146" t="s">
        <v>921</v>
      </c>
      <c r="G154" s="11" t="s">
        <v>949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22.5" customHeight="1">
      <c r="A155" s="11" t="s">
        <v>1564</v>
      </c>
      <c r="B155" s="11" t="s">
        <v>268</v>
      </c>
      <c r="C155" s="86" t="s">
        <v>951</v>
      </c>
      <c r="D155" s="11" t="s">
        <v>60</v>
      </c>
      <c r="E155" s="84">
        <v>43725.0</v>
      </c>
      <c r="F155" s="146" t="s">
        <v>921</v>
      </c>
      <c r="G155" s="11" t="s">
        <v>952</v>
      </c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22.5" customHeight="1">
      <c r="A156" s="11" t="s">
        <v>1567</v>
      </c>
      <c r="B156" s="11" t="s">
        <v>292</v>
      </c>
      <c r="C156" s="86" t="s">
        <v>1569</v>
      </c>
      <c r="D156" s="11" t="s">
        <v>60</v>
      </c>
      <c r="E156" s="84">
        <v>43727.0</v>
      </c>
      <c r="F156" s="146" t="s">
        <v>921</v>
      </c>
      <c r="G156" s="11" t="s">
        <v>1571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22.5" customHeight="1">
      <c r="A157" s="11" t="s">
        <v>1573</v>
      </c>
      <c r="B157" s="11" t="s">
        <v>292</v>
      </c>
      <c r="C157" s="86" t="s">
        <v>1574</v>
      </c>
      <c r="D157" s="11" t="s">
        <v>60</v>
      </c>
      <c r="E157" s="84">
        <v>43727.0</v>
      </c>
      <c r="F157" s="146" t="s">
        <v>921</v>
      </c>
      <c r="G157" s="11" t="s">
        <v>1576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22.5" customHeight="1">
      <c r="A158" s="11" t="s">
        <v>1578</v>
      </c>
      <c r="B158" s="11" t="s">
        <v>292</v>
      </c>
      <c r="C158" s="86" t="s">
        <v>1579</v>
      </c>
      <c r="D158" s="11" t="s">
        <v>60</v>
      </c>
      <c r="E158" s="84">
        <v>43727.0</v>
      </c>
      <c r="F158" s="146" t="s">
        <v>921</v>
      </c>
      <c r="G158" s="11" t="s">
        <v>1580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22.5" customHeight="1">
      <c r="A159" s="11" t="s">
        <v>1583</v>
      </c>
      <c r="B159" s="11" t="s">
        <v>292</v>
      </c>
      <c r="C159" s="86" t="s">
        <v>495</v>
      </c>
      <c r="D159" s="11" t="s">
        <v>60</v>
      </c>
      <c r="E159" s="84">
        <v>43761.0</v>
      </c>
      <c r="F159" s="146" t="s">
        <v>921</v>
      </c>
      <c r="G159" s="11" t="s">
        <v>1584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22.5" customHeight="1">
      <c r="A160" s="11" t="s">
        <v>1585</v>
      </c>
      <c r="B160" s="11" t="s">
        <v>292</v>
      </c>
      <c r="C160" s="86" t="s">
        <v>1587</v>
      </c>
      <c r="D160" s="11" t="s">
        <v>60</v>
      </c>
      <c r="E160" s="84">
        <v>43761.0</v>
      </c>
      <c r="F160" s="146" t="s">
        <v>921</v>
      </c>
      <c r="G160" s="11" t="s">
        <v>1589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22.5" customHeight="1">
      <c r="A161" s="11" t="s">
        <v>1590</v>
      </c>
      <c r="B161" s="11" t="s">
        <v>292</v>
      </c>
      <c r="C161" s="86" t="s">
        <v>146</v>
      </c>
      <c r="D161" s="11" t="s">
        <v>60</v>
      </c>
      <c r="E161" s="84">
        <v>44252.0</v>
      </c>
      <c r="F161" s="146" t="s">
        <v>921</v>
      </c>
      <c r="G161" s="11" t="s">
        <v>1593</v>
      </c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22.5" customHeight="1">
      <c r="A162" s="11" t="s">
        <v>1594</v>
      </c>
      <c r="B162" s="11" t="s">
        <v>292</v>
      </c>
      <c r="C162" s="86" t="s">
        <v>816</v>
      </c>
      <c r="D162" s="11" t="s">
        <v>60</v>
      </c>
      <c r="E162" s="84">
        <v>44252.0</v>
      </c>
      <c r="F162" s="146" t="s">
        <v>921</v>
      </c>
      <c r="G162" s="11" t="s">
        <v>1596</v>
      </c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22.5" customHeight="1">
      <c r="A163" s="11" t="s">
        <v>1598</v>
      </c>
      <c r="B163" s="11" t="s">
        <v>292</v>
      </c>
      <c r="C163" s="86" t="s">
        <v>160</v>
      </c>
      <c r="D163" s="11" t="s">
        <v>60</v>
      </c>
      <c r="E163" s="84">
        <v>44614.0</v>
      </c>
      <c r="F163" s="146" t="s">
        <v>921</v>
      </c>
      <c r="G163" s="11" t="s">
        <v>1600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22.5" customHeight="1">
      <c r="A164" s="11" t="s">
        <v>1602</v>
      </c>
      <c r="B164" s="11" t="s">
        <v>292</v>
      </c>
      <c r="C164" s="86" t="s">
        <v>822</v>
      </c>
      <c r="D164" s="11" t="s">
        <v>60</v>
      </c>
      <c r="E164" s="84">
        <v>44614.0</v>
      </c>
      <c r="F164" s="146" t="s">
        <v>921</v>
      </c>
      <c r="G164" s="11" t="s">
        <v>1603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22.5" customHeight="1">
      <c r="A165" s="11" t="s">
        <v>1605</v>
      </c>
      <c r="B165" s="11" t="s">
        <v>292</v>
      </c>
      <c r="C165" s="86" t="s">
        <v>192</v>
      </c>
      <c r="D165" s="11" t="s">
        <v>60</v>
      </c>
      <c r="E165" s="84">
        <v>44875.0</v>
      </c>
      <c r="F165" s="146" t="s">
        <v>921</v>
      </c>
      <c r="G165" s="11" t="s">
        <v>1607</v>
      </c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22.5" customHeight="1">
      <c r="A166" s="11" t="s">
        <v>1609</v>
      </c>
      <c r="B166" s="11" t="s">
        <v>292</v>
      </c>
      <c r="C166" s="86" t="s">
        <v>828</v>
      </c>
      <c r="D166" s="11" t="s">
        <v>60</v>
      </c>
      <c r="E166" s="84">
        <v>44875.0</v>
      </c>
      <c r="F166" s="146" t="s">
        <v>921</v>
      </c>
      <c r="G166" s="11" t="s">
        <v>1611</v>
      </c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22.5" customHeight="1">
      <c r="A167" s="11" t="s">
        <v>1612</v>
      </c>
      <c r="B167" s="11" t="s">
        <v>292</v>
      </c>
      <c r="C167" s="86" t="s">
        <v>835</v>
      </c>
      <c r="D167" s="11" t="s">
        <v>60</v>
      </c>
      <c r="E167" s="84">
        <v>45209.0</v>
      </c>
      <c r="F167" s="146" t="s">
        <v>921</v>
      </c>
      <c r="G167" s="11" t="s">
        <v>1614</v>
      </c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22.5" customHeight="1">
      <c r="A168" s="11" t="s">
        <v>1616</v>
      </c>
      <c r="B168" s="11" t="s">
        <v>317</v>
      </c>
      <c r="C168" s="86" t="s">
        <v>561</v>
      </c>
      <c r="D168" s="11" t="s">
        <v>60</v>
      </c>
      <c r="E168" s="84">
        <v>45127.0</v>
      </c>
      <c r="F168" s="146" t="s">
        <v>921</v>
      </c>
      <c r="G168" s="11" t="s">
        <v>1618</v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22.5" customHeight="1">
      <c r="A169" s="11" t="s">
        <v>1619</v>
      </c>
      <c r="B169" s="11" t="s">
        <v>317</v>
      </c>
      <c r="C169" s="86" t="s">
        <v>240</v>
      </c>
      <c r="D169" s="11" t="s">
        <v>60</v>
      </c>
      <c r="E169" s="84">
        <v>43664.0</v>
      </c>
      <c r="F169" s="146" t="s">
        <v>921</v>
      </c>
      <c r="G169" s="11" t="s">
        <v>1621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60"/>
      <c r="B170" s="60"/>
      <c r="C170" s="8"/>
      <c r="D170" s="60"/>
      <c r="E170" s="60"/>
      <c r="F170" s="60"/>
      <c r="G170" s="6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60"/>
      <c r="B171" s="60"/>
      <c r="C171" s="160" t="s">
        <v>1623</v>
      </c>
      <c r="D171" s="60"/>
      <c r="E171" s="60"/>
      <c r="F171" s="60"/>
      <c r="G171" s="6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60"/>
      <c r="B172" s="60"/>
      <c r="C172" s="8"/>
      <c r="D172" s="60"/>
      <c r="E172" s="60"/>
      <c r="F172" s="60"/>
      <c r="G172" s="6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60"/>
      <c r="B173" s="60"/>
      <c r="C173" s="8"/>
      <c r="D173" s="60"/>
      <c r="E173" s="60"/>
      <c r="F173" s="60"/>
      <c r="G173" s="6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60"/>
      <c r="B174" s="60"/>
      <c r="C174" s="8"/>
      <c r="D174" s="60"/>
      <c r="E174" s="60"/>
      <c r="F174" s="60"/>
      <c r="G174" s="6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60"/>
      <c r="B175" s="60"/>
      <c r="C175" s="8"/>
      <c r="D175" s="60"/>
      <c r="E175" s="60"/>
      <c r="F175" s="60"/>
      <c r="G175" s="6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60"/>
      <c r="B176" s="60"/>
      <c r="C176" s="8"/>
      <c r="D176" s="60"/>
      <c r="E176" s="60"/>
      <c r="F176" s="60"/>
      <c r="G176" s="6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60"/>
      <c r="B177" s="60"/>
      <c r="C177" s="8"/>
      <c r="D177" s="60"/>
      <c r="E177" s="60"/>
      <c r="F177" s="60"/>
      <c r="G177" s="6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60"/>
      <c r="B178" s="60"/>
      <c r="C178" s="8"/>
      <c r="D178" s="60"/>
      <c r="E178" s="60"/>
      <c r="F178" s="60"/>
      <c r="G178" s="6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60"/>
      <c r="B179" s="60"/>
      <c r="C179" s="8"/>
      <c r="D179" s="60"/>
      <c r="E179" s="60"/>
      <c r="F179" s="60"/>
      <c r="G179" s="6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60"/>
      <c r="B180" s="60"/>
      <c r="C180" s="8"/>
      <c r="D180" s="60"/>
      <c r="E180" s="60"/>
      <c r="F180" s="60"/>
      <c r="G180" s="6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60"/>
      <c r="B181" s="60"/>
      <c r="C181" s="8"/>
      <c r="D181" s="60"/>
      <c r="E181" s="60"/>
      <c r="F181" s="60"/>
      <c r="G181" s="6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60"/>
      <c r="B182" s="60"/>
      <c r="C182" s="8"/>
      <c r="D182" s="60"/>
      <c r="E182" s="60"/>
      <c r="F182" s="60"/>
      <c r="G182" s="6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60"/>
      <c r="B183" s="60"/>
      <c r="C183" s="8"/>
      <c r="D183" s="60"/>
      <c r="E183" s="60"/>
      <c r="F183" s="60"/>
      <c r="G183" s="6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60"/>
      <c r="B184" s="60"/>
      <c r="C184" s="8"/>
      <c r="D184" s="60"/>
      <c r="E184" s="60"/>
      <c r="F184" s="60"/>
      <c r="G184" s="6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60"/>
      <c r="B185" s="60"/>
      <c r="C185" s="8"/>
      <c r="D185" s="60"/>
      <c r="E185" s="60"/>
      <c r="F185" s="60"/>
      <c r="G185" s="6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60"/>
      <c r="B186" s="60"/>
      <c r="C186" s="8"/>
      <c r="D186" s="60"/>
      <c r="E186" s="60"/>
      <c r="F186" s="60"/>
      <c r="G186" s="6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60"/>
      <c r="B187" s="60"/>
      <c r="C187" s="8"/>
      <c r="D187" s="60"/>
      <c r="E187" s="60"/>
      <c r="F187" s="60"/>
      <c r="G187" s="6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60"/>
      <c r="B188" s="60"/>
      <c r="C188" s="8"/>
      <c r="D188" s="60"/>
      <c r="E188" s="60"/>
      <c r="F188" s="60"/>
      <c r="G188" s="6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60"/>
      <c r="B189" s="60"/>
      <c r="C189" s="8"/>
      <c r="D189" s="60"/>
      <c r="E189" s="60"/>
      <c r="F189" s="60"/>
      <c r="G189" s="6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60"/>
      <c r="B190" s="60"/>
      <c r="C190" s="8"/>
      <c r="D190" s="60"/>
      <c r="E190" s="60"/>
      <c r="F190" s="60"/>
      <c r="G190" s="6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60"/>
      <c r="B191" s="60"/>
      <c r="C191" s="8"/>
      <c r="D191" s="60"/>
      <c r="E191" s="60"/>
      <c r="F191" s="60"/>
      <c r="G191" s="6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60"/>
      <c r="B192" s="60"/>
      <c r="C192" s="8"/>
      <c r="D192" s="60"/>
      <c r="E192" s="60"/>
      <c r="F192" s="60"/>
      <c r="G192" s="6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60"/>
      <c r="B193" s="60"/>
      <c r="C193" s="8"/>
      <c r="D193" s="60"/>
      <c r="E193" s="60"/>
      <c r="F193" s="60"/>
      <c r="G193" s="6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60"/>
      <c r="B194" s="60"/>
      <c r="C194" s="8"/>
      <c r="D194" s="60"/>
      <c r="E194" s="60"/>
      <c r="F194" s="60"/>
      <c r="G194" s="6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60"/>
      <c r="B195" s="60"/>
      <c r="C195" s="8"/>
      <c r="D195" s="60"/>
      <c r="E195" s="60"/>
      <c r="F195" s="60"/>
      <c r="G195" s="6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60"/>
      <c r="B196" s="60"/>
      <c r="C196" s="8"/>
      <c r="D196" s="60"/>
      <c r="E196" s="60"/>
      <c r="F196" s="60"/>
      <c r="G196" s="6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60"/>
      <c r="B197" s="60"/>
      <c r="C197" s="8"/>
      <c r="D197" s="60"/>
      <c r="E197" s="60"/>
      <c r="F197" s="60"/>
      <c r="G197" s="6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60"/>
      <c r="B198" s="60"/>
      <c r="C198" s="8"/>
      <c r="D198" s="60"/>
      <c r="E198" s="60"/>
      <c r="F198" s="60"/>
      <c r="G198" s="6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60"/>
      <c r="B199" s="60"/>
      <c r="C199" s="8"/>
      <c r="D199" s="60"/>
      <c r="E199" s="60"/>
      <c r="F199" s="60"/>
      <c r="G199" s="6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60"/>
      <c r="B200" s="60"/>
      <c r="C200" s="8"/>
      <c r="D200" s="60"/>
      <c r="E200" s="60"/>
      <c r="F200" s="60"/>
      <c r="G200" s="6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60"/>
      <c r="B201" s="60"/>
      <c r="C201" s="8"/>
      <c r="D201" s="60"/>
      <c r="E201" s="60"/>
      <c r="F201" s="60"/>
      <c r="G201" s="6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60"/>
      <c r="B202" s="60"/>
      <c r="C202" s="8"/>
      <c r="D202" s="60"/>
      <c r="E202" s="60"/>
      <c r="F202" s="60"/>
      <c r="G202" s="6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60"/>
      <c r="B203" s="60"/>
      <c r="C203" s="8"/>
      <c r="D203" s="60"/>
      <c r="E203" s="60"/>
      <c r="F203" s="60"/>
      <c r="G203" s="6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60"/>
      <c r="B204" s="60"/>
      <c r="C204" s="8"/>
      <c r="D204" s="60"/>
      <c r="E204" s="60"/>
      <c r="F204" s="60"/>
      <c r="G204" s="6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60"/>
      <c r="B205" s="60"/>
      <c r="C205" s="8"/>
      <c r="D205" s="60"/>
      <c r="E205" s="60"/>
      <c r="F205" s="60"/>
      <c r="G205" s="6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60"/>
      <c r="B206" s="60"/>
      <c r="C206" s="8"/>
      <c r="D206" s="60"/>
      <c r="E206" s="60"/>
      <c r="F206" s="60"/>
      <c r="G206" s="6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60"/>
      <c r="B207" s="60"/>
      <c r="C207" s="8"/>
      <c r="D207" s="60"/>
      <c r="E207" s="60"/>
      <c r="F207" s="60"/>
      <c r="G207" s="6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60"/>
      <c r="B208" s="60"/>
      <c r="C208" s="8"/>
      <c r="D208" s="60"/>
      <c r="E208" s="60"/>
      <c r="F208" s="60"/>
      <c r="G208" s="6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60"/>
      <c r="B209" s="60"/>
      <c r="C209" s="8"/>
      <c r="D209" s="60"/>
      <c r="E209" s="60"/>
      <c r="F209" s="60"/>
      <c r="G209" s="6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60"/>
      <c r="B210" s="60"/>
      <c r="C210" s="8"/>
      <c r="D210" s="60"/>
      <c r="E210" s="60"/>
      <c r="F210" s="60"/>
      <c r="G210" s="6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60"/>
      <c r="B211" s="60"/>
      <c r="C211" s="8"/>
      <c r="D211" s="60"/>
      <c r="E211" s="60"/>
      <c r="F211" s="60"/>
      <c r="G211" s="6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60"/>
      <c r="B212" s="60"/>
      <c r="C212" s="8"/>
      <c r="D212" s="60"/>
      <c r="E212" s="60"/>
      <c r="F212" s="60"/>
      <c r="G212" s="6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60"/>
      <c r="B213" s="60"/>
      <c r="C213" s="8"/>
      <c r="D213" s="60"/>
      <c r="E213" s="60"/>
      <c r="F213" s="60"/>
      <c r="G213" s="6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60"/>
      <c r="B214" s="60"/>
      <c r="C214" s="8"/>
      <c r="D214" s="60"/>
      <c r="E214" s="60"/>
      <c r="F214" s="60"/>
      <c r="G214" s="6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60"/>
      <c r="B215" s="60"/>
      <c r="C215" s="8"/>
      <c r="D215" s="60"/>
      <c r="E215" s="60"/>
      <c r="F215" s="60"/>
      <c r="G215" s="6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60"/>
      <c r="B216" s="60"/>
      <c r="C216" s="8"/>
      <c r="D216" s="60"/>
      <c r="E216" s="60"/>
      <c r="F216" s="60"/>
      <c r="G216" s="6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60"/>
      <c r="B217" s="60"/>
      <c r="C217" s="8"/>
      <c r="D217" s="60"/>
      <c r="E217" s="60"/>
      <c r="F217" s="60"/>
      <c r="G217" s="6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60"/>
      <c r="B218" s="60"/>
      <c r="C218" s="8"/>
      <c r="D218" s="60"/>
      <c r="E218" s="60"/>
      <c r="F218" s="60"/>
      <c r="G218" s="6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60"/>
      <c r="B219" s="60"/>
      <c r="C219" s="8"/>
      <c r="D219" s="60"/>
      <c r="E219" s="60"/>
      <c r="F219" s="60"/>
      <c r="G219" s="6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60"/>
      <c r="B220" s="60"/>
      <c r="C220" s="8"/>
      <c r="D220" s="60"/>
      <c r="E220" s="60"/>
      <c r="F220" s="60"/>
      <c r="G220" s="6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60"/>
      <c r="B221" s="60"/>
      <c r="C221" s="8"/>
      <c r="D221" s="60"/>
      <c r="E221" s="60"/>
      <c r="F221" s="60"/>
      <c r="G221" s="6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60"/>
      <c r="B222" s="60"/>
      <c r="C222" s="8"/>
      <c r="D222" s="60"/>
      <c r="E222" s="60"/>
      <c r="F222" s="60"/>
      <c r="G222" s="6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60"/>
      <c r="B223" s="60"/>
      <c r="C223" s="8"/>
      <c r="D223" s="60"/>
      <c r="E223" s="60"/>
      <c r="F223" s="60"/>
      <c r="G223" s="6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60"/>
      <c r="B224" s="60"/>
      <c r="C224" s="8"/>
      <c r="D224" s="60"/>
      <c r="E224" s="60"/>
      <c r="F224" s="60"/>
      <c r="G224" s="6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60"/>
      <c r="B225" s="60"/>
      <c r="C225" s="8"/>
      <c r="D225" s="60"/>
      <c r="E225" s="60"/>
      <c r="F225" s="60"/>
      <c r="G225" s="6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60"/>
      <c r="B226" s="60"/>
      <c r="C226" s="8"/>
      <c r="D226" s="60"/>
      <c r="E226" s="60"/>
      <c r="F226" s="60"/>
      <c r="G226" s="6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60"/>
      <c r="B227" s="60"/>
      <c r="C227" s="8"/>
      <c r="D227" s="60"/>
      <c r="E227" s="60"/>
      <c r="F227" s="60"/>
      <c r="G227" s="6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60"/>
      <c r="B228" s="60"/>
      <c r="C228" s="8"/>
      <c r="D228" s="60"/>
      <c r="E228" s="60"/>
      <c r="F228" s="60"/>
      <c r="G228" s="6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60"/>
      <c r="B229" s="60"/>
      <c r="C229" s="8"/>
      <c r="D229" s="60"/>
      <c r="E229" s="60"/>
      <c r="F229" s="60"/>
      <c r="G229" s="6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60"/>
      <c r="B230" s="60"/>
      <c r="C230" s="8"/>
      <c r="D230" s="60"/>
      <c r="E230" s="60"/>
      <c r="F230" s="60"/>
      <c r="G230" s="6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60"/>
      <c r="B231" s="60"/>
      <c r="C231" s="8"/>
      <c r="D231" s="60"/>
      <c r="E231" s="60"/>
      <c r="F231" s="60"/>
      <c r="G231" s="6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60"/>
      <c r="B232" s="60"/>
      <c r="C232" s="8"/>
      <c r="D232" s="60"/>
      <c r="E232" s="60"/>
      <c r="F232" s="60"/>
      <c r="G232" s="6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60"/>
      <c r="B233" s="60"/>
      <c r="C233" s="8"/>
      <c r="D233" s="60"/>
      <c r="E233" s="60"/>
      <c r="F233" s="60"/>
      <c r="G233" s="6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60"/>
      <c r="B234" s="60"/>
      <c r="C234" s="8"/>
      <c r="D234" s="60"/>
      <c r="E234" s="60"/>
      <c r="F234" s="60"/>
      <c r="G234" s="6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60"/>
      <c r="B235" s="60"/>
      <c r="C235" s="8"/>
      <c r="D235" s="60"/>
      <c r="E235" s="60"/>
      <c r="F235" s="60"/>
      <c r="G235" s="6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60"/>
      <c r="B236" s="60"/>
      <c r="C236" s="8"/>
      <c r="D236" s="60"/>
      <c r="E236" s="60"/>
      <c r="F236" s="60"/>
      <c r="G236" s="6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60"/>
      <c r="B237" s="60"/>
      <c r="C237" s="8"/>
      <c r="D237" s="60"/>
      <c r="E237" s="60"/>
      <c r="F237" s="60"/>
      <c r="G237" s="6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60"/>
      <c r="B238" s="60"/>
      <c r="C238" s="8"/>
      <c r="D238" s="60"/>
      <c r="E238" s="60"/>
      <c r="F238" s="60"/>
      <c r="G238" s="6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60"/>
      <c r="B239" s="60"/>
      <c r="C239" s="8"/>
      <c r="D239" s="60"/>
      <c r="E239" s="60"/>
      <c r="F239" s="60"/>
      <c r="G239" s="6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60"/>
      <c r="B240" s="60"/>
      <c r="C240" s="8"/>
      <c r="D240" s="60"/>
      <c r="E240" s="60"/>
      <c r="F240" s="60"/>
      <c r="G240" s="6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60"/>
      <c r="B241" s="60"/>
      <c r="C241" s="8"/>
      <c r="D241" s="60"/>
      <c r="E241" s="60"/>
      <c r="F241" s="60"/>
      <c r="G241" s="6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60"/>
      <c r="B242" s="60"/>
      <c r="C242" s="8"/>
      <c r="D242" s="60"/>
      <c r="E242" s="60"/>
      <c r="F242" s="60"/>
      <c r="G242" s="6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60"/>
      <c r="B243" s="60"/>
      <c r="C243" s="8"/>
      <c r="D243" s="60"/>
      <c r="E243" s="60"/>
      <c r="F243" s="60"/>
      <c r="G243" s="6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60"/>
      <c r="B244" s="60"/>
      <c r="C244" s="8"/>
      <c r="D244" s="60"/>
      <c r="E244" s="60"/>
      <c r="F244" s="60"/>
      <c r="G244" s="6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60"/>
      <c r="B245" s="60"/>
      <c r="C245" s="8"/>
      <c r="D245" s="60"/>
      <c r="E245" s="60"/>
      <c r="F245" s="60"/>
      <c r="G245" s="6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60"/>
      <c r="B246" s="60"/>
      <c r="C246" s="8"/>
      <c r="D246" s="60"/>
      <c r="E246" s="60"/>
      <c r="F246" s="60"/>
      <c r="G246" s="6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60"/>
      <c r="B247" s="60"/>
      <c r="C247" s="8"/>
      <c r="D247" s="60"/>
      <c r="E247" s="60"/>
      <c r="F247" s="60"/>
      <c r="G247" s="6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60"/>
      <c r="B248" s="60"/>
      <c r="C248" s="8"/>
      <c r="D248" s="60"/>
      <c r="E248" s="60"/>
      <c r="F248" s="60"/>
      <c r="G248" s="6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60"/>
      <c r="B249" s="60"/>
      <c r="C249" s="8"/>
      <c r="D249" s="60"/>
      <c r="E249" s="60"/>
      <c r="F249" s="60"/>
      <c r="G249" s="6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60"/>
      <c r="B250" s="60"/>
      <c r="C250" s="8"/>
      <c r="D250" s="60"/>
      <c r="E250" s="60"/>
      <c r="F250" s="60"/>
      <c r="G250" s="6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60"/>
      <c r="B251" s="60"/>
      <c r="C251" s="8"/>
      <c r="D251" s="60"/>
      <c r="E251" s="60"/>
      <c r="F251" s="60"/>
      <c r="G251" s="6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60"/>
      <c r="B252" s="60"/>
      <c r="C252" s="8"/>
      <c r="D252" s="60"/>
      <c r="E252" s="60"/>
      <c r="F252" s="60"/>
      <c r="G252" s="6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60"/>
      <c r="B253" s="60"/>
      <c r="C253" s="8"/>
      <c r="D253" s="60"/>
      <c r="E253" s="60"/>
      <c r="F253" s="60"/>
      <c r="G253" s="6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60"/>
      <c r="B254" s="60"/>
      <c r="C254" s="8"/>
      <c r="D254" s="60"/>
      <c r="E254" s="60"/>
      <c r="F254" s="60"/>
      <c r="G254" s="6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60"/>
      <c r="B255" s="60"/>
      <c r="C255" s="8"/>
      <c r="D255" s="60"/>
      <c r="E255" s="60"/>
      <c r="F255" s="60"/>
      <c r="G255" s="6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60"/>
      <c r="B256" s="60"/>
      <c r="C256" s="8"/>
      <c r="D256" s="60"/>
      <c r="E256" s="60"/>
      <c r="F256" s="60"/>
      <c r="G256" s="6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60"/>
      <c r="B257" s="60"/>
      <c r="C257" s="8"/>
      <c r="D257" s="60"/>
      <c r="E257" s="60"/>
      <c r="F257" s="60"/>
      <c r="G257" s="6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60"/>
      <c r="B258" s="60"/>
      <c r="C258" s="8"/>
      <c r="D258" s="60"/>
      <c r="E258" s="60"/>
      <c r="F258" s="60"/>
      <c r="G258" s="6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60"/>
      <c r="B259" s="60"/>
      <c r="C259" s="8"/>
      <c r="D259" s="60"/>
      <c r="E259" s="60"/>
      <c r="F259" s="60"/>
      <c r="G259" s="6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60"/>
      <c r="B260" s="60"/>
      <c r="C260" s="8"/>
      <c r="D260" s="60"/>
      <c r="E260" s="60"/>
      <c r="F260" s="60"/>
      <c r="G260" s="6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60"/>
      <c r="B261" s="60"/>
      <c r="C261" s="8"/>
      <c r="D261" s="60"/>
      <c r="E261" s="60"/>
      <c r="F261" s="60"/>
      <c r="G261" s="6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60"/>
      <c r="B262" s="60"/>
      <c r="C262" s="8"/>
      <c r="D262" s="60"/>
      <c r="E262" s="60"/>
      <c r="F262" s="60"/>
      <c r="G262" s="6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60"/>
      <c r="B263" s="60"/>
      <c r="C263" s="8"/>
      <c r="D263" s="60"/>
      <c r="E263" s="60"/>
      <c r="F263" s="60"/>
      <c r="G263" s="6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60"/>
      <c r="B264" s="60"/>
      <c r="C264" s="8"/>
      <c r="D264" s="60"/>
      <c r="E264" s="60"/>
      <c r="F264" s="60"/>
      <c r="G264" s="6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60"/>
      <c r="B265" s="60"/>
      <c r="C265" s="8"/>
      <c r="D265" s="60"/>
      <c r="E265" s="60"/>
      <c r="F265" s="60"/>
      <c r="G265" s="6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60"/>
      <c r="B266" s="60"/>
      <c r="C266" s="8"/>
      <c r="D266" s="60"/>
      <c r="E266" s="60"/>
      <c r="F266" s="60"/>
      <c r="G266" s="6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60"/>
      <c r="B267" s="60"/>
      <c r="C267" s="8"/>
      <c r="D267" s="60"/>
      <c r="E267" s="60"/>
      <c r="F267" s="60"/>
      <c r="G267" s="6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60"/>
      <c r="B268" s="60"/>
      <c r="C268" s="8"/>
      <c r="D268" s="60"/>
      <c r="E268" s="60"/>
      <c r="F268" s="60"/>
      <c r="G268" s="6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60"/>
      <c r="B269" s="60"/>
      <c r="C269" s="8"/>
      <c r="D269" s="60"/>
      <c r="E269" s="60"/>
      <c r="F269" s="60"/>
      <c r="G269" s="6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60"/>
      <c r="B270" s="60"/>
      <c r="C270" s="8"/>
      <c r="D270" s="60"/>
      <c r="E270" s="60"/>
      <c r="F270" s="60"/>
      <c r="G270" s="6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60"/>
      <c r="B271" s="60"/>
      <c r="C271" s="8"/>
      <c r="D271" s="60"/>
      <c r="E271" s="60"/>
      <c r="F271" s="60"/>
      <c r="G271" s="6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60"/>
      <c r="B272" s="60"/>
      <c r="C272" s="8"/>
      <c r="D272" s="60"/>
      <c r="E272" s="60"/>
      <c r="F272" s="60"/>
      <c r="G272" s="6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60"/>
      <c r="B273" s="60"/>
      <c r="C273" s="8"/>
      <c r="D273" s="60"/>
      <c r="E273" s="60"/>
      <c r="F273" s="60"/>
      <c r="G273" s="6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60"/>
      <c r="B274" s="60"/>
      <c r="C274" s="8"/>
      <c r="D274" s="60"/>
      <c r="E274" s="60"/>
      <c r="F274" s="60"/>
      <c r="G274" s="6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60"/>
      <c r="B275" s="60"/>
      <c r="C275" s="8"/>
      <c r="D275" s="60"/>
      <c r="E275" s="60"/>
      <c r="F275" s="60"/>
      <c r="G275" s="6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60"/>
      <c r="B276" s="60"/>
      <c r="C276" s="8"/>
      <c r="D276" s="60"/>
      <c r="E276" s="60"/>
      <c r="F276" s="60"/>
      <c r="G276" s="6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60"/>
      <c r="B277" s="60"/>
      <c r="C277" s="8"/>
      <c r="D277" s="60"/>
      <c r="E277" s="60"/>
      <c r="F277" s="60"/>
      <c r="G277" s="6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60"/>
      <c r="B278" s="60"/>
      <c r="C278" s="8"/>
      <c r="D278" s="60"/>
      <c r="E278" s="60"/>
      <c r="F278" s="60"/>
      <c r="G278" s="6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60"/>
      <c r="B279" s="60"/>
      <c r="C279" s="8"/>
      <c r="D279" s="60"/>
      <c r="E279" s="60"/>
      <c r="F279" s="60"/>
      <c r="G279" s="6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60"/>
      <c r="B280" s="60"/>
      <c r="C280" s="8"/>
      <c r="D280" s="60"/>
      <c r="E280" s="60"/>
      <c r="F280" s="60"/>
      <c r="G280" s="6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60"/>
      <c r="B281" s="60"/>
      <c r="C281" s="8"/>
      <c r="D281" s="60"/>
      <c r="E281" s="60"/>
      <c r="F281" s="60"/>
      <c r="G281" s="6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60"/>
      <c r="B282" s="60"/>
      <c r="C282" s="8"/>
      <c r="D282" s="60"/>
      <c r="E282" s="60"/>
      <c r="F282" s="60"/>
      <c r="G282" s="6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60"/>
      <c r="B283" s="60"/>
      <c r="C283" s="8"/>
      <c r="D283" s="60"/>
      <c r="E283" s="60"/>
      <c r="F283" s="60"/>
      <c r="G283" s="6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60"/>
      <c r="B284" s="60"/>
      <c r="C284" s="8"/>
      <c r="D284" s="60"/>
      <c r="E284" s="60"/>
      <c r="F284" s="60"/>
      <c r="G284" s="6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60"/>
      <c r="B285" s="60"/>
      <c r="C285" s="8"/>
      <c r="D285" s="60"/>
      <c r="E285" s="60"/>
      <c r="F285" s="60"/>
      <c r="G285" s="6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60"/>
      <c r="B286" s="60"/>
      <c r="C286" s="8"/>
      <c r="D286" s="60"/>
      <c r="E286" s="60"/>
      <c r="F286" s="60"/>
      <c r="G286" s="6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60"/>
      <c r="B287" s="60"/>
      <c r="C287" s="8"/>
      <c r="D287" s="60"/>
      <c r="E287" s="60"/>
      <c r="F287" s="60"/>
      <c r="G287" s="6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60"/>
      <c r="B288" s="60"/>
      <c r="C288" s="8"/>
      <c r="D288" s="60"/>
      <c r="E288" s="60"/>
      <c r="F288" s="60"/>
      <c r="G288" s="6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60"/>
      <c r="B289" s="60"/>
      <c r="C289" s="8"/>
      <c r="D289" s="60"/>
      <c r="E289" s="60"/>
      <c r="F289" s="60"/>
      <c r="G289" s="6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60"/>
      <c r="B290" s="60"/>
      <c r="C290" s="8"/>
      <c r="D290" s="60"/>
      <c r="E290" s="60"/>
      <c r="F290" s="60"/>
      <c r="G290" s="6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60"/>
      <c r="B291" s="60"/>
      <c r="C291" s="8"/>
      <c r="D291" s="60"/>
      <c r="E291" s="60"/>
      <c r="F291" s="60"/>
      <c r="G291" s="6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60"/>
      <c r="B292" s="60"/>
      <c r="C292" s="8"/>
      <c r="D292" s="60"/>
      <c r="E292" s="60"/>
      <c r="F292" s="60"/>
      <c r="G292" s="6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60"/>
      <c r="B293" s="60"/>
      <c r="C293" s="8"/>
      <c r="D293" s="60"/>
      <c r="E293" s="60"/>
      <c r="F293" s="60"/>
      <c r="G293" s="6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60"/>
      <c r="B294" s="60"/>
      <c r="C294" s="8"/>
      <c r="D294" s="60"/>
      <c r="E294" s="60"/>
      <c r="F294" s="60"/>
      <c r="G294" s="6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60"/>
      <c r="B295" s="60"/>
      <c r="C295" s="8"/>
      <c r="D295" s="60"/>
      <c r="E295" s="60"/>
      <c r="F295" s="60"/>
      <c r="G295" s="6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60"/>
      <c r="B296" s="60"/>
      <c r="C296" s="8"/>
      <c r="D296" s="60"/>
      <c r="E296" s="60"/>
      <c r="F296" s="60"/>
      <c r="G296" s="6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60"/>
      <c r="B297" s="60"/>
      <c r="C297" s="8"/>
      <c r="D297" s="60"/>
      <c r="E297" s="60"/>
      <c r="F297" s="60"/>
      <c r="G297" s="6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60"/>
      <c r="B298" s="60"/>
      <c r="C298" s="8"/>
      <c r="D298" s="60"/>
      <c r="E298" s="60"/>
      <c r="F298" s="60"/>
      <c r="G298" s="6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60"/>
      <c r="B299" s="60"/>
      <c r="C299" s="8"/>
      <c r="D299" s="60"/>
      <c r="E299" s="60"/>
      <c r="F299" s="60"/>
      <c r="G299" s="6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60"/>
      <c r="B300" s="60"/>
      <c r="C300" s="8"/>
      <c r="D300" s="60"/>
      <c r="E300" s="60"/>
      <c r="F300" s="60"/>
      <c r="G300" s="6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60"/>
      <c r="B301" s="60"/>
      <c r="C301" s="8"/>
      <c r="D301" s="60"/>
      <c r="E301" s="60"/>
      <c r="F301" s="60"/>
      <c r="G301" s="6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60"/>
      <c r="B302" s="60"/>
      <c r="C302" s="8"/>
      <c r="D302" s="60"/>
      <c r="E302" s="60"/>
      <c r="F302" s="60"/>
      <c r="G302" s="6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60"/>
      <c r="B303" s="60"/>
      <c r="C303" s="8"/>
      <c r="D303" s="60"/>
      <c r="E303" s="60"/>
      <c r="F303" s="60"/>
      <c r="G303" s="6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60"/>
      <c r="B304" s="60"/>
      <c r="C304" s="8"/>
      <c r="D304" s="60"/>
      <c r="E304" s="60"/>
      <c r="F304" s="60"/>
      <c r="G304" s="6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60"/>
      <c r="B305" s="60"/>
      <c r="C305" s="8"/>
      <c r="D305" s="60"/>
      <c r="E305" s="60"/>
      <c r="F305" s="60"/>
      <c r="G305" s="6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60"/>
      <c r="B306" s="60"/>
      <c r="C306" s="8"/>
      <c r="D306" s="60"/>
      <c r="E306" s="60"/>
      <c r="F306" s="60"/>
      <c r="G306" s="6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60"/>
      <c r="B307" s="60"/>
      <c r="C307" s="8"/>
      <c r="D307" s="60"/>
      <c r="E307" s="60"/>
      <c r="F307" s="60"/>
      <c r="G307" s="6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60"/>
      <c r="B308" s="60"/>
      <c r="C308" s="8"/>
      <c r="D308" s="60"/>
      <c r="E308" s="60"/>
      <c r="F308" s="60"/>
      <c r="G308" s="6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60"/>
      <c r="B309" s="60"/>
      <c r="C309" s="8"/>
      <c r="D309" s="60"/>
      <c r="E309" s="60"/>
      <c r="F309" s="60"/>
      <c r="G309" s="6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60"/>
      <c r="B310" s="60"/>
      <c r="C310" s="8"/>
      <c r="D310" s="60"/>
      <c r="E310" s="60"/>
      <c r="F310" s="60"/>
      <c r="G310" s="6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60"/>
      <c r="B311" s="60"/>
      <c r="C311" s="8"/>
      <c r="D311" s="60"/>
      <c r="E311" s="60"/>
      <c r="F311" s="60"/>
      <c r="G311" s="6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60"/>
      <c r="B312" s="60"/>
      <c r="C312" s="8"/>
      <c r="D312" s="60"/>
      <c r="E312" s="60"/>
      <c r="F312" s="60"/>
      <c r="G312" s="6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60"/>
      <c r="B313" s="60"/>
      <c r="C313" s="8"/>
      <c r="D313" s="60"/>
      <c r="E313" s="60"/>
      <c r="F313" s="60"/>
      <c r="G313" s="6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60"/>
      <c r="B314" s="60"/>
      <c r="C314" s="8"/>
      <c r="D314" s="60"/>
      <c r="E314" s="60"/>
      <c r="F314" s="60"/>
      <c r="G314" s="6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60"/>
      <c r="B315" s="60"/>
      <c r="C315" s="8"/>
      <c r="D315" s="60"/>
      <c r="E315" s="60"/>
      <c r="F315" s="60"/>
      <c r="G315" s="6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60"/>
      <c r="B316" s="60"/>
      <c r="C316" s="8"/>
      <c r="D316" s="60"/>
      <c r="E316" s="60"/>
      <c r="F316" s="60"/>
      <c r="G316" s="6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60"/>
      <c r="B317" s="60"/>
      <c r="C317" s="8"/>
      <c r="D317" s="60"/>
      <c r="E317" s="60"/>
      <c r="F317" s="60"/>
      <c r="G317" s="6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60"/>
      <c r="B318" s="60"/>
      <c r="C318" s="8"/>
      <c r="D318" s="60"/>
      <c r="E318" s="60"/>
      <c r="F318" s="60"/>
      <c r="G318" s="6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60"/>
      <c r="B319" s="60"/>
      <c r="C319" s="8"/>
      <c r="D319" s="60"/>
      <c r="E319" s="60"/>
      <c r="F319" s="60"/>
      <c r="G319" s="6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60"/>
      <c r="B320" s="60"/>
      <c r="C320" s="8"/>
      <c r="D320" s="60"/>
      <c r="E320" s="60"/>
      <c r="F320" s="60"/>
      <c r="G320" s="6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60"/>
      <c r="B321" s="60"/>
      <c r="C321" s="8"/>
      <c r="D321" s="60"/>
      <c r="E321" s="60"/>
      <c r="F321" s="60"/>
      <c r="G321" s="6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60"/>
      <c r="B322" s="60"/>
      <c r="C322" s="8"/>
      <c r="D322" s="60"/>
      <c r="E322" s="60"/>
      <c r="F322" s="60"/>
      <c r="G322" s="6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60"/>
      <c r="B323" s="60"/>
      <c r="C323" s="8"/>
      <c r="D323" s="60"/>
      <c r="E323" s="60"/>
      <c r="F323" s="60"/>
      <c r="G323" s="6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60"/>
      <c r="B324" s="60"/>
      <c r="C324" s="8"/>
      <c r="D324" s="60"/>
      <c r="E324" s="60"/>
      <c r="F324" s="60"/>
      <c r="G324" s="6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60"/>
      <c r="B325" s="60"/>
      <c r="C325" s="8"/>
      <c r="D325" s="60"/>
      <c r="E325" s="60"/>
      <c r="F325" s="60"/>
      <c r="G325" s="6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60"/>
      <c r="B326" s="60"/>
      <c r="C326" s="8"/>
      <c r="D326" s="60"/>
      <c r="E326" s="60"/>
      <c r="F326" s="60"/>
      <c r="G326" s="6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60"/>
      <c r="B327" s="60"/>
      <c r="C327" s="8"/>
      <c r="D327" s="60"/>
      <c r="E327" s="60"/>
      <c r="F327" s="60"/>
      <c r="G327" s="6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60"/>
      <c r="B328" s="60"/>
      <c r="C328" s="8"/>
      <c r="D328" s="60"/>
      <c r="E328" s="60"/>
      <c r="F328" s="60"/>
      <c r="G328" s="6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60"/>
      <c r="B329" s="60"/>
      <c r="C329" s="8"/>
      <c r="D329" s="60"/>
      <c r="E329" s="60"/>
      <c r="F329" s="60"/>
      <c r="G329" s="6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60"/>
      <c r="B330" s="60"/>
      <c r="C330" s="8"/>
      <c r="D330" s="60"/>
      <c r="E330" s="60"/>
      <c r="F330" s="60"/>
      <c r="G330" s="6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60"/>
      <c r="B331" s="60"/>
      <c r="C331" s="8"/>
      <c r="D331" s="60"/>
      <c r="E331" s="60"/>
      <c r="F331" s="60"/>
      <c r="G331" s="6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60"/>
      <c r="B332" s="60"/>
      <c r="C332" s="8"/>
      <c r="D332" s="60"/>
      <c r="E332" s="60"/>
      <c r="F332" s="60"/>
      <c r="G332" s="6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60"/>
      <c r="B333" s="60"/>
      <c r="C333" s="8"/>
      <c r="D333" s="60"/>
      <c r="E333" s="60"/>
      <c r="F333" s="60"/>
      <c r="G333" s="6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60"/>
      <c r="B334" s="60"/>
      <c r="C334" s="8"/>
      <c r="D334" s="60"/>
      <c r="E334" s="60"/>
      <c r="F334" s="60"/>
      <c r="G334" s="6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60"/>
      <c r="B335" s="60"/>
      <c r="C335" s="8"/>
      <c r="D335" s="60"/>
      <c r="E335" s="60"/>
      <c r="F335" s="60"/>
      <c r="G335" s="6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60"/>
      <c r="B336" s="60"/>
      <c r="C336" s="8"/>
      <c r="D336" s="60"/>
      <c r="E336" s="60"/>
      <c r="F336" s="60"/>
      <c r="G336" s="6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60"/>
      <c r="B337" s="60"/>
      <c r="C337" s="8"/>
      <c r="D337" s="60"/>
      <c r="E337" s="60"/>
      <c r="F337" s="60"/>
      <c r="G337" s="6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60"/>
      <c r="B338" s="60"/>
      <c r="C338" s="8"/>
      <c r="D338" s="60"/>
      <c r="E338" s="60"/>
      <c r="F338" s="60"/>
      <c r="G338" s="6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60"/>
      <c r="B339" s="60"/>
      <c r="C339" s="8"/>
      <c r="D339" s="60"/>
      <c r="E339" s="60"/>
      <c r="F339" s="60"/>
      <c r="G339" s="6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60"/>
      <c r="B340" s="60"/>
      <c r="C340" s="8"/>
      <c r="D340" s="60"/>
      <c r="E340" s="60"/>
      <c r="F340" s="60"/>
      <c r="G340" s="6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60"/>
      <c r="B341" s="60"/>
      <c r="C341" s="8"/>
      <c r="D341" s="60"/>
      <c r="E341" s="60"/>
      <c r="F341" s="60"/>
      <c r="G341" s="6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60"/>
      <c r="B342" s="60"/>
      <c r="C342" s="8"/>
      <c r="D342" s="60"/>
      <c r="E342" s="60"/>
      <c r="F342" s="60"/>
      <c r="G342" s="6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60"/>
      <c r="B343" s="60"/>
      <c r="C343" s="8"/>
      <c r="D343" s="60"/>
      <c r="E343" s="60"/>
      <c r="F343" s="60"/>
      <c r="G343" s="6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60"/>
      <c r="B344" s="60"/>
      <c r="C344" s="8"/>
      <c r="D344" s="60"/>
      <c r="E344" s="60"/>
      <c r="F344" s="60"/>
      <c r="G344" s="6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60"/>
      <c r="B345" s="60"/>
      <c r="C345" s="8"/>
      <c r="D345" s="60"/>
      <c r="E345" s="60"/>
      <c r="F345" s="60"/>
      <c r="G345" s="6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60"/>
      <c r="B346" s="60"/>
      <c r="C346" s="8"/>
      <c r="D346" s="60"/>
      <c r="E346" s="60"/>
      <c r="F346" s="60"/>
      <c r="G346" s="6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60"/>
      <c r="B347" s="60"/>
      <c r="C347" s="8"/>
      <c r="D347" s="60"/>
      <c r="E347" s="60"/>
      <c r="F347" s="60"/>
      <c r="G347" s="6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60"/>
      <c r="B348" s="60"/>
      <c r="C348" s="8"/>
      <c r="D348" s="60"/>
      <c r="E348" s="60"/>
      <c r="F348" s="60"/>
      <c r="G348" s="6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60"/>
      <c r="B349" s="60"/>
      <c r="C349" s="8"/>
      <c r="D349" s="60"/>
      <c r="E349" s="60"/>
      <c r="F349" s="60"/>
      <c r="G349" s="6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60"/>
      <c r="B350" s="60"/>
      <c r="C350" s="8"/>
      <c r="D350" s="60"/>
      <c r="E350" s="60"/>
      <c r="F350" s="60"/>
      <c r="G350" s="6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60"/>
      <c r="B351" s="60"/>
      <c r="C351" s="8"/>
      <c r="D351" s="60"/>
      <c r="E351" s="60"/>
      <c r="F351" s="60"/>
      <c r="G351" s="6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60"/>
      <c r="B352" s="60"/>
      <c r="C352" s="8"/>
      <c r="D352" s="60"/>
      <c r="E352" s="60"/>
      <c r="F352" s="60"/>
      <c r="G352" s="6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60"/>
      <c r="B353" s="60"/>
      <c r="C353" s="8"/>
      <c r="D353" s="60"/>
      <c r="E353" s="60"/>
      <c r="F353" s="60"/>
      <c r="G353" s="6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60"/>
      <c r="B354" s="60"/>
      <c r="C354" s="8"/>
      <c r="D354" s="60"/>
      <c r="E354" s="60"/>
      <c r="F354" s="60"/>
      <c r="G354" s="6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60"/>
      <c r="B355" s="60"/>
      <c r="C355" s="8"/>
      <c r="D355" s="60"/>
      <c r="E355" s="60"/>
      <c r="F355" s="60"/>
      <c r="G355" s="6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60"/>
      <c r="B356" s="60"/>
      <c r="C356" s="8"/>
      <c r="D356" s="60"/>
      <c r="E356" s="60"/>
      <c r="F356" s="60"/>
      <c r="G356" s="6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60"/>
      <c r="B357" s="60"/>
      <c r="C357" s="8"/>
      <c r="D357" s="60"/>
      <c r="E357" s="60"/>
      <c r="F357" s="60"/>
      <c r="G357" s="6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60"/>
      <c r="B358" s="60"/>
      <c r="C358" s="8"/>
      <c r="D358" s="60"/>
      <c r="E358" s="60"/>
      <c r="F358" s="60"/>
      <c r="G358" s="6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60"/>
      <c r="B359" s="60"/>
      <c r="C359" s="8"/>
      <c r="D359" s="60"/>
      <c r="E359" s="60"/>
      <c r="F359" s="60"/>
      <c r="G359" s="6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60"/>
      <c r="B360" s="60"/>
      <c r="C360" s="8"/>
      <c r="D360" s="60"/>
      <c r="E360" s="60"/>
      <c r="F360" s="60"/>
      <c r="G360" s="6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60"/>
      <c r="B361" s="60"/>
      <c r="C361" s="8"/>
      <c r="D361" s="60"/>
      <c r="E361" s="60"/>
      <c r="F361" s="60"/>
      <c r="G361" s="6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60"/>
      <c r="B362" s="60"/>
      <c r="C362" s="8"/>
      <c r="D362" s="60"/>
      <c r="E362" s="60"/>
      <c r="F362" s="60"/>
      <c r="G362" s="6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60"/>
      <c r="B363" s="60"/>
      <c r="C363" s="8"/>
      <c r="D363" s="60"/>
      <c r="E363" s="60"/>
      <c r="F363" s="60"/>
      <c r="G363" s="6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60"/>
      <c r="B364" s="60"/>
      <c r="C364" s="8"/>
      <c r="D364" s="60"/>
      <c r="E364" s="60"/>
      <c r="F364" s="60"/>
      <c r="G364" s="6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60"/>
      <c r="B365" s="60"/>
      <c r="C365" s="8"/>
      <c r="D365" s="60"/>
      <c r="E365" s="60"/>
      <c r="F365" s="60"/>
      <c r="G365" s="6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60"/>
      <c r="B366" s="60"/>
      <c r="C366" s="8"/>
      <c r="D366" s="60"/>
      <c r="E366" s="60"/>
      <c r="F366" s="60"/>
      <c r="G366" s="6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60"/>
      <c r="B367" s="60"/>
      <c r="C367" s="8"/>
      <c r="D367" s="60"/>
      <c r="E367" s="60"/>
      <c r="F367" s="60"/>
      <c r="G367" s="6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60"/>
      <c r="B368" s="60"/>
      <c r="C368" s="8"/>
      <c r="D368" s="60"/>
      <c r="E368" s="60"/>
      <c r="F368" s="60"/>
      <c r="G368" s="6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60"/>
      <c r="B369" s="60"/>
      <c r="C369" s="8"/>
      <c r="D369" s="60"/>
      <c r="E369" s="60"/>
      <c r="F369" s="60"/>
      <c r="G369" s="6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60"/>
      <c r="B370" s="60"/>
      <c r="C370" s="8"/>
      <c r="D370" s="60"/>
      <c r="E370" s="60"/>
      <c r="F370" s="60"/>
      <c r="G370" s="6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60"/>
      <c r="B371" s="60"/>
      <c r="C371" s="8"/>
      <c r="D371" s="60"/>
      <c r="E371" s="60"/>
      <c r="F371" s="60"/>
      <c r="G371" s="6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60"/>
      <c r="B372" s="60"/>
      <c r="C372" s="8"/>
      <c r="D372" s="60"/>
      <c r="E372" s="60"/>
      <c r="F372" s="60"/>
      <c r="G372" s="6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60"/>
      <c r="B373" s="60"/>
      <c r="C373" s="8"/>
      <c r="D373" s="60"/>
      <c r="E373" s="60"/>
      <c r="F373" s="60"/>
      <c r="G373" s="6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60"/>
      <c r="B374" s="60"/>
      <c r="C374" s="8"/>
      <c r="D374" s="60"/>
      <c r="E374" s="60"/>
      <c r="F374" s="60"/>
      <c r="G374" s="6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60"/>
      <c r="B375" s="60"/>
      <c r="C375" s="8"/>
      <c r="D375" s="60"/>
      <c r="E375" s="60"/>
      <c r="F375" s="60"/>
      <c r="G375" s="6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60"/>
      <c r="B376" s="60"/>
      <c r="C376" s="8"/>
      <c r="D376" s="60"/>
      <c r="E376" s="60"/>
      <c r="F376" s="60"/>
      <c r="G376" s="6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60"/>
      <c r="B377" s="60"/>
      <c r="C377" s="8"/>
      <c r="D377" s="60"/>
      <c r="E377" s="60"/>
      <c r="F377" s="60"/>
      <c r="G377" s="6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60"/>
      <c r="B378" s="60"/>
      <c r="C378" s="8"/>
      <c r="D378" s="60"/>
      <c r="E378" s="60"/>
      <c r="F378" s="60"/>
      <c r="G378" s="6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60"/>
      <c r="B379" s="60"/>
      <c r="C379" s="8"/>
      <c r="D379" s="60"/>
      <c r="E379" s="60"/>
      <c r="F379" s="60"/>
      <c r="G379" s="6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60"/>
      <c r="B380" s="60"/>
      <c r="C380" s="8"/>
      <c r="D380" s="60"/>
      <c r="E380" s="60"/>
      <c r="F380" s="60"/>
      <c r="G380" s="6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60"/>
      <c r="B381" s="60"/>
      <c r="C381" s="8"/>
      <c r="D381" s="60"/>
      <c r="E381" s="60"/>
      <c r="F381" s="60"/>
      <c r="G381" s="6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60"/>
      <c r="B382" s="60"/>
      <c r="C382" s="8"/>
      <c r="D382" s="60"/>
      <c r="E382" s="60"/>
      <c r="F382" s="60"/>
      <c r="G382" s="6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60"/>
      <c r="B383" s="60"/>
      <c r="C383" s="8"/>
      <c r="D383" s="60"/>
      <c r="E383" s="60"/>
      <c r="F383" s="60"/>
      <c r="G383" s="6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60"/>
      <c r="B384" s="60"/>
      <c r="C384" s="8"/>
      <c r="D384" s="60"/>
      <c r="E384" s="60"/>
      <c r="F384" s="60"/>
      <c r="G384" s="6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60"/>
      <c r="B385" s="60"/>
      <c r="C385" s="8"/>
      <c r="D385" s="60"/>
      <c r="E385" s="60"/>
      <c r="F385" s="60"/>
      <c r="G385" s="6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60"/>
      <c r="B386" s="60"/>
      <c r="C386" s="8"/>
      <c r="D386" s="60"/>
      <c r="E386" s="60"/>
      <c r="F386" s="60"/>
      <c r="G386" s="6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60"/>
      <c r="B387" s="60"/>
      <c r="C387" s="8"/>
      <c r="D387" s="60"/>
      <c r="E387" s="60"/>
      <c r="F387" s="60"/>
      <c r="G387" s="6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60"/>
      <c r="B388" s="60"/>
      <c r="C388" s="8"/>
      <c r="D388" s="60"/>
      <c r="E388" s="60"/>
      <c r="F388" s="60"/>
      <c r="G388" s="6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60"/>
      <c r="B389" s="60"/>
      <c r="C389" s="8"/>
      <c r="D389" s="60"/>
      <c r="E389" s="60"/>
      <c r="F389" s="60"/>
      <c r="G389" s="6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60"/>
      <c r="B390" s="60"/>
      <c r="C390" s="8"/>
      <c r="D390" s="60"/>
      <c r="E390" s="60"/>
      <c r="F390" s="60"/>
      <c r="G390" s="6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60"/>
      <c r="B391" s="60"/>
      <c r="C391" s="8"/>
      <c r="D391" s="60"/>
      <c r="E391" s="60"/>
      <c r="F391" s="60"/>
      <c r="G391" s="6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60"/>
      <c r="B392" s="60"/>
      <c r="C392" s="8"/>
      <c r="D392" s="60"/>
      <c r="E392" s="60"/>
      <c r="F392" s="60"/>
      <c r="G392" s="6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60"/>
      <c r="B393" s="60"/>
      <c r="C393" s="8"/>
      <c r="D393" s="60"/>
      <c r="E393" s="60"/>
      <c r="F393" s="60"/>
      <c r="G393" s="6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60"/>
      <c r="B394" s="60"/>
      <c r="C394" s="8"/>
      <c r="D394" s="60"/>
      <c r="E394" s="60"/>
      <c r="F394" s="60"/>
      <c r="G394" s="6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60"/>
      <c r="B395" s="60"/>
      <c r="C395" s="8"/>
      <c r="D395" s="60"/>
      <c r="E395" s="60"/>
      <c r="F395" s="60"/>
      <c r="G395" s="6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60"/>
      <c r="B396" s="60"/>
      <c r="C396" s="8"/>
      <c r="D396" s="60"/>
      <c r="E396" s="60"/>
      <c r="F396" s="60"/>
      <c r="G396" s="6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60"/>
      <c r="B397" s="60"/>
      <c r="C397" s="8"/>
      <c r="D397" s="60"/>
      <c r="E397" s="60"/>
      <c r="F397" s="60"/>
      <c r="G397" s="6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60"/>
      <c r="B398" s="60"/>
      <c r="C398" s="8"/>
      <c r="D398" s="60"/>
      <c r="E398" s="60"/>
      <c r="F398" s="60"/>
      <c r="G398" s="6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60"/>
      <c r="B399" s="60"/>
      <c r="C399" s="8"/>
      <c r="D399" s="60"/>
      <c r="E399" s="60"/>
      <c r="F399" s="60"/>
      <c r="G399" s="6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60"/>
      <c r="B400" s="60"/>
      <c r="C400" s="8"/>
      <c r="D400" s="60"/>
      <c r="E400" s="60"/>
      <c r="F400" s="60"/>
      <c r="G400" s="6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60"/>
      <c r="B401" s="60"/>
      <c r="C401" s="8"/>
      <c r="D401" s="60"/>
      <c r="E401" s="60"/>
      <c r="F401" s="60"/>
      <c r="G401" s="6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60"/>
      <c r="B402" s="60"/>
      <c r="C402" s="8"/>
      <c r="D402" s="60"/>
      <c r="E402" s="60"/>
      <c r="F402" s="60"/>
      <c r="G402" s="6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60"/>
      <c r="B403" s="60"/>
      <c r="C403" s="8"/>
      <c r="D403" s="60"/>
      <c r="E403" s="60"/>
      <c r="F403" s="60"/>
      <c r="G403" s="6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60"/>
      <c r="B404" s="60"/>
      <c r="C404" s="8"/>
      <c r="D404" s="60"/>
      <c r="E404" s="60"/>
      <c r="F404" s="60"/>
      <c r="G404" s="6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60"/>
      <c r="B405" s="60"/>
      <c r="C405" s="8"/>
      <c r="D405" s="60"/>
      <c r="E405" s="60"/>
      <c r="F405" s="60"/>
      <c r="G405" s="6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60"/>
      <c r="B406" s="60"/>
      <c r="C406" s="8"/>
      <c r="D406" s="60"/>
      <c r="E406" s="60"/>
      <c r="F406" s="60"/>
      <c r="G406" s="6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60"/>
      <c r="B407" s="60"/>
      <c r="C407" s="8"/>
      <c r="D407" s="60"/>
      <c r="E407" s="60"/>
      <c r="F407" s="60"/>
      <c r="G407" s="6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60"/>
      <c r="B408" s="60"/>
      <c r="C408" s="8"/>
      <c r="D408" s="60"/>
      <c r="E408" s="60"/>
      <c r="F408" s="60"/>
      <c r="G408" s="6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60"/>
      <c r="B409" s="60"/>
      <c r="C409" s="8"/>
      <c r="D409" s="60"/>
      <c r="E409" s="60"/>
      <c r="F409" s="60"/>
      <c r="G409" s="6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60"/>
      <c r="B410" s="60"/>
      <c r="C410" s="8"/>
      <c r="D410" s="60"/>
      <c r="E410" s="60"/>
      <c r="F410" s="60"/>
      <c r="G410" s="6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60"/>
      <c r="B411" s="60"/>
      <c r="C411" s="8"/>
      <c r="D411" s="60"/>
      <c r="E411" s="60"/>
      <c r="F411" s="60"/>
      <c r="G411" s="6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60"/>
      <c r="B412" s="60"/>
      <c r="C412" s="8"/>
      <c r="D412" s="60"/>
      <c r="E412" s="60"/>
      <c r="F412" s="60"/>
      <c r="G412" s="6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60"/>
      <c r="B413" s="60"/>
      <c r="C413" s="8"/>
      <c r="D413" s="60"/>
      <c r="E413" s="60"/>
      <c r="F413" s="60"/>
      <c r="G413" s="6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60"/>
      <c r="B414" s="60"/>
      <c r="C414" s="8"/>
      <c r="D414" s="60"/>
      <c r="E414" s="60"/>
      <c r="F414" s="60"/>
      <c r="G414" s="6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60"/>
      <c r="B415" s="60"/>
      <c r="C415" s="8"/>
      <c r="D415" s="60"/>
      <c r="E415" s="60"/>
      <c r="F415" s="60"/>
      <c r="G415" s="6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60"/>
      <c r="B416" s="60"/>
      <c r="C416" s="8"/>
      <c r="D416" s="60"/>
      <c r="E416" s="60"/>
      <c r="F416" s="60"/>
      <c r="G416" s="6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60"/>
      <c r="B417" s="60"/>
      <c r="C417" s="8"/>
      <c r="D417" s="60"/>
      <c r="E417" s="60"/>
      <c r="F417" s="60"/>
      <c r="G417" s="6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60"/>
      <c r="B418" s="60"/>
      <c r="C418" s="8"/>
      <c r="D418" s="60"/>
      <c r="E418" s="60"/>
      <c r="F418" s="60"/>
      <c r="G418" s="6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60"/>
      <c r="B419" s="60"/>
      <c r="C419" s="8"/>
      <c r="D419" s="60"/>
      <c r="E419" s="60"/>
      <c r="F419" s="60"/>
      <c r="G419" s="6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60"/>
      <c r="B420" s="60"/>
      <c r="C420" s="8"/>
      <c r="D420" s="60"/>
      <c r="E420" s="60"/>
      <c r="F420" s="60"/>
      <c r="G420" s="6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60"/>
      <c r="B421" s="60"/>
      <c r="C421" s="8"/>
      <c r="D421" s="60"/>
      <c r="E421" s="60"/>
      <c r="F421" s="60"/>
      <c r="G421" s="6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60"/>
      <c r="B422" s="60"/>
      <c r="C422" s="8"/>
      <c r="D422" s="60"/>
      <c r="E422" s="60"/>
      <c r="F422" s="60"/>
      <c r="G422" s="6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60"/>
      <c r="B423" s="60"/>
      <c r="C423" s="8"/>
      <c r="D423" s="60"/>
      <c r="E423" s="60"/>
      <c r="F423" s="60"/>
      <c r="G423" s="6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60"/>
      <c r="B424" s="60"/>
      <c r="C424" s="8"/>
      <c r="D424" s="60"/>
      <c r="E424" s="60"/>
      <c r="F424" s="60"/>
      <c r="G424" s="6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60"/>
      <c r="B425" s="60"/>
      <c r="C425" s="8"/>
      <c r="D425" s="60"/>
      <c r="E425" s="60"/>
      <c r="F425" s="60"/>
      <c r="G425" s="6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60"/>
      <c r="B426" s="60"/>
      <c r="C426" s="8"/>
      <c r="D426" s="60"/>
      <c r="E426" s="60"/>
      <c r="F426" s="60"/>
      <c r="G426" s="6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60"/>
      <c r="B427" s="60"/>
      <c r="C427" s="8"/>
      <c r="D427" s="60"/>
      <c r="E427" s="60"/>
      <c r="F427" s="60"/>
      <c r="G427" s="6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60"/>
      <c r="B428" s="60"/>
      <c r="C428" s="8"/>
      <c r="D428" s="60"/>
      <c r="E428" s="60"/>
      <c r="F428" s="60"/>
      <c r="G428" s="6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60"/>
      <c r="B429" s="60"/>
      <c r="C429" s="8"/>
      <c r="D429" s="60"/>
      <c r="E429" s="60"/>
      <c r="F429" s="60"/>
      <c r="G429" s="6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60"/>
      <c r="B430" s="60"/>
      <c r="C430" s="8"/>
      <c r="D430" s="60"/>
      <c r="E430" s="60"/>
      <c r="F430" s="60"/>
      <c r="G430" s="6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60"/>
      <c r="B431" s="60"/>
      <c r="C431" s="8"/>
      <c r="D431" s="60"/>
      <c r="E431" s="60"/>
      <c r="F431" s="60"/>
      <c r="G431" s="6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60"/>
      <c r="B432" s="60"/>
      <c r="C432" s="8"/>
      <c r="D432" s="60"/>
      <c r="E432" s="60"/>
      <c r="F432" s="60"/>
      <c r="G432" s="6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60"/>
      <c r="B433" s="60"/>
      <c r="C433" s="8"/>
      <c r="D433" s="60"/>
      <c r="E433" s="60"/>
      <c r="F433" s="60"/>
      <c r="G433" s="6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60"/>
      <c r="B434" s="60"/>
      <c r="C434" s="8"/>
      <c r="D434" s="60"/>
      <c r="E434" s="60"/>
      <c r="F434" s="60"/>
      <c r="G434" s="6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60"/>
      <c r="B435" s="60"/>
      <c r="C435" s="8"/>
      <c r="D435" s="60"/>
      <c r="E435" s="60"/>
      <c r="F435" s="60"/>
      <c r="G435" s="6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60"/>
      <c r="B436" s="60"/>
      <c r="C436" s="8"/>
      <c r="D436" s="60"/>
      <c r="E436" s="60"/>
      <c r="F436" s="60"/>
      <c r="G436" s="6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60"/>
      <c r="B437" s="60"/>
      <c r="C437" s="8"/>
      <c r="D437" s="60"/>
      <c r="E437" s="60"/>
      <c r="F437" s="60"/>
      <c r="G437" s="6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60"/>
      <c r="B438" s="60"/>
      <c r="C438" s="8"/>
      <c r="D438" s="60"/>
      <c r="E438" s="60"/>
      <c r="F438" s="60"/>
      <c r="G438" s="6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60"/>
      <c r="B439" s="60"/>
      <c r="C439" s="8"/>
      <c r="D439" s="60"/>
      <c r="E439" s="60"/>
      <c r="F439" s="60"/>
      <c r="G439" s="6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60"/>
      <c r="B440" s="60"/>
      <c r="C440" s="8"/>
      <c r="D440" s="60"/>
      <c r="E440" s="60"/>
      <c r="F440" s="60"/>
      <c r="G440" s="6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60"/>
      <c r="B441" s="60"/>
      <c r="C441" s="8"/>
      <c r="D441" s="60"/>
      <c r="E441" s="60"/>
      <c r="F441" s="60"/>
      <c r="G441" s="6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60"/>
      <c r="B442" s="60"/>
      <c r="C442" s="8"/>
      <c r="D442" s="60"/>
      <c r="E442" s="60"/>
      <c r="F442" s="60"/>
      <c r="G442" s="6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60"/>
      <c r="B443" s="60"/>
      <c r="C443" s="8"/>
      <c r="D443" s="60"/>
      <c r="E443" s="60"/>
      <c r="F443" s="60"/>
      <c r="G443" s="6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60"/>
      <c r="B444" s="60"/>
      <c r="C444" s="8"/>
      <c r="D444" s="60"/>
      <c r="E444" s="60"/>
      <c r="F444" s="60"/>
      <c r="G444" s="6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60"/>
      <c r="B445" s="60"/>
      <c r="C445" s="8"/>
      <c r="D445" s="60"/>
      <c r="E445" s="60"/>
      <c r="F445" s="60"/>
      <c r="G445" s="6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60"/>
      <c r="B446" s="60"/>
      <c r="C446" s="8"/>
      <c r="D446" s="60"/>
      <c r="E446" s="60"/>
      <c r="F446" s="60"/>
      <c r="G446" s="6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60"/>
      <c r="B447" s="60"/>
      <c r="C447" s="8"/>
      <c r="D447" s="60"/>
      <c r="E447" s="60"/>
      <c r="F447" s="60"/>
      <c r="G447" s="6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60"/>
      <c r="B448" s="60"/>
      <c r="C448" s="8"/>
      <c r="D448" s="60"/>
      <c r="E448" s="60"/>
      <c r="F448" s="60"/>
      <c r="G448" s="6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60"/>
      <c r="B449" s="60"/>
      <c r="C449" s="8"/>
      <c r="D449" s="60"/>
      <c r="E449" s="60"/>
      <c r="F449" s="60"/>
      <c r="G449" s="6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60"/>
      <c r="B450" s="60"/>
      <c r="C450" s="8"/>
      <c r="D450" s="60"/>
      <c r="E450" s="60"/>
      <c r="F450" s="60"/>
      <c r="G450" s="6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60"/>
      <c r="B451" s="60"/>
      <c r="C451" s="8"/>
      <c r="D451" s="60"/>
      <c r="E451" s="60"/>
      <c r="F451" s="60"/>
      <c r="G451" s="6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60"/>
      <c r="B452" s="60"/>
      <c r="C452" s="8"/>
      <c r="D452" s="60"/>
      <c r="E452" s="60"/>
      <c r="F452" s="60"/>
      <c r="G452" s="6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60"/>
      <c r="B453" s="60"/>
      <c r="C453" s="8"/>
      <c r="D453" s="60"/>
      <c r="E453" s="60"/>
      <c r="F453" s="60"/>
      <c r="G453" s="6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60"/>
      <c r="B454" s="60"/>
      <c r="C454" s="8"/>
      <c r="D454" s="60"/>
      <c r="E454" s="60"/>
      <c r="F454" s="60"/>
      <c r="G454" s="6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60"/>
      <c r="B455" s="60"/>
      <c r="C455" s="8"/>
      <c r="D455" s="60"/>
      <c r="E455" s="60"/>
      <c r="F455" s="60"/>
      <c r="G455" s="6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60"/>
      <c r="B456" s="60"/>
      <c r="C456" s="8"/>
      <c r="D456" s="60"/>
      <c r="E456" s="60"/>
      <c r="F456" s="60"/>
      <c r="G456" s="6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60"/>
      <c r="B457" s="60"/>
      <c r="C457" s="8"/>
      <c r="D457" s="60"/>
      <c r="E457" s="60"/>
      <c r="F457" s="60"/>
      <c r="G457" s="6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60"/>
      <c r="B458" s="60"/>
      <c r="C458" s="8"/>
      <c r="D458" s="60"/>
      <c r="E458" s="60"/>
      <c r="F458" s="60"/>
      <c r="G458" s="6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60"/>
      <c r="B459" s="60"/>
      <c r="C459" s="8"/>
      <c r="D459" s="60"/>
      <c r="E459" s="60"/>
      <c r="F459" s="60"/>
      <c r="G459" s="6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60"/>
      <c r="B460" s="60"/>
      <c r="C460" s="8"/>
      <c r="D460" s="60"/>
      <c r="E460" s="60"/>
      <c r="F460" s="60"/>
      <c r="G460" s="6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60"/>
      <c r="B461" s="60"/>
      <c r="C461" s="8"/>
      <c r="D461" s="60"/>
      <c r="E461" s="60"/>
      <c r="F461" s="60"/>
      <c r="G461" s="6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60"/>
      <c r="B462" s="60"/>
      <c r="C462" s="8"/>
      <c r="D462" s="60"/>
      <c r="E462" s="60"/>
      <c r="F462" s="60"/>
      <c r="G462" s="6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60"/>
      <c r="B463" s="60"/>
      <c r="C463" s="8"/>
      <c r="D463" s="60"/>
      <c r="E463" s="60"/>
      <c r="F463" s="60"/>
      <c r="G463" s="6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60"/>
      <c r="B464" s="60"/>
      <c r="C464" s="8"/>
      <c r="D464" s="60"/>
      <c r="E464" s="60"/>
      <c r="F464" s="60"/>
      <c r="G464" s="6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60"/>
      <c r="B465" s="60"/>
      <c r="C465" s="8"/>
      <c r="D465" s="60"/>
      <c r="E465" s="60"/>
      <c r="F465" s="60"/>
      <c r="G465" s="6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60"/>
      <c r="B466" s="60"/>
      <c r="C466" s="8"/>
      <c r="D466" s="60"/>
      <c r="E466" s="60"/>
      <c r="F466" s="60"/>
      <c r="G466" s="6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60"/>
      <c r="B467" s="60"/>
      <c r="C467" s="8"/>
      <c r="D467" s="60"/>
      <c r="E467" s="60"/>
      <c r="F467" s="60"/>
      <c r="G467" s="6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60"/>
      <c r="B468" s="60"/>
      <c r="C468" s="8"/>
      <c r="D468" s="60"/>
      <c r="E468" s="60"/>
      <c r="F468" s="60"/>
      <c r="G468" s="6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60"/>
      <c r="B469" s="60"/>
      <c r="C469" s="8"/>
      <c r="D469" s="60"/>
      <c r="E469" s="60"/>
      <c r="F469" s="60"/>
      <c r="G469" s="6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60"/>
      <c r="B470" s="60"/>
      <c r="C470" s="8"/>
      <c r="D470" s="60"/>
      <c r="E470" s="60"/>
      <c r="F470" s="60"/>
      <c r="G470" s="6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60"/>
      <c r="B471" s="60"/>
      <c r="C471" s="8"/>
      <c r="D471" s="60"/>
      <c r="E471" s="60"/>
      <c r="F471" s="60"/>
      <c r="G471" s="6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60"/>
      <c r="B472" s="60"/>
      <c r="C472" s="8"/>
      <c r="D472" s="60"/>
      <c r="E472" s="60"/>
      <c r="F472" s="60"/>
      <c r="G472" s="6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60"/>
      <c r="B473" s="60"/>
      <c r="C473" s="8"/>
      <c r="D473" s="60"/>
      <c r="E473" s="60"/>
      <c r="F473" s="60"/>
      <c r="G473" s="6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60"/>
      <c r="B474" s="60"/>
      <c r="C474" s="8"/>
      <c r="D474" s="60"/>
      <c r="E474" s="60"/>
      <c r="F474" s="60"/>
      <c r="G474" s="6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60"/>
      <c r="B475" s="60"/>
      <c r="C475" s="8"/>
      <c r="D475" s="60"/>
      <c r="E475" s="60"/>
      <c r="F475" s="60"/>
      <c r="G475" s="6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60"/>
      <c r="B476" s="60"/>
      <c r="C476" s="8"/>
      <c r="D476" s="60"/>
      <c r="E476" s="60"/>
      <c r="F476" s="60"/>
      <c r="G476" s="6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60"/>
      <c r="B477" s="60"/>
      <c r="C477" s="8"/>
      <c r="D477" s="60"/>
      <c r="E477" s="60"/>
      <c r="F477" s="60"/>
      <c r="G477" s="6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60"/>
      <c r="B478" s="60"/>
      <c r="C478" s="8"/>
      <c r="D478" s="60"/>
      <c r="E478" s="60"/>
      <c r="F478" s="60"/>
      <c r="G478" s="6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60"/>
      <c r="B479" s="60"/>
      <c r="C479" s="8"/>
      <c r="D479" s="60"/>
      <c r="E479" s="60"/>
      <c r="F479" s="60"/>
      <c r="G479" s="6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60"/>
      <c r="B480" s="60"/>
      <c r="C480" s="8"/>
      <c r="D480" s="60"/>
      <c r="E480" s="60"/>
      <c r="F480" s="60"/>
      <c r="G480" s="6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60"/>
      <c r="B481" s="60"/>
      <c r="C481" s="8"/>
      <c r="D481" s="60"/>
      <c r="E481" s="60"/>
      <c r="F481" s="60"/>
      <c r="G481" s="6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60"/>
      <c r="B482" s="60"/>
      <c r="C482" s="8"/>
      <c r="D482" s="60"/>
      <c r="E482" s="60"/>
      <c r="F482" s="60"/>
      <c r="G482" s="6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60"/>
      <c r="B483" s="60"/>
      <c r="C483" s="8"/>
      <c r="D483" s="60"/>
      <c r="E483" s="60"/>
      <c r="F483" s="60"/>
      <c r="G483" s="6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60"/>
      <c r="B484" s="60"/>
      <c r="C484" s="8"/>
      <c r="D484" s="60"/>
      <c r="E484" s="60"/>
      <c r="F484" s="60"/>
      <c r="G484" s="6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60"/>
      <c r="B485" s="60"/>
      <c r="C485" s="8"/>
      <c r="D485" s="60"/>
      <c r="E485" s="60"/>
      <c r="F485" s="60"/>
      <c r="G485" s="6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60"/>
      <c r="B486" s="60"/>
      <c r="C486" s="8"/>
      <c r="D486" s="60"/>
      <c r="E486" s="60"/>
      <c r="F486" s="60"/>
      <c r="G486" s="6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60"/>
      <c r="B487" s="60"/>
      <c r="C487" s="8"/>
      <c r="D487" s="60"/>
      <c r="E487" s="60"/>
      <c r="F487" s="60"/>
      <c r="G487" s="6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60"/>
      <c r="B488" s="60"/>
      <c r="C488" s="8"/>
      <c r="D488" s="60"/>
      <c r="E488" s="60"/>
      <c r="F488" s="60"/>
      <c r="G488" s="6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60"/>
      <c r="B489" s="60"/>
      <c r="C489" s="8"/>
      <c r="D489" s="60"/>
      <c r="E489" s="60"/>
      <c r="F489" s="60"/>
      <c r="G489" s="6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60"/>
      <c r="B490" s="60"/>
      <c r="C490" s="8"/>
      <c r="D490" s="60"/>
      <c r="E490" s="60"/>
      <c r="F490" s="60"/>
      <c r="G490" s="6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60"/>
      <c r="B491" s="60"/>
      <c r="C491" s="8"/>
      <c r="D491" s="60"/>
      <c r="E491" s="60"/>
      <c r="F491" s="60"/>
      <c r="G491" s="6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60"/>
      <c r="B492" s="60"/>
      <c r="C492" s="8"/>
      <c r="D492" s="60"/>
      <c r="E492" s="60"/>
      <c r="F492" s="60"/>
      <c r="G492" s="6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60"/>
      <c r="B493" s="60"/>
      <c r="C493" s="8"/>
      <c r="D493" s="60"/>
      <c r="E493" s="60"/>
      <c r="F493" s="60"/>
      <c r="G493" s="6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60"/>
      <c r="B494" s="60"/>
      <c r="C494" s="8"/>
      <c r="D494" s="60"/>
      <c r="E494" s="60"/>
      <c r="F494" s="60"/>
      <c r="G494" s="6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60"/>
      <c r="B495" s="60"/>
      <c r="C495" s="8"/>
      <c r="D495" s="60"/>
      <c r="E495" s="60"/>
      <c r="F495" s="60"/>
      <c r="G495" s="6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60"/>
      <c r="B496" s="60"/>
      <c r="C496" s="8"/>
      <c r="D496" s="60"/>
      <c r="E496" s="60"/>
      <c r="F496" s="60"/>
      <c r="G496" s="6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60"/>
      <c r="B497" s="60"/>
      <c r="C497" s="8"/>
      <c r="D497" s="60"/>
      <c r="E497" s="60"/>
      <c r="F497" s="60"/>
      <c r="G497" s="6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60"/>
      <c r="B498" s="60"/>
      <c r="C498" s="8"/>
      <c r="D498" s="60"/>
      <c r="E498" s="60"/>
      <c r="F498" s="60"/>
      <c r="G498" s="6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60"/>
      <c r="B499" s="60"/>
      <c r="C499" s="8"/>
      <c r="D499" s="60"/>
      <c r="E499" s="60"/>
      <c r="F499" s="60"/>
      <c r="G499" s="6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60"/>
      <c r="B500" s="60"/>
      <c r="C500" s="8"/>
      <c r="D500" s="60"/>
      <c r="E500" s="60"/>
      <c r="F500" s="60"/>
      <c r="G500" s="6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60"/>
      <c r="B501" s="60"/>
      <c r="C501" s="8"/>
      <c r="D501" s="60"/>
      <c r="E501" s="60"/>
      <c r="F501" s="60"/>
      <c r="G501" s="6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60"/>
      <c r="B502" s="60"/>
      <c r="C502" s="8"/>
      <c r="D502" s="60"/>
      <c r="E502" s="60"/>
      <c r="F502" s="60"/>
      <c r="G502" s="6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60"/>
      <c r="B503" s="60"/>
      <c r="C503" s="8"/>
      <c r="D503" s="60"/>
      <c r="E503" s="60"/>
      <c r="F503" s="60"/>
      <c r="G503" s="6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60"/>
      <c r="B504" s="60"/>
      <c r="C504" s="8"/>
      <c r="D504" s="60"/>
      <c r="E504" s="60"/>
      <c r="F504" s="60"/>
      <c r="G504" s="6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60"/>
      <c r="B505" s="60"/>
      <c r="C505" s="8"/>
      <c r="D505" s="60"/>
      <c r="E505" s="60"/>
      <c r="F505" s="60"/>
      <c r="G505" s="6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60"/>
      <c r="B506" s="60"/>
      <c r="C506" s="8"/>
      <c r="D506" s="60"/>
      <c r="E506" s="60"/>
      <c r="F506" s="60"/>
      <c r="G506" s="6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60"/>
      <c r="B507" s="60"/>
      <c r="C507" s="8"/>
      <c r="D507" s="60"/>
      <c r="E507" s="60"/>
      <c r="F507" s="60"/>
      <c r="G507" s="6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60"/>
      <c r="B508" s="60"/>
      <c r="C508" s="8"/>
      <c r="D508" s="60"/>
      <c r="E508" s="60"/>
      <c r="F508" s="60"/>
      <c r="G508" s="6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60"/>
      <c r="B509" s="60"/>
      <c r="C509" s="8"/>
      <c r="D509" s="60"/>
      <c r="E509" s="60"/>
      <c r="F509" s="60"/>
      <c r="G509" s="6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60"/>
      <c r="B510" s="60"/>
      <c r="C510" s="8"/>
      <c r="D510" s="60"/>
      <c r="E510" s="60"/>
      <c r="F510" s="60"/>
      <c r="G510" s="6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60"/>
      <c r="B511" s="60"/>
      <c r="C511" s="8"/>
      <c r="D511" s="60"/>
      <c r="E511" s="60"/>
      <c r="F511" s="60"/>
      <c r="G511" s="6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60"/>
      <c r="B512" s="60"/>
      <c r="C512" s="8"/>
      <c r="D512" s="60"/>
      <c r="E512" s="60"/>
      <c r="F512" s="60"/>
      <c r="G512" s="6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60"/>
      <c r="B513" s="60"/>
      <c r="C513" s="8"/>
      <c r="D513" s="60"/>
      <c r="E513" s="60"/>
      <c r="F513" s="60"/>
      <c r="G513" s="6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60"/>
      <c r="B514" s="60"/>
      <c r="C514" s="8"/>
      <c r="D514" s="60"/>
      <c r="E514" s="60"/>
      <c r="F514" s="60"/>
      <c r="G514" s="6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60"/>
      <c r="B515" s="60"/>
      <c r="C515" s="8"/>
      <c r="D515" s="60"/>
      <c r="E515" s="60"/>
      <c r="F515" s="60"/>
      <c r="G515" s="6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60"/>
      <c r="B516" s="60"/>
      <c r="C516" s="8"/>
      <c r="D516" s="60"/>
      <c r="E516" s="60"/>
      <c r="F516" s="60"/>
      <c r="G516" s="6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60"/>
      <c r="B517" s="60"/>
      <c r="C517" s="8"/>
      <c r="D517" s="60"/>
      <c r="E517" s="60"/>
      <c r="F517" s="60"/>
      <c r="G517" s="6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60"/>
      <c r="B518" s="60"/>
      <c r="C518" s="8"/>
      <c r="D518" s="60"/>
      <c r="E518" s="60"/>
      <c r="F518" s="60"/>
      <c r="G518" s="6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60"/>
      <c r="B519" s="60"/>
      <c r="C519" s="8"/>
      <c r="D519" s="60"/>
      <c r="E519" s="60"/>
      <c r="F519" s="60"/>
      <c r="G519" s="6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60"/>
      <c r="B520" s="60"/>
      <c r="C520" s="8"/>
      <c r="D520" s="60"/>
      <c r="E520" s="60"/>
      <c r="F520" s="60"/>
      <c r="G520" s="6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60"/>
      <c r="B521" s="60"/>
      <c r="C521" s="8"/>
      <c r="D521" s="60"/>
      <c r="E521" s="60"/>
      <c r="F521" s="60"/>
      <c r="G521" s="6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60"/>
      <c r="B522" s="60"/>
      <c r="C522" s="8"/>
      <c r="D522" s="60"/>
      <c r="E522" s="60"/>
      <c r="F522" s="60"/>
      <c r="G522" s="6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60"/>
      <c r="B523" s="60"/>
      <c r="C523" s="8"/>
      <c r="D523" s="60"/>
      <c r="E523" s="60"/>
      <c r="F523" s="60"/>
      <c r="G523" s="6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60"/>
      <c r="B524" s="60"/>
      <c r="C524" s="8"/>
      <c r="D524" s="60"/>
      <c r="E524" s="60"/>
      <c r="F524" s="60"/>
      <c r="G524" s="6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60"/>
      <c r="B525" s="60"/>
      <c r="C525" s="8"/>
      <c r="D525" s="60"/>
      <c r="E525" s="60"/>
      <c r="F525" s="60"/>
      <c r="G525" s="6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60"/>
      <c r="B526" s="60"/>
      <c r="C526" s="8"/>
      <c r="D526" s="60"/>
      <c r="E526" s="60"/>
      <c r="F526" s="60"/>
      <c r="G526" s="6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60"/>
      <c r="B527" s="60"/>
      <c r="C527" s="8"/>
      <c r="D527" s="60"/>
      <c r="E527" s="60"/>
      <c r="F527" s="60"/>
      <c r="G527" s="6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60"/>
      <c r="B528" s="60"/>
      <c r="C528" s="8"/>
      <c r="D528" s="60"/>
      <c r="E528" s="60"/>
      <c r="F528" s="60"/>
      <c r="G528" s="6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60"/>
      <c r="B529" s="60"/>
      <c r="C529" s="8"/>
      <c r="D529" s="60"/>
      <c r="E529" s="60"/>
      <c r="F529" s="60"/>
      <c r="G529" s="6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60"/>
      <c r="B530" s="60"/>
      <c r="C530" s="8"/>
      <c r="D530" s="60"/>
      <c r="E530" s="60"/>
      <c r="F530" s="60"/>
      <c r="G530" s="6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60"/>
      <c r="B531" s="60"/>
      <c r="C531" s="8"/>
      <c r="D531" s="60"/>
      <c r="E531" s="60"/>
      <c r="F531" s="60"/>
      <c r="G531" s="6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60"/>
      <c r="B532" s="60"/>
      <c r="C532" s="8"/>
      <c r="D532" s="60"/>
      <c r="E532" s="60"/>
      <c r="F532" s="60"/>
      <c r="G532" s="6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60"/>
      <c r="B533" s="60"/>
      <c r="C533" s="8"/>
      <c r="D533" s="60"/>
      <c r="E533" s="60"/>
      <c r="F533" s="60"/>
      <c r="G533" s="6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60"/>
      <c r="B534" s="60"/>
      <c r="C534" s="8"/>
      <c r="D534" s="60"/>
      <c r="E534" s="60"/>
      <c r="F534" s="60"/>
      <c r="G534" s="6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60"/>
      <c r="B535" s="60"/>
      <c r="C535" s="8"/>
      <c r="D535" s="60"/>
      <c r="E535" s="60"/>
      <c r="F535" s="60"/>
      <c r="G535" s="6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60"/>
      <c r="B536" s="60"/>
      <c r="C536" s="8"/>
      <c r="D536" s="60"/>
      <c r="E536" s="60"/>
      <c r="F536" s="60"/>
      <c r="G536" s="6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60"/>
      <c r="B537" s="60"/>
      <c r="C537" s="8"/>
      <c r="D537" s="60"/>
      <c r="E537" s="60"/>
      <c r="F537" s="60"/>
      <c r="G537" s="6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60"/>
      <c r="B538" s="60"/>
      <c r="C538" s="8"/>
      <c r="D538" s="60"/>
      <c r="E538" s="60"/>
      <c r="F538" s="60"/>
      <c r="G538" s="6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60"/>
      <c r="B539" s="60"/>
      <c r="C539" s="8"/>
      <c r="D539" s="60"/>
      <c r="E539" s="60"/>
      <c r="F539" s="60"/>
      <c r="G539" s="6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60"/>
      <c r="B540" s="60"/>
      <c r="C540" s="8"/>
      <c r="D540" s="60"/>
      <c r="E540" s="60"/>
      <c r="F540" s="60"/>
      <c r="G540" s="6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60"/>
      <c r="B541" s="60"/>
      <c r="C541" s="8"/>
      <c r="D541" s="60"/>
      <c r="E541" s="60"/>
      <c r="F541" s="60"/>
      <c r="G541" s="6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60"/>
      <c r="B542" s="60"/>
      <c r="C542" s="8"/>
      <c r="D542" s="60"/>
      <c r="E542" s="60"/>
      <c r="F542" s="60"/>
      <c r="G542" s="6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60"/>
      <c r="B543" s="60"/>
      <c r="C543" s="8"/>
      <c r="D543" s="60"/>
      <c r="E543" s="60"/>
      <c r="F543" s="60"/>
      <c r="G543" s="6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60"/>
      <c r="B544" s="60"/>
      <c r="C544" s="8"/>
      <c r="D544" s="60"/>
      <c r="E544" s="60"/>
      <c r="F544" s="60"/>
      <c r="G544" s="6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60"/>
      <c r="B545" s="60"/>
      <c r="C545" s="8"/>
      <c r="D545" s="60"/>
      <c r="E545" s="60"/>
      <c r="F545" s="60"/>
      <c r="G545" s="6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60"/>
      <c r="B546" s="60"/>
      <c r="C546" s="8"/>
      <c r="D546" s="60"/>
      <c r="E546" s="60"/>
      <c r="F546" s="60"/>
      <c r="G546" s="6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60"/>
      <c r="B547" s="60"/>
      <c r="C547" s="8"/>
      <c r="D547" s="60"/>
      <c r="E547" s="60"/>
      <c r="F547" s="60"/>
      <c r="G547" s="6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60"/>
      <c r="B548" s="60"/>
      <c r="C548" s="8"/>
      <c r="D548" s="60"/>
      <c r="E548" s="60"/>
      <c r="F548" s="60"/>
      <c r="G548" s="6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60"/>
      <c r="B549" s="60"/>
      <c r="C549" s="8"/>
      <c r="D549" s="60"/>
      <c r="E549" s="60"/>
      <c r="F549" s="60"/>
      <c r="G549" s="6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60"/>
      <c r="B550" s="60"/>
      <c r="C550" s="8"/>
      <c r="D550" s="60"/>
      <c r="E550" s="60"/>
      <c r="F550" s="60"/>
      <c r="G550" s="6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60"/>
      <c r="B551" s="60"/>
      <c r="C551" s="8"/>
      <c r="D551" s="60"/>
      <c r="E551" s="60"/>
      <c r="F551" s="60"/>
      <c r="G551" s="6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60"/>
      <c r="B552" s="60"/>
      <c r="C552" s="8"/>
      <c r="D552" s="60"/>
      <c r="E552" s="60"/>
      <c r="F552" s="60"/>
      <c r="G552" s="6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60"/>
      <c r="B553" s="60"/>
      <c r="C553" s="8"/>
      <c r="D553" s="60"/>
      <c r="E553" s="60"/>
      <c r="F553" s="60"/>
      <c r="G553" s="6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60"/>
      <c r="B554" s="60"/>
      <c r="C554" s="8"/>
      <c r="D554" s="60"/>
      <c r="E554" s="60"/>
      <c r="F554" s="60"/>
      <c r="G554" s="6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60"/>
      <c r="B555" s="60"/>
      <c r="C555" s="8"/>
      <c r="D555" s="60"/>
      <c r="E555" s="60"/>
      <c r="F555" s="60"/>
      <c r="G555" s="6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60"/>
      <c r="B556" s="60"/>
      <c r="C556" s="8"/>
      <c r="D556" s="60"/>
      <c r="E556" s="60"/>
      <c r="F556" s="60"/>
      <c r="G556" s="6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60"/>
      <c r="B557" s="60"/>
      <c r="C557" s="8"/>
      <c r="D557" s="60"/>
      <c r="E557" s="60"/>
      <c r="F557" s="60"/>
      <c r="G557" s="6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60"/>
      <c r="B558" s="60"/>
      <c r="C558" s="8"/>
      <c r="D558" s="60"/>
      <c r="E558" s="60"/>
      <c r="F558" s="60"/>
      <c r="G558" s="6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60"/>
      <c r="B559" s="60"/>
      <c r="C559" s="8"/>
      <c r="D559" s="60"/>
      <c r="E559" s="60"/>
      <c r="F559" s="60"/>
      <c r="G559" s="6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60"/>
      <c r="B560" s="60"/>
      <c r="C560" s="8"/>
      <c r="D560" s="60"/>
      <c r="E560" s="60"/>
      <c r="F560" s="60"/>
      <c r="G560" s="6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60"/>
      <c r="B561" s="60"/>
      <c r="C561" s="8"/>
      <c r="D561" s="60"/>
      <c r="E561" s="60"/>
      <c r="F561" s="60"/>
      <c r="G561" s="6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60"/>
      <c r="B562" s="60"/>
      <c r="C562" s="8"/>
      <c r="D562" s="60"/>
      <c r="E562" s="60"/>
      <c r="F562" s="60"/>
      <c r="G562" s="6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60"/>
      <c r="B563" s="60"/>
      <c r="C563" s="8"/>
      <c r="D563" s="60"/>
      <c r="E563" s="60"/>
      <c r="F563" s="60"/>
      <c r="G563" s="6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60"/>
      <c r="B564" s="60"/>
      <c r="C564" s="8"/>
      <c r="D564" s="60"/>
      <c r="E564" s="60"/>
      <c r="F564" s="60"/>
      <c r="G564" s="6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60"/>
      <c r="B565" s="60"/>
      <c r="C565" s="8"/>
      <c r="D565" s="60"/>
      <c r="E565" s="60"/>
      <c r="F565" s="60"/>
      <c r="G565" s="6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60"/>
      <c r="B566" s="60"/>
      <c r="C566" s="8"/>
      <c r="D566" s="60"/>
      <c r="E566" s="60"/>
      <c r="F566" s="60"/>
      <c r="G566" s="6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60"/>
      <c r="B567" s="60"/>
      <c r="C567" s="8"/>
      <c r="D567" s="60"/>
      <c r="E567" s="60"/>
      <c r="F567" s="60"/>
      <c r="G567" s="6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60"/>
      <c r="B568" s="60"/>
      <c r="C568" s="8"/>
      <c r="D568" s="60"/>
      <c r="E568" s="60"/>
      <c r="F568" s="60"/>
      <c r="G568" s="6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60"/>
      <c r="B569" s="60"/>
      <c r="C569" s="8"/>
      <c r="D569" s="60"/>
      <c r="E569" s="60"/>
      <c r="F569" s="60"/>
      <c r="G569" s="6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60"/>
      <c r="B570" s="60"/>
      <c r="C570" s="8"/>
      <c r="D570" s="60"/>
      <c r="E570" s="60"/>
      <c r="F570" s="60"/>
      <c r="G570" s="6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60"/>
      <c r="B571" s="60"/>
      <c r="C571" s="8"/>
      <c r="D571" s="60"/>
      <c r="E571" s="60"/>
      <c r="F571" s="60"/>
      <c r="G571" s="6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60"/>
      <c r="B572" s="60"/>
      <c r="C572" s="8"/>
      <c r="D572" s="60"/>
      <c r="E572" s="60"/>
      <c r="F572" s="60"/>
      <c r="G572" s="6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60"/>
      <c r="B573" s="60"/>
      <c r="C573" s="8"/>
      <c r="D573" s="60"/>
      <c r="E573" s="60"/>
      <c r="F573" s="60"/>
      <c r="G573" s="6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60"/>
      <c r="B574" s="60"/>
      <c r="C574" s="8"/>
      <c r="D574" s="60"/>
      <c r="E574" s="60"/>
      <c r="F574" s="60"/>
      <c r="G574" s="6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60"/>
      <c r="B575" s="60"/>
      <c r="C575" s="8"/>
      <c r="D575" s="60"/>
      <c r="E575" s="60"/>
      <c r="F575" s="60"/>
      <c r="G575" s="6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60"/>
      <c r="B576" s="60"/>
      <c r="C576" s="8"/>
      <c r="D576" s="60"/>
      <c r="E576" s="60"/>
      <c r="F576" s="60"/>
      <c r="G576" s="6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60"/>
      <c r="B577" s="60"/>
      <c r="C577" s="8"/>
      <c r="D577" s="60"/>
      <c r="E577" s="60"/>
      <c r="F577" s="60"/>
      <c r="G577" s="6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60"/>
      <c r="B578" s="60"/>
      <c r="C578" s="8"/>
      <c r="D578" s="60"/>
      <c r="E578" s="60"/>
      <c r="F578" s="60"/>
      <c r="G578" s="6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60"/>
      <c r="B579" s="60"/>
      <c r="C579" s="8"/>
      <c r="D579" s="60"/>
      <c r="E579" s="60"/>
      <c r="F579" s="60"/>
      <c r="G579" s="6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60"/>
      <c r="B580" s="60"/>
      <c r="C580" s="8"/>
      <c r="D580" s="60"/>
      <c r="E580" s="60"/>
      <c r="F580" s="60"/>
      <c r="G580" s="6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60"/>
      <c r="B581" s="60"/>
      <c r="C581" s="8"/>
      <c r="D581" s="60"/>
      <c r="E581" s="60"/>
      <c r="F581" s="60"/>
      <c r="G581" s="6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60"/>
      <c r="B582" s="60"/>
      <c r="C582" s="8"/>
      <c r="D582" s="60"/>
      <c r="E582" s="60"/>
      <c r="F582" s="60"/>
      <c r="G582" s="6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60"/>
      <c r="B583" s="60"/>
      <c r="C583" s="8"/>
      <c r="D583" s="60"/>
      <c r="E583" s="60"/>
      <c r="F583" s="60"/>
      <c r="G583" s="6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60"/>
      <c r="B584" s="60"/>
      <c r="C584" s="8"/>
      <c r="D584" s="60"/>
      <c r="E584" s="60"/>
      <c r="F584" s="60"/>
      <c r="G584" s="6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60"/>
      <c r="B585" s="60"/>
      <c r="C585" s="8"/>
      <c r="D585" s="60"/>
      <c r="E585" s="60"/>
      <c r="F585" s="60"/>
      <c r="G585" s="6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60"/>
      <c r="B586" s="60"/>
      <c r="C586" s="8"/>
      <c r="D586" s="60"/>
      <c r="E586" s="60"/>
      <c r="F586" s="60"/>
      <c r="G586" s="6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60"/>
      <c r="B587" s="60"/>
      <c r="C587" s="8"/>
      <c r="D587" s="60"/>
      <c r="E587" s="60"/>
      <c r="F587" s="60"/>
      <c r="G587" s="6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60"/>
      <c r="B588" s="60"/>
      <c r="C588" s="8"/>
      <c r="D588" s="60"/>
      <c r="E588" s="60"/>
      <c r="F588" s="60"/>
      <c r="G588" s="6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60"/>
      <c r="B589" s="60"/>
      <c r="C589" s="8"/>
      <c r="D589" s="60"/>
      <c r="E589" s="60"/>
      <c r="F589" s="60"/>
      <c r="G589" s="6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60"/>
      <c r="B590" s="60"/>
      <c r="C590" s="8"/>
      <c r="D590" s="60"/>
      <c r="E590" s="60"/>
      <c r="F590" s="60"/>
      <c r="G590" s="6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60"/>
      <c r="B591" s="60"/>
      <c r="C591" s="8"/>
      <c r="D591" s="60"/>
      <c r="E591" s="60"/>
      <c r="F591" s="60"/>
      <c r="G591" s="6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60"/>
      <c r="B592" s="60"/>
      <c r="C592" s="8"/>
      <c r="D592" s="60"/>
      <c r="E592" s="60"/>
      <c r="F592" s="60"/>
      <c r="G592" s="6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60"/>
      <c r="B593" s="60"/>
      <c r="C593" s="8"/>
      <c r="D593" s="60"/>
      <c r="E593" s="60"/>
      <c r="F593" s="60"/>
      <c r="G593" s="6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60"/>
      <c r="B594" s="60"/>
      <c r="C594" s="8"/>
      <c r="D594" s="60"/>
      <c r="E594" s="60"/>
      <c r="F594" s="60"/>
      <c r="G594" s="6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60"/>
      <c r="B595" s="60"/>
      <c r="C595" s="8"/>
      <c r="D595" s="60"/>
      <c r="E595" s="60"/>
      <c r="F595" s="60"/>
      <c r="G595" s="6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60"/>
      <c r="B596" s="60"/>
      <c r="C596" s="8"/>
      <c r="D596" s="60"/>
      <c r="E596" s="60"/>
      <c r="F596" s="60"/>
      <c r="G596" s="6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60"/>
      <c r="B597" s="60"/>
      <c r="C597" s="8"/>
      <c r="D597" s="60"/>
      <c r="E597" s="60"/>
      <c r="F597" s="60"/>
      <c r="G597" s="6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60"/>
      <c r="B598" s="60"/>
      <c r="C598" s="8"/>
      <c r="D598" s="60"/>
      <c r="E598" s="60"/>
      <c r="F598" s="60"/>
      <c r="G598" s="6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60"/>
      <c r="B599" s="60"/>
      <c r="C599" s="8"/>
      <c r="D599" s="60"/>
      <c r="E599" s="60"/>
      <c r="F599" s="60"/>
      <c r="G599" s="6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60"/>
      <c r="B600" s="60"/>
      <c r="C600" s="8"/>
      <c r="D600" s="60"/>
      <c r="E600" s="60"/>
      <c r="F600" s="60"/>
      <c r="G600" s="6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60"/>
      <c r="B601" s="60"/>
      <c r="C601" s="8"/>
      <c r="D601" s="60"/>
      <c r="E601" s="60"/>
      <c r="F601" s="60"/>
      <c r="G601" s="6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60"/>
      <c r="B602" s="60"/>
      <c r="C602" s="8"/>
      <c r="D602" s="60"/>
      <c r="E602" s="60"/>
      <c r="F602" s="60"/>
      <c r="G602" s="6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60"/>
      <c r="B603" s="60"/>
      <c r="C603" s="8"/>
      <c r="D603" s="60"/>
      <c r="E603" s="60"/>
      <c r="F603" s="60"/>
      <c r="G603" s="6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60"/>
      <c r="B604" s="60"/>
      <c r="C604" s="8"/>
      <c r="D604" s="60"/>
      <c r="E604" s="60"/>
      <c r="F604" s="60"/>
      <c r="G604" s="6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60"/>
      <c r="B605" s="60"/>
      <c r="C605" s="8"/>
      <c r="D605" s="60"/>
      <c r="E605" s="60"/>
      <c r="F605" s="60"/>
      <c r="G605" s="6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60"/>
      <c r="B606" s="60"/>
      <c r="C606" s="8"/>
      <c r="D606" s="60"/>
      <c r="E606" s="60"/>
      <c r="F606" s="60"/>
      <c r="G606" s="6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60"/>
      <c r="B607" s="60"/>
      <c r="C607" s="8"/>
      <c r="D607" s="60"/>
      <c r="E607" s="60"/>
      <c r="F607" s="60"/>
      <c r="G607" s="6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60"/>
      <c r="B608" s="60"/>
      <c r="C608" s="8"/>
      <c r="D608" s="60"/>
      <c r="E608" s="60"/>
      <c r="F608" s="60"/>
      <c r="G608" s="6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60"/>
      <c r="B609" s="60"/>
      <c r="C609" s="8"/>
      <c r="D609" s="60"/>
      <c r="E609" s="60"/>
      <c r="F609" s="60"/>
      <c r="G609" s="6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60"/>
      <c r="B610" s="60"/>
      <c r="C610" s="8"/>
      <c r="D610" s="60"/>
      <c r="E610" s="60"/>
      <c r="F610" s="60"/>
      <c r="G610" s="6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60"/>
      <c r="B611" s="60"/>
      <c r="C611" s="8"/>
      <c r="D611" s="60"/>
      <c r="E611" s="60"/>
      <c r="F611" s="60"/>
      <c r="G611" s="6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60"/>
      <c r="B612" s="60"/>
      <c r="C612" s="8"/>
      <c r="D612" s="60"/>
      <c r="E612" s="60"/>
      <c r="F612" s="60"/>
      <c r="G612" s="6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60"/>
      <c r="B613" s="60"/>
      <c r="C613" s="8"/>
      <c r="D613" s="60"/>
      <c r="E613" s="60"/>
      <c r="F613" s="60"/>
      <c r="G613" s="6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60"/>
      <c r="B614" s="60"/>
      <c r="C614" s="8"/>
      <c r="D614" s="60"/>
      <c r="E614" s="60"/>
      <c r="F614" s="60"/>
      <c r="G614" s="6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60"/>
      <c r="B615" s="60"/>
      <c r="C615" s="8"/>
      <c r="D615" s="60"/>
      <c r="E615" s="60"/>
      <c r="F615" s="60"/>
      <c r="G615" s="6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60"/>
      <c r="B616" s="60"/>
      <c r="C616" s="8"/>
      <c r="D616" s="60"/>
      <c r="E616" s="60"/>
      <c r="F616" s="60"/>
      <c r="G616" s="6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60"/>
      <c r="B617" s="60"/>
      <c r="C617" s="8"/>
      <c r="D617" s="60"/>
      <c r="E617" s="60"/>
      <c r="F617" s="60"/>
      <c r="G617" s="6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60"/>
      <c r="B618" s="60"/>
      <c r="C618" s="8"/>
      <c r="D618" s="60"/>
      <c r="E618" s="60"/>
      <c r="F618" s="60"/>
      <c r="G618" s="6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60"/>
      <c r="B619" s="60"/>
      <c r="C619" s="8"/>
      <c r="D619" s="60"/>
      <c r="E619" s="60"/>
      <c r="F619" s="60"/>
      <c r="G619" s="6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60"/>
      <c r="B620" s="60"/>
      <c r="C620" s="8"/>
      <c r="D620" s="60"/>
      <c r="E620" s="60"/>
      <c r="F620" s="60"/>
      <c r="G620" s="6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60"/>
      <c r="B621" s="60"/>
      <c r="C621" s="8"/>
      <c r="D621" s="60"/>
      <c r="E621" s="60"/>
      <c r="F621" s="60"/>
      <c r="G621" s="6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60"/>
      <c r="B622" s="60"/>
      <c r="C622" s="8"/>
      <c r="D622" s="60"/>
      <c r="E622" s="60"/>
      <c r="F622" s="60"/>
      <c r="G622" s="6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60"/>
      <c r="B623" s="60"/>
      <c r="C623" s="8"/>
      <c r="D623" s="60"/>
      <c r="E623" s="60"/>
      <c r="F623" s="60"/>
      <c r="G623" s="6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60"/>
      <c r="B624" s="60"/>
      <c r="C624" s="8"/>
      <c r="D624" s="60"/>
      <c r="E624" s="60"/>
      <c r="F624" s="60"/>
      <c r="G624" s="6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60"/>
      <c r="B625" s="60"/>
      <c r="C625" s="8"/>
      <c r="D625" s="60"/>
      <c r="E625" s="60"/>
      <c r="F625" s="60"/>
      <c r="G625" s="6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60"/>
      <c r="B626" s="60"/>
      <c r="C626" s="8"/>
      <c r="D626" s="60"/>
      <c r="E626" s="60"/>
      <c r="F626" s="60"/>
      <c r="G626" s="6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60"/>
      <c r="B627" s="60"/>
      <c r="C627" s="8"/>
      <c r="D627" s="60"/>
      <c r="E627" s="60"/>
      <c r="F627" s="60"/>
      <c r="G627" s="6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60"/>
      <c r="B628" s="60"/>
      <c r="C628" s="8"/>
      <c r="D628" s="60"/>
      <c r="E628" s="60"/>
      <c r="F628" s="60"/>
      <c r="G628" s="6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60"/>
      <c r="B629" s="60"/>
      <c r="C629" s="8"/>
      <c r="D629" s="60"/>
      <c r="E629" s="60"/>
      <c r="F629" s="60"/>
      <c r="G629" s="6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60"/>
      <c r="B630" s="60"/>
      <c r="C630" s="8"/>
      <c r="D630" s="60"/>
      <c r="E630" s="60"/>
      <c r="F630" s="60"/>
      <c r="G630" s="6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60"/>
      <c r="B631" s="60"/>
      <c r="C631" s="8"/>
      <c r="D631" s="60"/>
      <c r="E631" s="60"/>
      <c r="F631" s="60"/>
      <c r="G631" s="6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60"/>
      <c r="B632" s="60"/>
      <c r="C632" s="8"/>
      <c r="D632" s="60"/>
      <c r="E632" s="60"/>
      <c r="F632" s="60"/>
      <c r="G632" s="6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60"/>
      <c r="B633" s="60"/>
      <c r="C633" s="8"/>
      <c r="D633" s="60"/>
      <c r="E633" s="60"/>
      <c r="F633" s="60"/>
      <c r="G633" s="6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60"/>
      <c r="B634" s="60"/>
      <c r="C634" s="8"/>
      <c r="D634" s="60"/>
      <c r="E634" s="60"/>
      <c r="F634" s="60"/>
      <c r="G634" s="6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60"/>
      <c r="B635" s="60"/>
      <c r="C635" s="8"/>
      <c r="D635" s="60"/>
      <c r="E635" s="60"/>
      <c r="F635" s="60"/>
      <c r="G635" s="6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60"/>
      <c r="B636" s="60"/>
      <c r="C636" s="8"/>
      <c r="D636" s="60"/>
      <c r="E636" s="60"/>
      <c r="F636" s="60"/>
      <c r="G636" s="6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60"/>
      <c r="B637" s="60"/>
      <c r="C637" s="8"/>
      <c r="D637" s="60"/>
      <c r="E637" s="60"/>
      <c r="F637" s="60"/>
      <c r="G637" s="6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60"/>
      <c r="B638" s="60"/>
      <c r="C638" s="8"/>
      <c r="D638" s="60"/>
      <c r="E638" s="60"/>
      <c r="F638" s="60"/>
      <c r="G638" s="6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60"/>
      <c r="B639" s="60"/>
      <c r="C639" s="8"/>
      <c r="D639" s="60"/>
      <c r="E639" s="60"/>
      <c r="F639" s="60"/>
      <c r="G639" s="6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60"/>
      <c r="B640" s="60"/>
      <c r="C640" s="8"/>
      <c r="D640" s="60"/>
      <c r="E640" s="60"/>
      <c r="F640" s="60"/>
      <c r="G640" s="6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60"/>
      <c r="B641" s="60"/>
      <c r="C641" s="8"/>
      <c r="D641" s="60"/>
      <c r="E641" s="60"/>
      <c r="F641" s="60"/>
      <c r="G641" s="6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60"/>
      <c r="B642" s="60"/>
      <c r="C642" s="8"/>
      <c r="D642" s="60"/>
      <c r="E642" s="60"/>
      <c r="F642" s="60"/>
      <c r="G642" s="6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60"/>
      <c r="B643" s="60"/>
      <c r="C643" s="8"/>
      <c r="D643" s="60"/>
      <c r="E643" s="60"/>
      <c r="F643" s="60"/>
      <c r="G643" s="6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60"/>
      <c r="B644" s="60"/>
      <c r="C644" s="8"/>
      <c r="D644" s="60"/>
      <c r="E644" s="60"/>
      <c r="F644" s="60"/>
      <c r="G644" s="6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60"/>
      <c r="B645" s="60"/>
      <c r="C645" s="8"/>
      <c r="D645" s="60"/>
      <c r="E645" s="60"/>
      <c r="F645" s="60"/>
      <c r="G645" s="6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60"/>
      <c r="B646" s="60"/>
      <c r="C646" s="8"/>
      <c r="D646" s="60"/>
      <c r="E646" s="60"/>
      <c r="F646" s="60"/>
      <c r="G646" s="6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60"/>
      <c r="B647" s="60"/>
      <c r="C647" s="8"/>
      <c r="D647" s="60"/>
      <c r="E647" s="60"/>
      <c r="F647" s="60"/>
      <c r="G647" s="6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60"/>
      <c r="B648" s="60"/>
      <c r="C648" s="8"/>
      <c r="D648" s="60"/>
      <c r="E648" s="60"/>
      <c r="F648" s="60"/>
      <c r="G648" s="6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60"/>
      <c r="B649" s="60"/>
      <c r="C649" s="8"/>
      <c r="D649" s="60"/>
      <c r="E649" s="60"/>
      <c r="F649" s="60"/>
      <c r="G649" s="6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60"/>
      <c r="B650" s="60"/>
      <c r="C650" s="8"/>
      <c r="D650" s="60"/>
      <c r="E650" s="60"/>
      <c r="F650" s="60"/>
      <c r="G650" s="6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60"/>
      <c r="B651" s="60"/>
      <c r="C651" s="8"/>
      <c r="D651" s="60"/>
      <c r="E651" s="60"/>
      <c r="F651" s="60"/>
      <c r="G651" s="6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60"/>
      <c r="B652" s="60"/>
      <c r="C652" s="8"/>
      <c r="D652" s="60"/>
      <c r="E652" s="60"/>
      <c r="F652" s="60"/>
      <c r="G652" s="6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60"/>
      <c r="B653" s="60"/>
      <c r="C653" s="8"/>
      <c r="D653" s="60"/>
      <c r="E653" s="60"/>
      <c r="F653" s="60"/>
      <c r="G653" s="6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60"/>
      <c r="B654" s="60"/>
      <c r="C654" s="8"/>
      <c r="D654" s="60"/>
      <c r="E654" s="60"/>
      <c r="F654" s="60"/>
      <c r="G654" s="6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60"/>
      <c r="B655" s="60"/>
      <c r="C655" s="8"/>
      <c r="D655" s="60"/>
      <c r="E655" s="60"/>
      <c r="F655" s="60"/>
      <c r="G655" s="6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60"/>
      <c r="B656" s="60"/>
      <c r="C656" s="8"/>
      <c r="D656" s="60"/>
      <c r="E656" s="60"/>
      <c r="F656" s="60"/>
      <c r="G656" s="6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60"/>
      <c r="B657" s="60"/>
      <c r="C657" s="8"/>
      <c r="D657" s="60"/>
      <c r="E657" s="60"/>
      <c r="F657" s="60"/>
      <c r="G657" s="6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60"/>
      <c r="B658" s="60"/>
      <c r="C658" s="8"/>
      <c r="D658" s="60"/>
      <c r="E658" s="60"/>
      <c r="F658" s="60"/>
      <c r="G658" s="6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60"/>
      <c r="B659" s="60"/>
      <c r="C659" s="8"/>
      <c r="D659" s="60"/>
      <c r="E659" s="60"/>
      <c r="F659" s="60"/>
      <c r="G659" s="6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60"/>
      <c r="B660" s="60"/>
      <c r="C660" s="8"/>
      <c r="D660" s="60"/>
      <c r="E660" s="60"/>
      <c r="F660" s="60"/>
      <c r="G660" s="6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60"/>
      <c r="B661" s="60"/>
      <c r="C661" s="8"/>
      <c r="D661" s="60"/>
      <c r="E661" s="60"/>
      <c r="F661" s="60"/>
      <c r="G661" s="6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60"/>
      <c r="B662" s="60"/>
      <c r="C662" s="8"/>
      <c r="D662" s="60"/>
      <c r="E662" s="60"/>
      <c r="F662" s="60"/>
      <c r="G662" s="6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60"/>
      <c r="B663" s="60"/>
      <c r="C663" s="8"/>
      <c r="D663" s="60"/>
      <c r="E663" s="60"/>
      <c r="F663" s="60"/>
      <c r="G663" s="6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60"/>
      <c r="B664" s="60"/>
      <c r="C664" s="8"/>
      <c r="D664" s="60"/>
      <c r="E664" s="60"/>
      <c r="F664" s="60"/>
      <c r="G664" s="6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60"/>
      <c r="B665" s="60"/>
      <c r="C665" s="8"/>
      <c r="D665" s="60"/>
      <c r="E665" s="60"/>
      <c r="F665" s="60"/>
      <c r="G665" s="6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60"/>
      <c r="B666" s="60"/>
      <c r="C666" s="8"/>
      <c r="D666" s="60"/>
      <c r="E666" s="60"/>
      <c r="F666" s="60"/>
      <c r="G666" s="6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60"/>
      <c r="B667" s="60"/>
      <c r="C667" s="8"/>
      <c r="D667" s="60"/>
      <c r="E667" s="60"/>
      <c r="F667" s="60"/>
      <c r="G667" s="6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60"/>
      <c r="B668" s="60"/>
      <c r="C668" s="8"/>
      <c r="D668" s="60"/>
      <c r="E668" s="60"/>
      <c r="F668" s="60"/>
      <c r="G668" s="6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60"/>
      <c r="B669" s="60"/>
      <c r="C669" s="8"/>
      <c r="D669" s="60"/>
      <c r="E669" s="60"/>
      <c r="F669" s="60"/>
      <c r="G669" s="6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60"/>
      <c r="B670" s="60"/>
      <c r="C670" s="8"/>
      <c r="D670" s="60"/>
      <c r="E670" s="60"/>
      <c r="F670" s="60"/>
      <c r="G670" s="6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60"/>
      <c r="B671" s="60"/>
      <c r="C671" s="8"/>
      <c r="D671" s="60"/>
      <c r="E671" s="60"/>
      <c r="F671" s="60"/>
      <c r="G671" s="6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60"/>
      <c r="B672" s="60"/>
      <c r="C672" s="8"/>
      <c r="D672" s="60"/>
      <c r="E672" s="60"/>
      <c r="F672" s="60"/>
      <c r="G672" s="6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60"/>
      <c r="B673" s="60"/>
      <c r="C673" s="8"/>
      <c r="D673" s="60"/>
      <c r="E673" s="60"/>
      <c r="F673" s="60"/>
      <c r="G673" s="6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60"/>
      <c r="B674" s="60"/>
      <c r="C674" s="8"/>
      <c r="D674" s="60"/>
      <c r="E674" s="60"/>
      <c r="F674" s="60"/>
      <c r="G674" s="6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60"/>
      <c r="B675" s="60"/>
      <c r="C675" s="8"/>
      <c r="D675" s="60"/>
      <c r="E675" s="60"/>
      <c r="F675" s="60"/>
      <c r="G675" s="6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60"/>
      <c r="B676" s="60"/>
      <c r="C676" s="8"/>
      <c r="D676" s="60"/>
      <c r="E676" s="60"/>
      <c r="F676" s="60"/>
      <c r="G676" s="6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60"/>
      <c r="B677" s="60"/>
      <c r="C677" s="8"/>
      <c r="D677" s="60"/>
      <c r="E677" s="60"/>
      <c r="F677" s="60"/>
      <c r="G677" s="6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60"/>
      <c r="B678" s="60"/>
      <c r="C678" s="8"/>
      <c r="D678" s="60"/>
      <c r="E678" s="60"/>
      <c r="F678" s="60"/>
      <c r="G678" s="6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60"/>
      <c r="B679" s="60"/>
      <c r="C679" s="8"/>
      <c r="D679" s="60"/>
      <c r="E679" s="60"/>
      <c r="F679" s="60"/>
      <c r="G679" s="6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60"/>
      <c r="B680" s="60"/>
      <c r="C680" s="8"/>
      <c r="D680" s="60"/>
      <c r="E680" s="60"/>
      <c r="F680" s="60"/>
      <c r="G680" s="6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60"/>
      <c r="B681" s="60"/>
      <c r="C681" s="8"/>
      <c r="D681" s="60"/>
      <c r="E681" s="60"/>
      <c r="F681" s="60"/>
      <c r="G681" s="6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60"/>
      <c r="B682" s="60"/>
      <c r="C682" s="8"/>
      <c r="D682" s="60"/>
      <c r="E682" s="60"/>
      <c r="F682" s="60"/>
      <c r="G682" s="6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60"/>
      <c r="B683" s="60"/>
      <c r="C683" s="8"/>
      <c r="D683" s="60"/>
      <c r="E683" s="60"/>
      <c r="F683" s="60"/>
      <c r="G683" s="6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60"/>
      <c r="B684" s="60"/>
      <c r="C684" s="8"/>
      <c r="D684" s="60"/>
      <c r="E684" s="60"/>
      <c r="F684" s="60"/>
      <c r="G684" s="6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60"/>
      <c r="B685" s="60"/>
      <c r="C685" s="8"/>
      <c r="D685" s="60"/>
      <c r="E685" s="60"/>
      <c r="F685" s="60"/>
      <c r="G685" s="6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60"/>
      <c r="B686" s="60"/>
      <c r="C686" s="8"/>
      <c r="D686" s="60"/>
      <c r="E686" s="60"/>
      <c r="F686" s="60"/>
      <c r="G686" s="6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60"/>
      <c r="B687" s="60"/>
      <c r="C687" s="8"/>
      <c r="D687" s="60"/>
      <c r="E687" s="60"/>
      <c r="F687" s="60"/>
      <c r="G687" s="6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60"/>
      <c r="B688" s="60"/>
      <c r="C688" s="8"/>
      <c r="D688" s="60"/>
      <c r="E688" s="60"/>
      <c r="F688" s="60"/>
      <c r="G688" s="6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60"/>
      <c r="B689" s="60"/>
      <c r="C689" s="8"/>
      <c r="D689" s="60"/>
      <c r="E689" s="60"/>
      <c r="F689" s="60"/>
      <c r="G689" s="6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60"/>
      <c r="B690" s="60"/>
      <c r="C690" s="8"/>
      <c r="D690" s="60"/>
      <c r="E690" s="60"/>
      <c r="F690" s="60"/>
      <c r="G690" s="6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60"/>
      <c r="B691" s="60"/>
      <c r="C691" s="8"/>
      <c r="D691" s="60"/>
      <c r="E691" s="60"/>
      <c r="F691" s="60"/>
      <c r="G691" s="6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60"/>
      <c r="B692" s="60"/>
      <c r="C692" s="8"/>
      <c r="D692" s="60"/>
      <c r="E692" s="60"/>
      <c r="F692" s="60"/>
      <c r="G692" s="6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60"/>
      <c r="B693" s="60"/>
      <c r="C693" s="8"/>
      <c r="D693" s="60"/>
      <c r="E693" s="60"/>
      <c r="F693" s="60"/>
      <c r="G693" s="6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60"/>
      <c r="B694" s="60"/>
      <c r="C694" s="8"/>
      <c r="D694" s="60"/>
      <c r="E694" s="60"/>
      <c r="F694" s="60"/>
      <c r="G694" s="6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60"/>
      <c r="B695" s="60"/>
      <c r="C695" s="8"/>
      <c r="D695" s="60"/>
      <c r="E695" s="60"/>
      <c r="F695" s="60"/>
      <c r="G695" s="6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60"/>
      <c r="B696" s="60"/>
      <c r="C696" s="8"/>
      <c r="D696" s="60"/>
      <c r="E696" s="60"/>
      <c r="F696" s="60"/>
      <c r="G696" s="6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60"/>
      <c r="B697" s="60"/>
      <c r="C697" s="8"/>
      <c r="D697" s="60"/>
      <c r="E697" s="60"/>
      <c r="F697" s="60"/>
      <c r="G697" s="6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60"/>
      <c r="B698" s="60"/>
      <c r="C698" s="8"/>
      <c r="D698" s="60"/>
      <c r="E698" s="60"/>
      <c r="F698" s="60"/>
      <c r="G698" s="6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60"/>
      <c r="B699" s="60"/>
      <c r="C699" s="8"/>
      <c r="D699" s="60"/>
      <c r="E699" s="60"/>
      <c r="F699" s="60"/>
      <c r="G699" s="6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60"/>
      <c r="B700" s="60"/>
      <c r="C700" s="8"/>
      <c r="D700" s="60"/>
      <c r="E700" s="60"/>
      <c r="F700" s="60"/>
      <c r="G700" s="6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60"/>
      <c r="B701" s="60"/>
      <c r="C701" s="8"/>
      <c r="D701" s="60"/>
      <c r="E701" s="60"/>
      <c r="F701" s="60"/>
      <c r="G701" s="6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60"/>
      <c r="B702" s="60"/>
      <c r="C702" s="8"/>
      <c r="D702" s="60"/>
      <c r="E702" s="60"/>
      <c r="F702" s="60"/>
      <c r="G702" s="6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60"/>
      <c r="B703" s="60"/>
      <c r="C703" s="8"/>
      <c r="D703" s="60"/>
      <c r="E703" s="60"/>
      <c r="F703" s="60"/>
      <c r="G703" s="6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60"/>
      <c r="B704" s="60"/>
      <c r="C704" s="8"/>
      <c r="D704" s="60"/>
      <c r="E704" s="60"/>
      <c r="F704" s="60"/>
      <c r="G704" s="6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60"/>
      <c r="B705" s="60"/>
      <c r="C705" s="8"/>
      <c r="D705" s="60"/>
      <c r="E705" s="60"/>
      <c r="F705" s="60"/>
      <c r="G705" s="6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60"/>
      <c r="B706" s="60"/>
      <c r="C706" s="8"/>
      <c r="D706" s="60"/>
      <c r="E706" s="60"/>
      <c r="F706" s="60"/>
      <c r="G706" s="6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60"/>
      <c r="B707" s="60"/>
      <c r="C707" s="8"/>
      <c r="D707" s="60"/>
      <c r="E707" s="60"/>
      <c r="F707" s="60"/>
      <c r="G707" s="6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60"/>
      <c r="B708" s="60"/>
      <c r="C708" s="8"/>
      <c r="D708" s="60"/>
      <c r="E708" s="60"/>
      <c r="F708" s="60"/>
      <c r="G708" s="6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60"/>
      <c r="B709" s="60"/>
      <c r="C709" s="8"/>
      <c r="D709" s="60"/>
      <c r="E709" s="60"/>
      <c r="F709" s="60"/>
      <c r="G709" s="6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60"/>
      <c r="B710" s="60"/>
      <c r="C710" s="8"/>
      <c r="D710" s="60"/>
      <c r="E710" s="60"/>
      <c r="F710" s="60"/>
      <c r="G710" s="6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60"/>
      <c r="B711" s="60"/>
      <c r="C711" s="8"/>
      <c r="D711" s="60"/>
      <c r="E711" s="60"/>
      <c r="F711" s="60"/>
      <c r="G711" s="6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60"/>
      <c r="B712" s="60"/>
      <c r="C712" s="8"/>
      <c r="D712" s="60"/>
      <c r="E712" s="60"/>
      <c r="F712" s="60"/>
      <c r="G712" s="6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60"/>
      <c r="B713" s="60"/>
      <c r="C713" s="8"/>
      <c r="D713" s="60"/>
      <c r="E713" s="60"/>
      <c r="F713" s="60"/>
      <c r="G713" s="6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60"/>
      <c r="B714" s="60"/>
      <c r="C714" s="8"/>
      <c r="D714" s="60"/>
      <c r="E714" s="60"/>
      <c r="F714" s="60"/>
      <c r="G714" s="6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60"/>
      <c r="B715" s="60"/>
      <c r="C715" s="8"/>
      <c r="D715" s="60"/>
      <c r="E715" s="60"/>
      <c r="F715" s="60"/>
      <c r="G715" s="6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60"/>
      <c r="B716" s="60"/>
      <c r="C716" s="8"/>
      <c r="D716" s="60"/>
      <c r="E716" s="60"/>
      <c r="F716" s="60"/>
      <c r="G716" s="6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60"/>
      <c r="B717" s="60"/>
      <c r="C717" s="8"/>
      <c r="D717" s="60"/>
      <c r="E717" s="60"/>
      <c r="F717" s="60"/>
      <c r="G717" s="6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60"/>
      <c r="B718" s="60"/>
      <c r="C718" s="8"/>
      <c r="D718" s="60"/>
      <c r="E718" s="60"/>
      <c r="F718" s="60"/>
      <c r="G718" s="6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60"/>
      <c r="B719" s="60"/>
      <c r="C719" s="8"/>
      <c r="D719" s="60"/>
      <c r="E719" s="60"/>
      <c r="F719" s="60"/>
      <c r="G719" s="6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60"/>
      <c r="B720" s="60"/>
      <c r="C720" s="8"/>
      <c r="D720" s="60"/>
      <c r="E720" s="60"/>
      <c r="F720" s="60"/>
      <c r="G720" s="6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60"/>
      <c r="B721" s="60"/>
      <c r="C721" s="8"/>
      <c r="D721" s="60"/>
      <c r="E721" s="60"/>
      <c r="F721" s="60"/>
      <c r="G721" s="6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60"/>
      <c r="B722" s="60"/>
      <c r="C722" s="8"/>
      <c r="D722" s="60"/>
      <c r="E722" s="60"/>
      <c r="F722" s="60"/>
      <c r="G722" s="6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60"/>
      <c r="B723" s="60"/>
      <c r="C723" s="8"/>
      <c r="D723" s="60"/>
      <c r="E723" s="60"/>
      <c r="F723" s="60"/>
      <c r="G723" s="6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60"/>
      <c r="B724" s="60"/>
      <c r="C724" s="8"/>
      <c r="D724" s="60"/>
      <c r="E724" s="60"/>
      <c r="F724" s="60"/>
      <c r="G724" s="6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60"/>
      <c r="B725" s="60"/>
      <c r="C725" s="8"/>
      <c r="D725" s="60"/>
      <c r="E725" s="60"/>
      <c r="F725" s="60"/>
      <c r="G725" s="6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60"/>
      <c r="B726" s="60"/>
      <c r="C726" s="8"/>
      <c r="D726" s="60"/>
      <c r="E726" s="60"/>
      <c r="F726" s="60"/>
      <c r="G726" s="60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60"/>
      <c r="B727" s="60"/>
      <c r="C727" s="8"/>
      <c r="D727" s="60"/>
      <c r="E727" s="60"/>
      <c r="F727" s="60"/>
      <c r="G727" s="60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60"/>
      <c r="B728" s="60"/>
      <c r="C728" s="8"/>
      <c r="D728" s="60"/>
      <c r="E728" s="60"/>
      <c r="F728" s="60"/>
      <c r="G728" s="60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60"/>
      <c r="B729" s="60"/>
      <c r="C729" s="8"/>
      <c r="D729" s="60"/>
      <c r="E729" s="60"/>
      <c r="F729" s="60"/>
      <c r="G729" s="60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60"/>
      <c r="B730" s="60"/>
      <c r="C730" s="8"/>
      <c r="D730" s="60"/>
      <c r="E730" s="60"/>
      <c r="F730" s="60"/>
      <c r="G730" s="60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60"/>
      <c r="B731" s="60"/>
      <c r="C731" s="8"/>
      <c r="D731" s="60"/>
      <c r="E731" s="60"/>
      <c r="F731" s="60"/>
      <c r="G731" s="60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60"/>
      <c r="B732" s="60"/>
      <c r="C732" s="8"/>
      <c r="D732" s="60"/>
      <c r="E732" s="60"/>
      <c r="F732" s="60"/>
      <c r="G732" s="60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60"/>
      <c r="B733" s="60"/>
      <c r="C733" s="8"/>
      <c r="D733" s="60"/>
      <c r="E733" s="60"/>
      <c r="F733" s="60"/>
      <c r="G733" s="60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60"/>
      <c r="B734" s="60"/>
      <c r="C734" s="8"/>
      <c r="D734" s="60"/>
      <c r="E734" s="60"/>
      <c r="F734" s="60"/>
      <c r="G734" s="60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60"/>
      <c r="B735" s="60"/>
      <c r="C735" s="8"/>
      <c r="D735" s="60"/>
      <c r="E735" s="60"/>
      <c r="F735" s="60"/>
      <c r="G735" s="60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60"/>
      <c r="B736" s="60"/>
      <c r="C736" s="8"/>
      <c r="D736" s="60"/>
      <c r="E736" s="60"/>
      <c r="F736" s="60"/>
      <c r="G736" s="60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60"/>
      <c r="B737" s="60"/>
      <c r="C737" s="8"/>
      <c r="D737" s="60"/>
      <c r="E737" s="60"/>
      <c r="F737" s="60"/>
      <c r="G737" s="60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60"/>
      <c r="B738" s="60"/>
      <c r="C738" s="8"/>
      <c r="D738" s="60"/>
      <c r="E738" s="60"/>
      <c r="F738" s="60"/>
      <c r="G738" s="60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60"/>
      <c r="B739" s="60"/>
      <c r="C739" s="8"/>
      <c r="D739" s="60"/>
      <c r="E739" s="60"/>
      <c r="F739" s="60"/>
      <c r="G739" s="60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60"/>
      <c r="B740" s="60"/>
      <c r="C740" s="8"/>
      <c r="D740" s="60"/>
      <c r="E740" s="60"/>
      <c r="F740" s="60"/>
      <c r="G740" s="60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60"/>
      <c r="B741" s="60"/>
      <c r="C741" s="8"/>
      <c r="D741" s="60"/>
      <c r="E741" s="60"/>
      <c r="F741" s="60"/>
      <c r="G741" s="60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60"/>
      <c r="B742" s="60"/>
      <c r="C742" s="8"/>
      <c r="D742" s="60"/>
      <c r="E742" s="60"/>
      <c r="F742" s="60"/>
      <c r="G742" s="60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60"/>
      <c r="B743" s="60"/>
      <c r="C743" s="8"/>
      <c r="D743" s="60"/>
      <c r="E743" s="60"/>
      <c r="F743" s="60"/>
      <c r="G743" s="60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60"/>
      <c r="B744" s="60"/>
      <c r="C744" s="8"/>
      <c r="D744" s="60"/>
      <c r="E744" s="60"/>
      <c r="F744" s="60"/>
      <c r="G744" s="60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60"/>
      <c r="B745" s="60"/>
      <c r="C745" s="8"/>
      <c r="D745" s="60"/>
      <c r="E745" s="60"/>
      <c r="F745" s="60"/>
      <c r="G745" s="60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60"/>
      <c r="B746" s="60"/>
      <c r="C746" s="8"/>
      <c r="D746" s="60"/>
      <c r="E746" s="60"/>
      <c r="F746" s="60"/>
      <c r="G746" s="60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60"/>
      <c r="B747" s="60"/>
      <c r="C747" s="8"/>
      <c r="D747" s="60"/>
      <c r="E747" s="60"/>
      <c r="F747" s="60"/>
      <c r="G747" s="60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60"/>
      <c r="B748" s="60"/>
      <c r="C748" s="8"/>
      <c r="D748" s="60"/>
      <c r="E748" s="60"/>
      <c r="F748" s="60"/>
      <c r="G748" s="60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60"/>
      <c r="B749" s="60"/>
      <c r="C749" s="8"/>
      <c r="D749" s="60"/>
      <c r="E749" s="60"/>
      <c r="F749" s="60"/>
      <c r="G749" s="60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60"/>
      <c r="B750" s="60"/>
      <c r="C750" s="8"/>
      <c r="D750" s="60"/>
      <c r="E750" s="60"/>
      <c r="F750" s="60"/>
      <c r="G750" s="60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60"/>
      <c r="B751" s="60"/>
      <c r="C751" s="8"/>
      <c r="D751" s="60"/>
      <c r="E751" s="60"/>
      <c r="F751" s="60"/>
      <c r="G751" s="60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60"/>
      <c r="B752" s="60"/>
      <c r="C752" s="8"/>
      <c r="D752" s="60"/>
      <c r="E752" s="60"/>
      <c r="F752" s="60"/>
      <c r="G752" s="60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60"/>
      <c r="B753" s="60"/>
      <c r="C753" s="8"/>
      <c r="D753" s="60"/>
      <c r="E753" s="60"/>
      <c r="F753" s="60"/>
      <c r="G753" s="60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60"/>
      <c r="B754" s="60"/>
      <c r="C754" s="8"/>
      <c r="D754" s="60"/>
      <c r="E754" s="60"/>
      <c r="F754" s="60"/>
      <c r="G754" s="60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60"/>
      <c r="B755" s="60"/>
      <c r="C755" s="8"/>
      <c r="D755" s="60"/>
      <c r="E755" s="60"/>
      <c r="F755" s="60"/>
      <c r="G755" s="60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60"/>
      <c r="B756" s="60"/>
      <c r="C756" s="8"/>
      <c r="D756" s="60"/>
      <c r="E756" s="60"/>
      <c r="F756" s="60"/>
      <c r="G756" s="60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60"/>
      <c r="B757" s="60"/>
      <c r="C757" s="8"/>
      <c r="D757" s="60"/>
      <c r="E757" s="60"/>
      <c r="F757" s="60"/>
      <c r="G757" s="60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60"/>
      <c r="B758" s="60"/>
      <c r="C758" s="8"/>
      <c r="D758" s="60"/>
      <c r="E758" s="60"/>
      <c r="F758" s="60"/>
      <c r="G758" s="60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60"/>
      <c r="B759" s="60"/>
      <c r="C759" s="8"/>
      <c r="D759" s="60"/>
      <c r="E759" s="60"/>
      <c r="F759" s="60"/>
      <c r="G759" s="60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60"/>
      <c r="B760" s="60"/>
      <c r="C760" s="8"/>
      <c r="D760" s="60"/>
      <c r="E760" s="60"/>
      <c r="F760" s="60"/>
      <c r="G760" s="60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60"/>
      <c r="B761" s="60"/>
      <c r="C761" s="8"/>
      <c r="D761" s="60"/>
      <c r="E761" s="60"/>
      <c r="F761" s="60"/>
      <c r="G761" s="60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60"/>
      <c r="B762" s="60"/>
      <c r="C762" s="8"/>
      <c r="D762" s="60"/>
      <c r="E762" s="60"/>
      <c r="F762" s="60"/>
      <c r="G762" s="60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60"/>
      <c r="B763" s="60"/>
      <c r="C763" s="8"/>
      <c r="D763" s="60"/>
      <c r="E763" s="60"/>
      <c r="F763" s="60"/>
      <c r="G763" s="60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60"/>
      <c r="B764" s="60"/>
      <c r="C764" s="8"/>
      <c r="D764" s="60"/>
      <c r="E764" s="60"/>
      <c r="F764" s="60"/>
      <c r="G764" s="60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60"/>
      <c r="B765" s="60"/>
      <c r="C765" s="8"/>
      <c r="D765" s="60"/>
      <c r="E765" s="60"/>
      <c r="F765" s="60"/>
      <c r="G765" s="60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60"/>
      <c r="B766" s="60"/>
      <c r="C766" s="8"/>
      <c r="D766" s="60"/>
      <c r="E766" s="60"/>
      <c r="F766" s="60"/>
      <c r="G766" s="60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60"/>
      <c r="B767" s="60"/>
      <c r="C767" s="8"/>
      <c r="D767" s="60"/>
      <c r="E767" s="60"/>
      <c r="F767" s="60"/>
      <c r="G767" s="60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60"/>
      <c r="B768" s="60"/>
      <c r="C768" s="8"/>
      <c r="D768" s="60"/>
      <c r="E768" s="60"/>
      <c r="F768" s="60"/>
      <c r="G768" s="60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60"/>
      <c r="B769" s="60"/>
      <c r="C769" s="8"/>
      <c r="D769" s="60"/>
      <c r="E769" s="60"/>
      <c r="F769" s="60"/>
      <c r="G769" s="60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60"/>
      <c r="B770" s="60"/>
      <c r="C770" s="8"/>
      <c r="D770" s="60"/>
      <c r="E770" s="60"/>
      <c r="F770" s="60"/>
      <c r="G770" s="60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60"/>
      <c r="B771" s="60"/>
      <c r="C771" s="8"/>
      <c r="D771" s="60"/>
      <c r="E771" s="60"/>
      <c r="F771" s="60"/>
      <c r="G771" s="60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60"/>
      <c r="B772" s="60"/>
      <c r="C772" s="8"/>
      <c r="D772" s="60"/>
      <c r="E772" s="60"/>
      <c r="F772" s="60"/>
      <c r="G772" s="60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60"/>
      <c r="B773" s="60"/>
      <c r="C773" s="8"/>
      <c r="D773" s="60"/>
      <c r="E773" s="60"/>
      <c r="F773" s="60"/>
      <c r="G773" s="60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60"/>
      <c r="B774" s="60"/>
      <c r="C774" s="8"/>
      <c r="D774" s="60"/>
      <c r="E774" s="60"/>
      <c r="F774" s="60"/>
      <c r="G774" s="60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60"/>
      <c r="B775" s="60"/>
      <c r="C775" s="8"/>
      <c r="D775" s="60"/>
      <c r="E775" s="60"/>
      <c r="F775" s="60"/>
      <c r="G775" s="60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60"/>
      <c r="B776" s="60"/>
      <c r="C776" s="8"/>
      <c r="D776" s="60"/>
      <c r="E776" s="60"/>
      <c r="F776" s="60"/>
      <c r="G776" s="60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60"/>
      <c r="B777" s="60"/>
      <c r="C777" s="8"/>
      <c r="D777" s="60"/>
      <c r="E777" s="60"/>
      <c r="F777" s="60"/>
      <c r="G777" s="60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60"/>
      <c r="B778" s="60"/>
      <c r="C778" s="8"/>
      <c r="D778" s="60"/>
      <c r="E778" s="60"/>
      <c r="F778" s="60"/>
      <c r="G778" s="60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60"/>
      <c r="B779" s="60"/>
      <c r="C779" s="8"/>
      <c r="D779" s="60"/>
      <c r="E779" s="60"/>
      <c r="F779" s="60"/>
      <c r="G779" s="60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60"/>
      <c r="B780" s="60"/>
      <c r="C780" s="8"/>
      <c r="D780" s="60"/>
      <c r="E780" s="60"/>
      <c r="F780" s="60"/>
      <c r="G780" s="60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60"/>
      <c r="B781" s="60"/>
      <c r="C781" s="8"/>
      <c r="D781" s="60"/>
      <c r="E781" s="60"/>
      <c r="F781" s="60"/>
      <c r="G781" s="60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60"/>
      <c r="B782" s="60"/>
      <c r="C782" s="8"/>
      <c r="D782" s="60"/>
      <c r="E782" s="60"/>
      <c r="F782" s="60"/>
      <c r="G782" s="60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60"/>
      <c r="B783" s="60"/>
      <c r="C783" s="8"/>
      <c r="D783" s="60"/>
      <c r="E783" s="60"/>
      <c r="F783" s="60"/>
      <c r="G783" s="60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60"/>
      <c r="B784" s="60"/>
      <c r="C784" s="8"/>
      <c r="D784" s="60"/>
      <c r="E784" s="60"/>
      <c r="F784" s="60"/>
      <c r="G784" s="60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60"/>
      <c r="B785" s="60"/>
      <c r="C785" s="8"/>
      <c r="D785" s="60"/>
      <c r="E785" s="60"/>
      <c r="F785" s="60"/>
      <c r="G785" s="60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60"/>
      <c r="B786" s="60"/>
      <c r="C786" s="8"/>
      <c r="D786" s="60"/>
      <c r="E786" s="60"/>
      <c r="F786" s="60"/>
      <c r="G786" s="60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60"/>
      <c r="B787" s="60"/>
      <c r="C787" s="8"/>
      <c r="D787" s="60"/>
      <c r="E787" s="60"/>
      <c r="F787" s="60"/>
      <c r="G787" s="60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60"/>
      <c r="B788" s="60"/>
      <c r="C788" s="8"/>
      <c r="D788" s="60"/>
      <c r="E788" s="60"/>
      <c r="F788" s="60"/>
      <c r="G788" s="60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60"/>
      <c r="B789" s="60"/>
      <c r="C789" s="8"/>
      <c r="D789" s="60"/>
      <c r="E789" s="60"/>
      <c r="F789" s="60"/>
      <c r="G789" s="60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60"/>
      <c r="B790" s="60"/>
      <c r="C790" s="8"/>
      <c r="D790" s="60"/>
      <c r="E790" s="60"/>
      <c r="F790" s="60"/>
      <c r="G790" s="60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60"/>
      <c r="B791" s="60"/>
      <c r="C791" s="8"/>
      <c r="D791" s="60"/>
      <c r="E791" s="60"/>
      <c r="F791" s="60"/>
      <c r="G791" s="60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60"/>
      <c r="B792" s="60"/>
      <c r="C792" s="8"/>
      <c r="D792" s="60"/>
      <c r="E792" s="60"/>
      <c r="F792" s="60"/>
      <c r="G792" s="60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60"/>
      <c r="B793" s="60"/>
      <c r="C793" s="8"/>
      <c r="D793" s="60"/>
      <c r="E793" s="60"/>
      <c r="F793" s="60"/>
      <c r="G793" s="60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60"/>
      <c r="B794" s="60"/>
      <c r="C794" s="8"/>
      <c r="D794" s="60"/>
      <c r="E794" s="60"/>
      <c r="F794" s="60"/>
      <c r="G794" s="60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60"/>
      <c r="B795" s="60"/>
      <c r="C795" s="8"/>
      <c r="D795" s="60"/>
      <c r="E795" s="60"/>
      <c r="F795" s="60"/>
      <c r="G795" s="60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60"/>
      <c r="B796" s="60"/>
      <c r="C796" s="8"/>
      <c r="D796" s="60"/>
      <c r="E796" s="60"/>
      <c r="F796" s="60"/>
      <c r="G796" s="60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60"/>
      <c r="B797" s="60"/>
      <c r="C797" s="8"/>
      <c r="D797" s="60"/>
      <c r="E797" s="60"/>
      <c r="F797" s="60"/>
      <c r="G797" s="60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60"/>
      <c r="B798" s="60"/>
      <c r="C798" s="8"/>
      <c r="D798" s="60"/>
      <c r="E798" s="60"/>
      <c r="F798" s="60"/>
      <c r="G798" s="60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60"/>
      <c r="B799" s="60"/>
      <c r="C799" s="8"/>
      <c r="D799" s="60"/>
      <c r="E799" s="60"/>
      <c r="F799" s="60"/>
      <c r="G799" s="60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60"/>
      <c r="B800" s="60"/>
      <c r="C800" s="8"/>
      <c r="D800" s="60"/>
      <c r="E800" s="60"/>
      <c r="F800" s="60"/>
      <c r="G800" s="60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60"/>
      <c r="B801" s="60"/>
      <c r="C801" s="8"/>
      <c r="D801" s="60"/>
      <c r="E801" s="60"/>
      <c r="F801" s="60"/>
      <c r="G801" s="60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60"/>
      <c r="B802" s="60"/>
      <c r="C802" s="8"/>
      <c r="D802" s="60"/>
      <c r="E802" s="60"/>
      <c r="F802" s="60"/>
      <c r="G802" s="60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60"/>
      <c r="B803" s="60"/>
      <c r="C803" s="8"/>
      <c r="D803" s="60"/>
      <c r="E803" s="60"/>
      <c r="F803" s="60"/>
      <c r="G803" s="60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60"/>
      <c r="B804" s="60"/>
      <c r="C804" s="8"/>
      <c r="D804" s="60"/>
      <c r="E804" s="60"/>
      <c r="F804" s="60"/>
      <c r="G804" s="60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60"/>
      <c r="B805" s="60"/>
      <c r="C805" s="8"/>
      <c r="D805" s="60"/>
      <c r="E805" s="60"/>
      <c r="F805" s="60"/>
      <c r="G805" s="60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60"/>
      <c r="B806" s="60"/>
      <c r="C806" s="8"/>
      <c r="D806" s="60"/>
      <c r="E806" s="60"/>
      <c r="F806" s="60"/>
      <c r="G806" s="60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60"/>
      <c r="B807" s="60"/>
      <c r="C807" s="8"/>
      <c r="D807" s="60"/>
      <c r="E807" s="60"/>
      <c r="F807" s="60"/>
      <c r="G807" s="60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60"/>
      <c r="B808" s="60"/>
      <c r="C808" s="8"/>
      <c r="D808" s="60"/>
      <c r="E808" s="60"/>
      <c r="F808" s="60"/>
      <c r="G808" s="60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60"/>
      <c r="B809" s="60"/>
      <c r="C809" s="8"/>
      <c r="D809" s="60"/>
      <c r="E809" s="60"/>
      <c r="F809" s="60"/>
      <c r="G809" s="60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60"/>
      <c r="B810" s="60"/>
      <c r="C810" s="8"/>
      <c r="D810" s="60"/>
      <c r="E810" s="60"/>
      <c r="F810" s="60"/>
      <c r="G810" s="60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60"/>
      <c r="B811" s="60"/>
      <c r="C811" s="8"/>
      <c r="D811" s="60"/>
      <c r="E811" s="60"/>
      <c r="F811" s="60"/>
      <c r="G811" s="60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60"/>
      <c r="B812" s="60"/>
      <c r="C812" s="8"/>
      <c r="D812" s="60"/>
      <c r="E812" s="60"/>
      <c r="F812" s="60"/>
      <c r="G812" s="60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60"/>
      <c r="B813" s="60"/>
      <c r="C813" s="8"/>
      <c r="D813" s="60"/>
      <c r="E813" s="60"/>
      <c r="F813" s="60"/>
      <c r="G813" s="60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60"/>
      <c r="B814" s="60"/>
      <c r="C814" s="8"/>
      <c r="D814" s="60"/>
      <c r="E814" s="60"/>
      <c r="F814" s="60"/>
      <c r="G814" s="60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60"/>
      <c r="B815" s="60"/>
      <c r="C815" s="8"/>
      <c r="D815" s="60"/>
      <c r="E815" s="60"/>
      <c r="F815" s="60"/>
      <c r="G815" s="60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60"/>
      <c r="B816" s="60"/>
      <c r="C816" s="8"/>
      <c r="D816" s="60"/>
      <c r="E816" s="60"/>
      <c r="F816" s="60"/>
      <c r="G816" s="60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60"/>
      <c r="B817" s="60"/>
      <c r="C817" s="8"/>
      <c r="D817" s="60"/>
      <c r="E817" s="60"/>
      <c r="F817" s="60"/>
      <c r="G817" s="60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60"/>
      <c r="B818" s="60"/>
      <c r="C818" s="8"/>
      <c r="D818" s="60"/>
      <c r="E818" s="60"/>
      <c r="F818" s="60"/>
      <c r="G818" s="60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60"/>
      <c r="B819" s="60"/>
      <c r="C819" s="8"/>
      <c r="D819" s="60"/>
      <c r="E819" s="60"/>
      <c r="F819" s="60"/>
      <c r="G819" s="60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60"/>
      <c r="B820" s="60"/>
      <c r="C820" s="8"/>
      <c r="D820" s="60"/>
      <c r="E820" s="60"/>
      <c r="F820" s="60"/>
      <c r="G820" s="60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60"/>
      <c r="B821" s="60"/>
      <c r="C821" s="8"/>
      <c r="D821" s="60"/>
      <c r="E821" s="60"/>
      <c r="F821" s="60"/>
      <c r="G821" s="60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60"/>
      <c r="B822" s="60"/>
      <c r="C822" s="8"/>
      <c r="D822" s="60"/>
      <c r="E822" s="60"/>
      <c r="F822" s="60"/>
      <c r="G822" s="60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60"/>
      <c r="B823" s="60"/>
      <c r="C823" s="8"/>
      <c r="D823" s="60"/>
      <c r="E823" s="60"/>
      <c r="F823" s="60"/>
      <c r="G823" s="60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60"/>
      <c r="B824" s="60"/>
      <c r="C824" s="8"/>
      <c r="D824" s="60"/>
      <c r="E824" s="60"/>
      <c r="F824" s="60"/>
      <c r="G824" s="60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60"/>
      <c r="B825" s="60"/>
      <c r="C825" s="8"/>
      <c r="D825" s="60"/>
      <c r="E825" s="60"/>
      <c r="F825" s="60"/>
      <c r="G825" s="60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60"/>
      <c r="B826" s="60"/>
      <c r="C826" s="8"/>
      <c r="D826" s="60"/>
      <c r="E826" s="60"/>
      <c r="F826" s="60"/>
      <c r="G826" s="60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60"/>
      <c r="B827" s="60"/>
      <c r="C827" s="8"/>
      <c r="D827" s="60"/>
      <c r="E827" s="60"/>
      <c r="F827" s="60"/>
      <c r="G827" s="60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60"/>
      <c r="B828" s="60"/>
      <c r="C828" s="8"/>
      <c r="D828" s="60"/>
      <c r="E828" s="60"/>
      <c r="F828" s="60"/>
      <c r="G828" s="60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60"/>
      <c r="B829" s="60"/>
      <c r="C829" s="8"/>
      <c r="D829" s="60"/>
      <c r="E829" s="60"/>
      <c r="F829" s="60"/>
      <c r="G829" s="60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60"/>
      <c r="B830" s="60"/>
      <c r="C830" s="8"/>
      <c r="D830" s="60"/>
      <c r="E830" s="60"/>
      <c r="F830" s="60"/>
      <c r="G830" s="60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60"/>
      <c r="B831" s="60"/>
      <c r="C831" s="8"/>
      <c r="D831" s="60"/>
      <c r="E831" s="60"/>
      <c r="F831" s="60"/>
      <c r="G831" s="60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60"/>
      <c r="B832" s="60"/>
      <c r="C832" s="8"/>
      <c r="D832" s="60"/>
      <c r="E832" s="60"/>
      <c r="F832" s="60"/>
      <c r="G832" s="60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60"/>
      <c r="B833" s="60"/>
      <c r="C833" s="8"/>
      <c r="D833" s="60"/>
      <c r="E833" s="60"/>
      <c r="F833" s="60"/>
      <c r="G833" s="60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60"/>
      <c r="B834" s="60"/>
      <c r="C834" s="8"/>
      <c r="D834" s="60"/>
      <c r="E834" s="60"/>
      <c r="F834" s="60"/>
      <c r="G834" s="60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60"/>
      <c r="B835" s="60"/>
      <c r="C835" s="8"/>
      <c r="D835" s="60"/>
      <c r="E835" s="60"/>
      <c r="F835" s="60"/>
      <c r="G835" s="60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60"/>
      <c r="B836" s="60"/>
      <c r="C836" s="8"/>
      <c r="D836" s="60"/>
      <c r="E836" s="60"/>
      <c r="F836" s="60"/>
      <c r="G836" s="60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60"/>
      <c r="B837" s="60"/>
      <c r="C837" s="8"/>
      <c r="D837" s="60"/>
      <c r="E837" s="60"/>
      <c r="F837" s="60"/>
      <c r="G837" s="60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60"/>
      <c r="B838" s="60"/>
      <c r="C838" s="8"/>
      <c r="D838" s="60"/>
      <c r="E838" s="60"/>
      <c r="F838" s="60"/>
      <c r="G838" s="60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60"/>
      <c r="B839" s="60"/>
      <c r="C839" s="8"/>
      <c r="D839" s="60"/>
      <c r="E839" s="60"/>
      <c r="F839" s="60"/>
      <c r="G839" s="60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60"/>
      <c r="B840" s="60"/>
      <c r="C840" s="8"/>
      <c r="D840" s="60"/>
      <c r="E840" s="60"/>
      <c r="F840" s="60"/>
      <c r="G840" s="60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60"/>
      <c r="B841" s="60"/>
      <c r="C841" s="8"/>
      <c r="D841" s="60"/>
      <c r="E841" s="60"/>
      <c r="F841" s="60"/>
      <c r="G841" s="60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60"/>
      <c r="B842" s="60"/>
      <c r="C842" s="8"/>
      <c r="D842" s="60"/>
      <c r="E842" s="60"/>
      <c r="F842" s="60"/>
      <c r="G842" s="60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60"/>
      <c r="B843" s="60"/>
      <c r="C843" s="8"/>
      <c r="D843" s="60"/>
      <c r="E843" s="60"/>
      <c r="F843" s="60"/>
      <c r="G843" s="60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60"/>
      <c r="B844" s="60"/>
      <c r="C844" s="8"/>
      <c r="D844" s="60"/>
      <c r="E844" s="60"/>
      <c r="F844" s="60"/>
      <c r="G844" s="60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60"/>
      <c r="B845" s="60"/>
      <c r="C845" s="8"/>
      <c r="D845" s="60"/>
      <c r="E845" s="60"/>
      <c r="F845" s="60"/>
      <c r="G845" s="60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60"/>
      <c r="B846" s="60"/>
      <c r="C846" s="8"/>
      <c r="D846" s="60"/>
      <c r="E846" s="60"/>
      <c r="F846" s="60"/>
      <c r="G846" s="60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60"/>
      <c r="B847" s="60"/>
      <c r="C847" s="8"/>
      <c r="D847" s="60"/>
      <c r="E847" s="60"/>
      <c r="F847" s="60"/>
      <c r="G847" s="60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60"/>
      <c r="B848" s="60"/>
      <c r="C848" s="8"/>
      <c r="D848" s="60"/>
      <c r="E848" s="60"/>
      <c r="F848" s="60"/>
      <c r="G848" s="60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60"/>
      <c r="B849" s="60"/>
      <c r="C849" s="8"/>
      <c r="D849" s="60"/>
      <c r="E849" s="60"/>
      <c r="F849" s="60"/>
      <c r="G849" s="60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60"/>
      <c r="B850" s="60"/>
      <c r="C850" s="8"/>
      <c r="D850" s="60"/>
      <c r="E850" s="60"/>
      <c r="F850" s="60"/>
      <c r="G850" s="60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60"/>
      <c r="B851" s="60"/>
      <c r="C851" s="8"/>
      <c r="D851" s="60"/>
      <c r="E851" s="60"/>
      <c r="F851" s="60"/>
      <c r="G851" s="60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60"/>
      <c r="B852" s="60"/>
      <c r="C852" s="8"/>
      <c r="D852" s="60"/>
      <c r="E852" s="60"/>
      <c r="F852" s="60"/>
      <c r="G852" s="60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60"/>
      <c r="B853" s="60"/>
      <c r="C853" s="8"/>
      <c r="D853" s="60"/>
      <c r="E853" s="60"/>
      <c r="F853" s="60"/>
      <c r="G853" s="60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60"/>
      <c r="B854" s="60"/>
      <c r="C854" s="8"/>
      <c r="D854" s="60"/>
      <c r="E854" s="60"/>
      <c r="F854" s="60"/>
      <c r="G854" s="60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60"/>
      <c r="B855" s="60"/>
      <c r="C855" s="8"/>
      <c r="D855" s="60"/>
      <c r="E855" s="60"/>
      <c r="F855" s="60"/>
      <c r="G855" s="60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60"/>
      <c r="B856" s="60"/>
      <c r="C856" s="8"/>
      <c r="D856" s="60"/>
      <c r="E856" s="60"/>
      <c r="F856" s="60"/>
      <c r="G856" s="60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60"/>
      <c r="B857" s="60"/>
      <c r="C857" s="8"/>
      <c r="D857" s="60"/>
      <c r="E857" s="60"/>
      <c r="F857" s="60"/>
      <c r="G857" s="60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60"/>
      <c r="B858" s="60"/>
      <c r="C858" s="8"/>
      <c r="D858" s="60"/>
      <c r="E858" s="60"/>
      <c r="F858" s="60"/>
      <c r="G858" s="60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60"/>
      <c r="B859" s="60"/>
      <c r="C859" s="8"/>
      <c r="D859" s="60"/>
      <c r="E859" s="60"/>
      <c r="F859" s="60"/>
      <c r="G859" s="60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60"/>
      <c r="B860" s="60"/>
      <c r="C860" s="8"/>
      <c r="D860" s="60"/>
      <c r="E860" s="60"/>
      <c r="F860" s="60"/>
      <c r="G860" s="60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60"/>
      <c r="B861" s="60"/>
      <c r="C861" s="8"/>
      <c r="D861" s="60"/>
      <c r="E861" s="60"/>
      <c r="F861" s="60"/>
      <c r="G861" s="60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60"/>
      <c r="B862" s="60"/>
      <c r="C862" s="8"/>
      <c r="D862" s="60"/>
      <c r="E862" s="60"/>
      <c r="F862" s="60"/>
      <c r="G862" s="60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60"/>
      <c r="B863" s="60"/>
      <c r="C863" s="8"/>
      <c r="D863" s="60"/>
      <c r="E863" s="60"/>
      <c r="F863" s="60"/>
      <c r="G863" s="60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60"/>
      <c r="B864" s="60"/>
      <c r="C864" s="8"/>
      <c r="D864" s="60"/>
      <c r="E864" s="60"/>
      <c r="F864" s="60"/>
      <c r="G864" s="60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60"/>
      <c r="B865" s="60"/>
      <c r="C865" s="8"/>
      <c r="D865" s="60"/>
      <c r="E865" s="60"/>
      <c r="F865" s="60"/>
      <c r="G865" s="60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60"/>
      <c r="B866" s="60"/>
      <c r="C866" s="8"/>
      <c r="D866" s="60"/>
      <c r="E866" s="60"/>
      <c r="F866" s="60"/>
      <c r="G866" s="60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60"/>
      <c r="B867" s="60"/>
      <c r="C867" s="8"/>
      <c r="D867" s="60"/>
      <c r="E867" s="60"/>
      <c r="F867" s="60"/>
      <c r="G867" s="60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60"/>
      <c r="B868" s="60"/>
      <c r="C868" s="8"/>
      <c r="D868" s="60"/>
      <c r="E868" s="60"/>
      <c r="F868" s="60"/>
      <c r="G868" s="60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60"/>
      <c r="B869" s="60"/>
      <c r="C869" s="8"/>
      <c r="D869" s="60"/>
      <c r="E869" s="60"/>
      <c r="F869" s="60"/>
      <c r="G869" s="60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60"/>
      <c r="B870" s="60"/>
      <c r="C870" s="8"/>
      <c r="D870" s="60"/>
      <c r="E870" s="60"/>
      <c r="F870" s="60"/>
      <c r="G870" s="60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60"/>
      <c r="B871" s="60"/>
      <c r="C871" s="8"/>
      <c r="D871" s="60"/>
      <c r="E871" s="60"/>
      <c r="F871" s="60"/>
      <c r="G871" s="60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60"/>
      <c r="B872" s="60"/>
      <c r="C872" s="8"/>
      <c r="D872" s="60"/>
      <c r="E872" s="60"/>
      <c r="F872" s="60"/>
      <c r="G872" s="60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60"/>
      <c r="B873" s="60"/>
      <c r="C873" s="8"/>
      <c r="D873" s="60"/>
      <c r="E873" s="60"/>
      <c r="F873" s="60"/>
      <c r="G873" s="60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60"/>
      <c r="B874" s="60"/>
      <c r="C874" s="8"/>
      <c r="D874" s="60"/>
      <c r="E874" s="60"/>
      <c r="F874" s="60"/>
      <c r="G874" s="60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60"/>
      <c r="B875" s="60"/>
      <c r="C875" s="8"/>
      <c r="D875" s="60"/>
      <c r="E875" s="60"/>
      <c r="F875" s="60"/>
      <c r="G875" s="60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60"/>
      <c r="B876" s="60"/>
      <c r="C876" s="8"/>
      <c r="D876" s="60"/>
      <c r="E876" s="60"/>
      <c r="F876" s="60"/>
      <c r="G876" s="60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60"/>
      <c r="B877" s="60"/>
      <c r="C877" s="8"/>
      <c r="D877" s="60"/>
      <c r="E877" s="60"/>
      <c r="F877" s="60"/>
      <c r="G877" s="60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60"/>
      <c r="B878" s="60"/>
      <c r="C878" s="8"/>
      <c r="D878" s="60"/>
      <c r="E878" s="60"/>
      <c r="F878" s="60"/>
      <c r="G878" s="60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60"/>
      <c r="B879" s="60"/>
      <c r="C879" s="8"/>
      <c r="D879" s="60"/>
      <c r="E879" s="60"/>
      <c r="F879" s="60"/>
      <c r="G879" s="60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60"/>
      <c r="B880" s="60"/>
      <c r="C880" s="8"/>
      <c r="D880" s="60"/>
      <c r="E880" s="60"/>
      <c r="F880" s="60"/>
      <c r="G880" s="60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60"/>
      <c r="B881" s="60"/>
      <c r="C881" s="8"/>
      <c r="D881" s="60"/>
      <c r="E881" s="60"/>
      <c r="F881" s="60"/>
      <c r="G881" s="60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60"/>
      <c r="B882" s="60"/>
      <c r="C882" s="8"/>
      <c r="D882" s="60"/>
      <c r="E882" s="60"/>
      <c r="F882" s="60"/>
      <c r="G882" s="60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60"/>
      <c r="B883" s="60"/>
      <c r="C883" s="8"/>
      <c r="D883" s="60"/>
      <c r="E883" s="60"/>
      <c r="F883" s="60"/>
      <c r="G883" s="60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60"/>
      <c r="B884" s="60"/>
      <c r="C884" s="8"/>
      <c r="D884" s="60"/>
      <c r="E884" s="60"/>
      <c r="F884" s="60"/>
      <c r="G884" s="60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60"/>
      <c r="B885" s="60"/>
      <c r="C885" s="8"/>
      <c r="D885" s="60"/>
      <c r="E885" s="60"/>
      <c r="F885" s="60"/>
      <c r="G885" s="60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60"/>
      <c r="B886" s="60"/>
      <c r="C886" s="8"/>
      <c r="D886" s="60"/>
      <c r="E886" s="60"/>
      <c r="F886" s="60"/>
      <c r="G886" s="60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60"/>
      <c r="B887" s="60"/>
      <c r="C887" s="8"/>
      <c r="D887" s="60"/>
      <c r="E887" s="60"/>
      <c r="F887" s="60"/>
      <c r="G887" s="60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60"/>
      <c r="B888" s="60"/>
      <c r="C888" s="8"/>
      <c r="D888" s="60"/>
      <c r="E888" s="60"/>
      <c r="F888" s="60"/>
      <c r="G888" s="60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60"/>
      <c r="B889" s="60"/>
      <c r="C889" s="8"/>
      <c r="D889" s="60"/>
      <c r="E889" s="60"/>
      <c r="F889" s="60"/>
      <c r="G889" s="60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60"/>
      <c r="B890" s="60"/>
      <c r="C890" s="8"/>
      <c r="D890" s="60"/>
      <c r="E890" s="60"/>
      <c r="F890" s="60"/>
      <c r="G890" s="60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60"/>
      <c r="B891" s="60"/>
      <c r="C891" s="8"/>
      <c r="D891" s="60"/>
      <c r="E891" s="60"/>
      <c r="F891" s="60"/>
      <c r="G891" s="60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60"/>
      <c r="B892" s="60"/>
      <c r="C892" s="8"/>
      <c r="D892" s="60"/>
      <c r="E892" s="60"/>
      <c r="F892" s="60"/>
      <c r="G892" s="60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60"/>
      <c r="B893" s="60"/>
      <c r="C893" s="8"/>
      <c r="D893" s="60"/>
      <c r="E893" s="60"/>
      <c r="F893" s="60"/>
      <c r="G893" s="60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60"/>
      <c r="B894" s="60"/>
      <c r="C894" s="8"/>
      <c r="D894" s="60"/>
      <c r="E894" s="60"/>
      <c r="F894" s="60"/>
      <c r="G894" s="60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60"/>
      <c r="B895" s="60"/>
      <c r="C895" s="8"/>
      <c r="D895" s="60"/>
      <c r="E895" s="60"/>
      <c r="F895" s="60"/>
      <c r="G895" s="60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60"/>
      <c r="B896" s="60"/>
      <c r="C896" s="8"/>
      <c r="D896" s="60"/>
      <c r="E896" s="60"/>
      <c r="F896" s="60"/>
      <c r="G896" s="60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60"/>
      <c r="B897" s="60"/>
      <c r="C897" s="8"/>
      <c r="D897" s="60"/>
      <c r="E897" s="60"/>
      <c r="F897" s="60"/>
      <c r="G897" s="60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60"/>
      <c r="B898" s="60"/>
      <c r="C898" s="8"/>
      <c r="D898" s="60"/>
      <c r="E898" s="60"/>
      <c r="F898" s="60"/>
      <c r="G898" s="60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60"/>
      <c r="B899" s="60"/>
      <c r="C899" s="8"/>
      <c r="D899" s="60"/>
      <c r="E899" s="60"/>
      <c r="F899" s="60"/>
      <c r="G899" s="60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60"/>
      <c r="B900" s="60"/>
      <c r="C900" s="8"/>
      <c r="D900" s="60"/>
      <c r="E900" s="60"/>
      <c r="F900" s="60"/>
      <c r="G900" s="60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60"/>
      <c r="B901" s="60"/>
      <c r="C901" s="8"/>
      <c r="D901" s="60"/>
      <c r="E901" s="60"/>
      <c r="F901" s="60"/>
      <c r="G901" s="60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60"/>
      <c r="B902" s="60"/>
      <c r="C902" s="8"/>
      <c r="D902" s="60"/>
      <c r="E902" s="60"/>
      <c r="F902" s="60"/>
      <c r="G902" s="60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60"/>
      <c r="B903" s="60"/>
      <c r="C903" s="8"/>
      <c r="D903" s="60"/>
      <c r="E903" s="60"/>
      <c r="F903" s="60"/>
      <c r="G903" s="60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60"/>
      <c r="B904" s="60"/>
      <c r="C904" s="8"/>
      <c r="D904" s="60"/>
      <c r="E904" s="60"/>
      <c r="F904" s="60"/>
      <c r="G904" s="60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60"/>
      <c r="B905" s="60"/>
      <c r="C905" s="8"/>
      <c r="D905" s="60"/>
      <c r="E905" s="60"/>
      <c r="F905" s="60"/>
      <c r="G905" s="60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60"/>
      <c r="B906" s="60"/>
      <c r="C906" s="8"/>
      <c r="D906" s="60"/>
      <c r="E906" s="60"/>
      <c r="F906" s="60"/>
      <c r="G906" s="60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60"/>
      <c r="B907" s="60"/>
      <c r="C907" s="8"/>
      <c r="D907" s="60"/>
      <c r="E907" s="60"/>
      <c r="F907" s="60"/>
      <c r="G907" s="60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60"/>
      <c r="B908" s="60"/>
      <c r="C908" s="8"/>
      <c r="D908" s="60"/>
      <c r="E908" s="60"/>
      <c r="F908" s="60"/>
      <c r="G908" s="60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60"/>
      <c r="B909" s="60"/>
      <c r="C909" s="8"/>
      <c r="D909" s="60"/>
      <c r="E909" s="60"/>
      <c r="F909" s="60"/>
      <c r="G909" s="60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60"/>
      <c r="B910" s="60"/>
      <c r="C910" s="8"/>
      <c r="D910" s="60"/>
      <c r="E910" s="60"/>
      <c r="F910" s="60"/>
      <c r="G910" s="60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60"/>
      <c r="B911" s="60"/>
      <c r="C911" s="8"/>
      <c r="D911" s="60"/>
      <c r="E911" s="60"/>
      <c r="F911" s="60"/>
      <c r="G911" s="60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60"/>
      <c r="B912" s="60"/>
      <c r="C912" s="8"/>
      <c r="D912" s="60"/>
      <c r="E912" s="60"/>
      <c r="F912" s="60"/>
      <c r="G912" s="60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60"/>
      <c r="B913" s="60"/>
      <c r="C913" s="8"/>
      <c r="D913" s="60"/>
      <c r="E913" s="60"/>
      <c r="F913" s="60"/>
      <c r="G913" s="60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60"/>
      <c r="B914" s="60"/>
      <c r="C914" s="8"/>
      <c r="D914" s="60"/>
      <c r="E914" s="60"/>
      <c r="F914" s="60"/>
      <c r="G914" s="60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60"/>
      <c r="B915" s="60"/>
      <c r="C915" s="8"/>
      <c r="D915" s="60"/>
      <c r="E915" s="60"/>
      <c r="F915" s="60"/>
      <c r="G915" s="60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60"/>
      <c r="B916" s="60"/>
      <c r="C916" s="8"/>
      <c r="D916" s="60"/>
      <c r="E916" s="60"/>
      <c r="F916" s="60"/>
      <c r="G916" s="60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60"/>
      <c r="B917" s="60"/>
      <c r="C917" s="8"/>
      <c r="D917" s="60"/>
      <c r="E917" s="60"/>
      <c r="F917" s="60"/>
      <c r="G917" s="60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60"/>
      <c r="B918" s="60"/>
      <c r="C918" s="8"/>
      <c r="D918" s="60"/>
      <c r="E918" s="60"/>
      <c r="F918" s="60"/>
      <c r="G918" s="60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60"/>
      <c r="B919" s="60"/>
      <c r="C919" s="8"/>
      <c r="D919" s="60"/>
      <c r="E919" s="60"/>
      <c r="F919" s="60"/>
      <c r="G919" s="60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60"/>
      <c r="B920" s="60"/>
      <c r="C920" s="8"/>
      <c r="D920" s="60"/>
      <c r="E920" s="60"/>
      <c r="F920" s="60"/>
      <c r="G920" s="60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60"/>
      <c r="B921" s="60"/>
      <c r="C921" s="8"/>
      <c r="D921" s="60"/>
      <c r="E921" s="60"/>
      <c r="F921" s="60"/>
      <c r="G921" s="60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60"/>
      <c r="B922" s="60"/>
      <c r="C922" s="8"/>
      <c r="D922" s="60"/>
      <c r="E922" s="60"/>
      <c r="F922" s="60"/>
      <c r="G922" s="60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60"/>
      <c r="B923" s="60"/>
      <c r="C923" s="8"/>
      <c r="D923" s="60"/>
      <c r="E923" s="60"/>
      <c r="F923" s="60"/>
      <c r="G923" s="60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60"/>
      <c r="B924" s="60"/>
      <c r="C924" s="8"/>
      <c r="D924" s="60"/>
      <c r="E924" s="60"/>
      <c r="F924" s="60"/>
      <c r="G924" s="60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60"/>
      <c r="B925" s="60"/>
      <c r="C925" s="8"/>
      <c r="D925" s="60"/>
      <c r="E925" s="60"/>
      <c r="F925" s="60"/>
      <c r="G925" s="60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60"/>
      <c r="B926" s="60"/>
      <c r="C926" s="8"/>
      <c r="D926" s="60"/>
      <c r="E926" s="60"/>
      <c r="F926" s="60"/>
      <c r="G926" s="60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60"/>
      <c r="B927" s="60"/>
      <c r="C927" s="8"/>
      <c r="D927" s="60"/>
      <c r="E927" s="60"/>
      <c r="F927" s="60"/>
      <c r="G927" s="60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60"/>
      <c r="B928" s="60"/>
      <c r="C928" s="8"/>
      <c r="D928" s="60"/>
      <c r="E928" s="60"/>
      <c r="F928" s="60"/>
      <c r="G928" s="60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60"/>
      <c r="B929" s="60"/>
      <c r="C929" s="8"/>
      <c r="D929" s="60"/>
      <c r="E929" s="60"/>
      <c r="F929" s="60"/>
      <c r="G929" s="60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60"/>
      <c r="B930" s="60"/>
      <c r="C930" s="8"/>
      <c r="D930" s="60"/>
      <c r="E930" s="60"/>
      <c r="F930" s="60"/>
      <c r="G930" s="60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60"/>
      <c r="B931" s="60"/>
      <c r="C931" s="8"/>
      <c r="D931" s="60"/>
      <c r="E931" s="60"/>
      <c r="F931" s="60"/>
      <c r="G931" s="60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60"/>
      <c r="B932" s="60"/>
      <c r="C932" s="8"/>
      <c r="D932" s="60"/>
      <c r="E932" s="60"/>
      <c r="F932" s="60"/>
      <c r="G932" s="60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60"/>
      <c r="B933" s="60"/>
      <c r="C933" s="8"/>
      <c r="D933" s="60"/>
      <c r="E933" s="60"/>
      <c r="F933" s="60"/>
      <c r="G933" s="60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60"/>
      <c r="B934" s="60"/>
      <c r="C934" s="8"/>
      <c r="D934" s="60"/>
      <c r="E934" s="60"/>
      <c r="F934" s="60"/>
      <c r="G934" s="60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60"/>
      <c r="B935" s="60"/>
      <c r="C935" s="8"/>
      <c r="D935" s="60"/>
      <c r="E935" s="60"/>
      <c r="F935" s="60"/>
      <c r="G935" s="60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60"/>
      <c r="B936" s="60"/>
      <c r="C936" s="8"/>
      <c r="D936" s="60"/>
      <c r="E936" s="60"/>
      <c r="F936" s="60"/>
      <c r="G936" s="60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60"/>
      <c r="B937" s="60"/>
      <c r="C937" s="8"/>
      <c r="D937" s="60"/>
      <c r="E937" s="60"/>
      <c r="F937" s="60"/>
      <c r="G937" s="60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60"/>
      <c r="B938" s="60"/>
      <c r="C938" s="8"/>
      <c r="D938" s="60"/>
      <c r="E938" s="60"/>
      <c r="F938" s="60"/>
      <c r="G938" s="60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60"/>
      <c r="B939" s="60"/>
      <c r="C939" s="8"/>
      <c r="D939" s="60"/>
      <c r="E939" s="60"/>
      <c r="F939" s="60"/>
      <c r="G939" s="60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60"/>
      <c r="B940" s="60"/>
      <c r="C940" s="8"/>
      <c r="D940" s="60"/>
      <c r="E940" s="60"/>
      <c r="F940" s="60"/>
      <c r="G940" s="60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60"/>
      <c r="B941" s="60"/>
      <c r="C941" s="8"/>
      <c r="D941" s="60"/>
      <c r="E941" s="60"/>
      <c r="F941" s="60"/>
      <c r="G941" s="60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60"/>
      <c r="B942" s="60"/>
      <c r="C942" s="8"/>
      <c r="D942" s="60"/>
      <c r="E942" s="60"/>
      <c r="F942" s="60"/>
      <c r="G942" s="60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60"/>
      <c r="B943" s="60"/>
      <c r="C943" s="8"/>
      <c r="D943" s="60"/>
      <c r="E943" s="60"/>
      <c r="F943" s="60"/>
      <c r="G943" s="60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60"/>
      <c r="B944" s="60"/>
      <c r="C944" s="8"/>
      <c r="D944" s="60"/>
      <c r="E944" s="60"/>
      <c r="F944" s="60"/>
      <c r="G944" s="60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60"/>
      <c r="B945" s="60"/>
      <c r="C945" s="8"/>
      <c r="D945" s="60"/>
      <c r="E945" s="60"/>
      <c r="F945" s="60"/>
      <c r="G945" s="60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60"/>
      <c r="B946" s="60"/>
      <c r="C946" s="8"/>
      <c r="D946" s="60"/>
      <c r="E946" s="60"/>
      <c r="F946" s="60"/>
      <c r="G946" s="60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60"/>
      <c r="B947" s="60"/>
      <c r="C947" s="8"/>
      <c r="D947" s="60"/>
      <c r="E947" s="60"/>
      <c r="F947" s="60"/>
      <c r="G947" s="60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60"/>
      <c r="B948" s="60"/>
      <c r="C948" s="8"/>
      <c r="D948" s="60"/>
      <c r="E948" s="60"/>
      <c r="F948" s="60"/>
      <c r="G948" s="60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60"/>
      <c r="B949" s="60"/>
      <c r="C949" s="8"/>
      <c r="D949" s="60"/>
      <c r="E949" s="60"/>
      <c r="F949" s="60"/>
      <c r="G949" s="60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60"/>
      <c r="B950" s="60"/>
      <c r="C950" s="8"/>
      <c r="D950" s="60"/>
      <c r="E950" s="60"/>
      <c r="F950" s="60"/>
      <c r="G950" s="60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60"/>
      <c r="B951" s="60"/>
      <c r="C951" s="8"/>
      <c r="D951" s="60"/>
      <c r="E951" s="60"/>
      <c r="F951" s="60"/>
      <c r="G951" s="60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60"/>
      <c r="B952" s="60"/>
      <c r="C952" s="8"/>
      <c r="D952" s="60"/>
      <c r="E952" s="60"/>
      <c r="F952" s="60"/>
      <c r="G952" s="60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60"/>
      <c r="B953" s="60"/>
      <c r="C953" s="8"/>
      <c r="D953" s="60"/>
      <c r="E953" s="60"/>
      <c r="F953" s="60"/>
      <c r="G953" s="60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60"/>
      <c r="B954" s="60"/>
      <c r="C954" s="8"/>
      <c r="D954" s="60"/>
      <c r="E954" s="60"/>
      <c r="F954" s="60"/>
      <c r="G954" s="60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60"/>
      <c r="B955" s="60"/>
      <c r="C955" s="8"/>
      <c r="D955" s="60"/>
      <c r="E955" s="60"/>
      <c r="F955" s="60"/>
      <c r="G955" s="60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60"/>
      <c r="B956" s="60"/>
      <c r="C956" s="8"/>
      <c r="D956" s="60"/>
      <c r="E956" s="60"/>
      <c r="F956" s="60"/>
      <c r="G956" s="60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60"/>
      <c r="B957" s="60"/>
      <c r="C957" s="8"/>
      <c r="D957" s="60"/>
      <c r="E957" s="60"/>
      <c r="F957" s="60"/>
      <c r="G957" s="60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60"/>
      <c r="B958" s="60"/>
      <c r="C958" s="8"/>
      <c r="D958" s="60"/>
      <c r="E958" s="60"/>
      <c r="F958" s="60"/>
      <c r="G958" s="60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60"/>
      <c r="B959" s="60"/>
      <c r="C959" s="8"/>
      <c r="D959" s="60"/>
      <c r="E959" s="60"/>
      <c r="F959" s="60"/>
      <c r="G959" s="60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60"/>
      <c r="B960" s="60"/>
      <c r="C960" s="8"/>
      <c r="D960" s="60"/>
      <c r="E960" s="60"/>
      <c r="F960" s="60"/>
      <c r="G960" s="60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60"/>
      <c r="B961" s="60"/>
      <c r="C961" s="8"/>
      <c r="D961" s="60"/>
      <c r="E961" s="60"/>
      <c r="F961" s="60"/>
      <c r="G961" s="60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60"/>
      <c r="B962" s="60"/>
      <c r="C962" s="8"/>
      <c r="D962" s="60"/>
      <c r="E962" s="60"/>
      <c r="F962" s="60"/>
      <c r="G962" s="60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60"/>
      <c r="B963" s="60"/>
      <c r="C963" s="8"/>
      <c r="D963" s="60"/>
      <c r="E963" s="60"/>
      <c r="F963" s="60"/>
      <c r="G963" s="60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60"/>
      <c r="B964" s="60"/>
      <c r="C964" s="8"/>
      <c r="D964" s="60"/>
      <c r="E964" s="60"/>
      <c r="F964" s="60"/>
      <c r="G964" s="60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60"/>
      <c r="B965" s="60"/>
      <c r="C965" s="8"/>
      <c r="D965" s="60"/>
      <c r="E965" s="60"/>
      <c r="F965" s="60"/>
      <c r="G965" s="60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60"/>
      <c r="B966" s="60"/>
      <c r="C966" s="8"/>
      <c r="D966" s="60"/>
      <c r="E966" s="60"/>
      <c r="F966" s="60"/>
      <c r="G966" s="60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60"/>
      <c r="B967" s="60"/>
      <c r="C967" s="8"/>
      <c r="D967" s="60"/>
      <c r="E967" s="60"/>
      <c r="F967" s="60"/>
      <c r="G967" s="60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60"/>
      <c r="B968" s="60"/>
      <c r="C968" s="8"/>
      <c r="D968" s="60"/>
      <c r="E968" s="60"/>
      <c r="F968" s="60"/>
      <c r="G968" s="60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60"/>
      <c r="B969" s="60"/>
      <c r="C969" s="8"/>
      <c r="D969" s="60"/>
      <c r="E969" s="60"/>
      <c r="F969" s="60"/>
      <c r="G969" s="60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60"/>
      <c r="B970" s="60"/>
      <c r="C970" s="8"/>
      <c r="D970" s="60"/>
      <c r="E970" s="60"/>
      <c r="F970" s="60"/>
      <c r="G970" s="60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60"/>
      <c r="B971" s="60"/>
      <c r="C971" s="8"/>
      <c r="D971" s="60"/>
      <c r="E971" s="60"/>
      <c r="F971" s="60"/>
      <c r="G971" s="60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60"/>
      <c r="B972" s="60"/>
      <c r="C972" s="8"/>
      <c r="D972" s="60"/>
      <c r="E972" s="60"/>
      <c r="F972" s="60"/>
      <c r="G972" s="60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60"/>
      <c r="B973" s="60"/>
      <c r="C973" s="8"/>
      <c r="D973" s="60"/>
      <c r="E973" s="60"/>
      <c r="F973" s="60"/>
      <c r="G973" s="60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60"/>
      <c r="B974" s="60"/>
      <c r="C974" s="8"/>
      <c r="D974" s="60"/>
      <c r="E974" s="60"/>
      <c r="F974" s="60"/>
      <c r="G974" s="60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60"/>
      <c r="B975" s="60"/>
      <c r="C975" s="8"/>
      <c r="D975" s="60"/>
      <c r="E975" s="60"/>
      <c r="F975" s="60"/>
      <c r="G975" s="60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60"/>
      <c r="B976" s="60"/>
      <c r="C976" s="8"/>
      <c r="D976" s="60"/>
      <c r="E976" s="60"/>
      <c r="F976" s="60"/>
      <c r="G976" s="60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60"/>
      <c r="B977" s="60"/>
      <c r="C977" s="8"/>
      <c r="D977" s="60"/>
      <c r="E977" s="60"/>
      <c r="F977" s="60"/>
      <c r="G977" s="60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60"/>
      <c r="B978" s="60"/>
      <c r="C978" s="8"/>
      <c r="D978" s="60"/>
      <c r="E978" s="60"/>
      <c r="F978" s="60"/>
      <c r="G978" s="60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60"/>
      <c r="B979" s="60"/>
      <c r="C979" s="8"/>
      <c r="D979" s="60"/>
      <c r="E979" s="60"/>
      <c r="F979" s="60"/>
      <c r="G979" s="60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60"/>
      <c r="B980" s="60"/>
      <c r="C980" s="8"/>
      <c r="D980" s="60"/>
      <c r="E980" s="60"/>
      <c r="F980" s="60"/>
      <c r="G980" s="60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60"/>
      <c r="B981" s="60"/>
      <c r="C981" s="8"/>
      <c r="D981" s="60"/>
      <c r="E981" s="60"/>
      <c r="F981" s="60"/>
      <c r="G981" s="60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60"/>
      <c r="B982" s="60"/>
      <c r="C982" s="8"/>
      <c r="D982" s="60"/>
      <c r="E982" s="60"/>
      <c r="F982" s="60"/>
      <c r="G982" s="60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60"/>
      <c r="B983" s="60"/>
      <c r="C983" s="8"/>
      <c r="D983" s="60"/>
      <c r="E983" s="60"/>
      <c r="F983" s="60"/>
      <c r="G983" s="60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60"/>
      <c r="B984" s="60"/>
      <c r="C984" s="8"/>
      <c r="D984" s="60"/>
      <c r="E984" s="60"/>
      <c r="F984" s="60"/>
      <c r="G984" s="60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60"/>
      <c r="B985" s="60"/>
      <c r="C985" s="8"/>
      <c r="D985" s="60"/>
      <c r="E985" s="60"/>
      <c r="F985" s="60"/>
      <c r="G985" s="60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60"/>
      <c r="B986" s="60"/>
      <c r="C986" s="8"/>
      <c r="D986" s="60"/>
      <c r="E986" s="60"/>
      <c r="F986" s="60"/>
      <c r="G986" s="60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60"/>
      <c r="B987" s="60"/>
      <c r="C987" s="8"/>
      <c r="D987" s="60"/>
      <c r="E987" s="60"/>
      <c r="F987" s="60"/>
      <c r="G987" s="60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60"/>
      <c r="B988" s="60"/>
      <c r="C988" s="8"/>
      <c r="D988" s="60"/>
      <c r="E988" s="60"/>
      <c r="F988" s="60"/>
      <c r="G988" s="60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60"/>
      <c r="B989" s="60"/>
      <c r="C989" s="8"/>
      <c r="D989" s="60"/>
      <c r="E989" s="60"/>
      <c r="F989" s="60"/>
      <c r="G989" s="60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60"/>
      <c r="B990" s="60"/>
      <c r="C990" s="8"/>
      <c r="D990" s="60"/>
      <c r="E990" s="60"/>
      <c r="F990" s="60"/>
      <c r="G990" s="60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60"/>
      <c r="B991" s="60"/>
      <c r="C991" s="8"/>
      <c r="D991" s="60"/>
      <c r="E991" s="60"/>
      <c r="F991" s="60"/>
      <c r="G991" s="60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60"/>
      <c r="B992" s="60"/>
      <c r="C992" s="8"/>
      <c r="D992" s="60"/>
      <c r="E992" s="60"/>
      <c r="F992" s="60"/>
      <c r="G992" s="60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60"/>
      <c r="B993" s="60"/>
      <c r="C993" s="8"/>
      <c r="D993" s="60"/>
      <c r="E993" s="60"/>
      <c r="F993" s="60"/>
      <c r="G993" s="60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60"/>
      <c r="B994" s="60"/>
      <c r="C994" s="8"/>
      <c r="D994" s="60"/>
      <c r="E994" s="60"/>
      <c r="F994" s="60"/>
      <c r="G994" s="60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60"/>
      <c r="B995" s="60"/>
      <c r="C995" s="8"/>
      <c r="D995" s="60"/>
      <c r="E995" s="60"/>
      <c r="F995" s="60"/>
      <c r="G995" s="60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60"/>
      <c r="B996" s="60"/>
      <c r="C996" s="8"/>
      <c r="D996" s="60"/>
      <c r="E996" s="60"/>
      <c r="F996" s="60"/>
      <c r="G996" s="60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60"/>
      <c r="B997" s="60"/>
      <c r="C997" s="8"/>
      <c r="D997" s="60"/>
      <c r="E997" s="60"/>
      <c r="F997" s="60"/>
      <c r="G997" s="60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60"/>
      <c r="B998" s="60"/>
      <c r="C998" s="8"/>
      <c r="D998" s="60"/>
      <c r="E998" s="60"/>
      <c r="F998" s="60"/>
      <c r="G998" s="60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60"/>
      <c r="B999" s="60"/>
      <c r="C999" s="8"/>
      <c r="D999" s="60"/>
      <c r="E999" s="60"/>
      <c r="F999" s="60"/>
      <c r="G999" s="60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60"/>
      <c r="B1000" s="60"/>
      <c r="C1000" s="8"/>
      <c r="D1000" s="60"/>
      <c r="E1000" s="60"/>
      <c r="F1000" s="60"/>
      <c r="G1000" s="60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60"/>
      <c r="B1001" s="60"/>
      <c r="C1001" s="8"/>
      <c r="D1001" s="60"/>
      <c r="E1001" s="60"/>
      <c r="F1001" s="60"/>
      <c r="G1001" s="60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60"/>
      <c r="B1002" s="60"/>
      <c r="C1002" s="8"/>
      <c r="D1002" s="60"/>
      <c r="E1002" s="60"/>
      <c r="F1002" s="60"/>
      <c r="G1002" s="60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60"/>
      <c r="B1003" s="60"/>
      <c r="C1003" s="8"/>
      <c r="D1003" s="60"/>
      <c r="E1003" s="60"/>
      <c r="F1003" s="60"/>
      <c r="G1003" s="60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</sheetData>
  <dataValidations>
    <dataValidation type="custom" allowBlank="1" showDropDown="1" sqref="E2:E169">
      <formula1>OR(NOT(ISERROR(DATEVALUE(E2))), AND(ISNUMBER(E2), LEFT(CELL("format", E2))="D"))</formula1>
    </dataValidation>
    <dataValidation type="list" allowBlank="1" showDropDown="1" showErrorMessage="1" sqref="F2:F169">
      <formula1>"Aprobado,No aprobado"</formula1>
    </dataValidation>
  </dataValidations>
  <hyperlinks>
    <hyperlink r:id="rId1" ref="G50"/>
    <hyperlink r:id="rId2" ref="G51"/>
    <hyperlink r:id="rId3" ref="G52"/>
    <hyperlink r:id="rId4" ref="G53"/>
    <hyperlink r:id="rId5" ref="G54"/>
    <hyperlink r:id="rId6" ref="G55"/>
    <hyperlink r:id="rId7" ref="G56"/>
    <hyperlink r:id="rId8" ref="G57"/>
    <hyperlink r:id="rId9" ref="G58"/>
    <hyperlink r:id="rId10" ref="G59"/>
    <hyperlink r:id="rId11" ref="G60"/>
    <hyperlink r:id="rId12" ref="G61"/>
    <hyperlink r:id="rId13" ref="G62"/>
    <hyperlink r:id="rId14" ref="G63"/>
    <hyperlink r:id="rId15" ref="G64"/>
    <hyperlink r:id="rId16" ref="G65"/>
  </hyperlinks>
  <drawing r:id="rId17"/>
  <tableParts count="1">
    <tablePart r:id="rId1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6.38"/>
    <col customWidth="1" min="3" max="3" width="31.5"/>
    <col customWidth="1" min="4" max="4" width="24.13"/>
    <col customWidth="1" min="5" max="5" width="25.13"/>
    <col customWidth="1" min="6" max="6" width="24.88"/>
    <col customWidth="1" min="7" max="7" width="23.63"/>
    <col customWidth="1" min="8" max="8" width="18.63"/>
  </cols>
  <sheetData>
    <row r="1" ht="22.5" customHeight="1">
      <c r="A1" s="4" t="s">
        <v>971</v>
      </c>
      <c r="B1" s="4" t="s">
        <v>2</v>
      </c>
      <c r="C1" s="4" t="s">
        <v>973</v>
      </c>
      <c r="D1" s="4" t="s">
        <v>974</v>
      </c>
      <c r="E1" s="4" t="s">
        <v>976</v>
      </c>
      <c r="F1" s="4" t="s">
        <v>977</v>
      </c>
      <c r="G1" s="4" t="s">
        <v>978</v>
      </c>
      <c r="H1" s="4" t="s">
        <v>979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10" t="s">
        <v>980</v>
      </c>
      <c r="B2" s="10" t="s">
        <v>28</v>
      </c>
      <c r="C2" s="150">
        <v>2668.0</v>
      </c>
      <c r="D2" s="150">
        <v>0.0</v>
      </c>
      <c r="E2" s="150">
        <v>0.0</v>
      </c>
      <c r="F2" s="150">
        <v>2668.0</v>
      </c>
      <c r="G2" s="150">
        <v>4788.0</v>
      </c>
      <c r="H2" s="136">
        <v>45200.0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10" t="s">
        <v>983</v>
      </c>
      <c r="B3" s="10" t="s">
        <v>67</v>
      </c>
      <c r="C3" s="150">
        <v>2062.0</v>
      </c>
      <c r="D3" s="150">
        <v>0.0</v>
      </c>
      <c r="E3" s="150">
        <v>0.0</v>
      </c>
      <c r="F3" s="150">
        <v>2062.0</v>
      </c>
      <c r="G3" s="150">
        <v>2533.0</v>
      </c>
      <c r="H3" s="136">
        <v>45436.0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10" t="s">
        <v>987</v>
      </c>
      <c r="B4" s="10" t="s">
        <v>103</v>
      </c>
      <c r="C4" s="150">
        <v>11700.0</v>
      </c>
      <c r="D4" s="150">
        <v>47500.0</v>
      </c>
      <c r="E4" s="150">
        <v>0.0</v>
      </c>
      <c r="F4" s="150">
        <v>59200.0</v>
      </c>
      <c r="G4" s="150">
        <v>18193.0</v>
      </c>
      <c r="H4" s="136">
        <v>45282.0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10" t="s">
        <v>991</v>
      </c>
      <c r="B5" s="10" t="s">
        <v>133</v>
      </c>
      <c r="C5" s="150">
        <v>10400.0</v>
      </c>
      <c r="D5" s="150">
        <v>45800.0</v>
      </c>
      <c r="E5" s="150">
        <v>0.0</v>
      </c>
      <c r="F5" s="150">
        <v>56200.0</v>
      </c>
      <c r="G5" s="150">
        <v>25590.0</v>
      </c>
      <c r="H5" s="136">
        <v>45316.0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10" t="s">
        <v>993</v>
      </c>
      <c r="B6" s="10" t="s">
        <v>142</v>
      </c>
      <c r="C6" s="150">
        <v>2133.0</v>
      </c>
      <c r="D6" s="150">
        <v>0.0</v>
      </c>
      <c r="E6" s="150">
        <v>0.0</v>
      </c>
      <c r="F6" s="150">
        <v>2133.0</v>
      </c>
      <c r="G6" s="150">
        <v>2743.0</v>
      </c>
      <c r="H6" s="136">
        <v>45837.0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10" t="s">
        <v>996</v>
      </c>
      <c r="B7" s="10" t="s">
        <v>169</v>
      </c>
      <c r="C7" s="150">
        <v>2600.0</v>
      </c>
      <c r="D7" s="150">
        <v>0.0</v>
      </c>
      <c r="E7" s="150">
        <v>28000.0</v>
      </c>
      <c r="F7" s="150">
        <v>30600.0</v>
      </c>
      <c r="G7" s="150">
        <v>2961.0</v>
      </c>
      <c r="H7" s="136">
        <v>45596.0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10" t="s">
        <v>998</v>
      </c>
      <c r="B8" s="10" t="s">
        <v>188</v>
      </c>
      <c r="C8" s="150">
        <v>2206.0</v>
      </c>
      <c r="D8" s="150">
        <v>0.0</v>
      </c>
      <c r="E8" s="150">
        <v>0.0</v>
      </c>
      <c r="F8" s="150">
        <v>2206.0</v>
      </c>
      <c r="G8" s="150">
        <v>2487.0</v>
      </c>
      <c r="H8" s="136">
        <v>45430.0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10" t="s">
        <v>1001</v>
      </c>
      <c r="B9" s="10" t="s">
        <v>207</v>
      </c>
      <c r="C9" s="150">
        <v>10400.0</v>
      </c>
      <c r="D9" s="150">
        <v>45800.0</v>
      </c>
      <c r="E9" s="150">
        <v>0.0</v>
      </c>
      <c r="F9" s="150">
        <v>56200.0</v>
      </c>
      <c r="G9" s="150">
        <v>3409.0</v>
      </c>
      <c r="H9" s="136">
        <v>46179.0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10" t="s">
        <v>1003</v>
      </c>
      <c r="B10" s="10" t="s">
        <v>216</v>
      </c>
      <c r="C10" s="150">
        <v>3374.0</v>
      </c>
      <c r="D10" s="150">
        <v>0.0</v>
      </c>
      <c r="E10" s="150">
        <v>0.0</v>
      </c>
      <c r="F10" s="150">
        <v>3374.0</v>
      </c>
      <c r="G10" s="150">
        <v>4267.0</v>
      </c>
      <c r="H10" s="136">
        <v>44851.0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10" t="s">
        <v>1006</v>
      </c>
      <c r="B11" s="10" t="s">
        <v>239</v>
      </c>
      <c r="C11" s="150">
        <v>1276.0</v>
      </c>
      <c r="D11" s="150">
        <v>84000.0</v>
      </c>
      <c r="E11" s="150">
        <v>42000.0</v>
      </c>
      <c r="F11" s="150">
        <v>127276.0</v>
      </c>
      <c r="G11" s="150">
        <v>113386.0</v>
      </c>
      <c r="H11" s="136">
        <v>46007.0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10" t="s">
        <v>1009</v>
      </c>
      <c r="B12" s="10" t="s">
        <v>245</v>
      </c>
      <c r="C12" s="150">
        <v>4200.0</v>
      </c>
      <c r="D12" s="150">
        <v>25000.0</v>
      </c>
      <c r="E12" s="150">
        <v>0.0</v>
      </c>
      <c r="F12" s="150">
        <v>29200.0</v>
      </c>
      <c r="G12" s="150">
        <v>1471.0</v>
      </c>
      <c r="H12" s="136">
        <v>45733.0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10" t="s">
        <v>1012</v>
      </c>
      <c r="B13" s="10" t="s">
        <v>268</v>
      </c>
      <c r="C13" s="150">
        <v>1552.0</v>
      </c>
      <c r="D13" s="150">
        <v>42000.0</v>
      </c>
      <c r="E13" s="150">
        <v>0.0</v>
      </c>
      <c r="F13" s="150">
        <v>43552.0</v>
      </c>
      <c r="G13" s="150">
        <v>57113.0</v>
      </c>
      <c r="H13" s="136">
        <v>45967.0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10" t="s">
        <v>1015</v>
      </c>
      <c r="B14" s="10" t="s">
        <v>292</v>
      </c>
      <c r="C14" s="150">
        <v>2095.0</v>
      </c>
      <c r="D14" s="150">
        <v>0.0</v>
      </c>
      <c r="E14" s="150">
        <v>0.0</v>
      </c>
      <c r="F14" s="150">
        <v>2095.0</v>
      </c>
      <c r="G14" s="150">
        <v>7283.0</v>
      </c>
      <c r="H14" s="136">
        <v>45321.0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10" t="s">
        <v>1019</v>
      </c>
      <c r="B15" s="10" t="s">
        <v>317</v>
      </c>
      <c r="C15" s="150">
        <v>6100.0</v>
      </c>
      <c r="D15" s="150">
        <v>48700.0</v>
      </c>
      <c r="E15" s="150">
        <v>0.0</v>
      </c>
      <c r="F15" s="150">
        <v>54800.0</v>
      </c>
      <c r="G15" s="150">
        <v>804.0</v>
      </c>
      <c r="H15" s="136">
        <v>46386.0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54"/>
      <c r="B16" s="54"/>
      <c r="C16" s="54"/>
      <c r="D16" s="54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54"/>
      <c r="B17" s="54"/>
      <c r="C17" s="54"/>
      <c r="D17" s="54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54"/>
      <c r="B18" s="54"/>
      <c r="C18" s="54"/>
      <c r="D18" s="54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54"/>
      <c r="B19" s="54"/>
      <c r="C19" s="54"/>
      <c r="D19" s="54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54"/>
      <c r="B20" s="54"/>
      <c r="C20" s="54"/>
      <c r="D20" s="54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54"/>
      <c r="B21" s="54"/>
      <c r="C21" s="54"/>
      <c r="D21" s="54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54"/>
      <c r="B22" s="54"/>
      <c r="C22" s="54"/>
      <c r="D22" s="54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54"/>
      <c r="B23" s="54"/>
      <c r="C23" s="54"/>
      <c r="D23" s="54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54"/>
      <c r="B27" s="54"/>
      <c r="C27" s="54"/>
      <c r="D27" s="54"/>
      <c r="E27" s="54"/>
      <c r="F27" s="54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54"/>
      <c r="B28" s="54"/>
      <c r="C28" s="54"/>
      <c r="D28" s="54"/>
      <c r="E28" s="54"/>
      <c r="F28" s="54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54"/>
      <c r="B29" s="54"/>
      <c r="C29" s="54"/>
      <c r="D29" s="54"/>
      <c r="E29" s="54"/>
      <c r="F29" s="54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54"/>
      <c r="B30" s="54"/>
      <c r="C30" s="54"/>
      <c r="D30" s="54"/>
      <c r="E30" s="54"/>
      <c r="F30" s="54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54"/>
      <c r="B31" s="54"/>
      <c r="C31" s="54"/>
      <c r="D31" s="54"/>
      <c r="E31" s="54"/>
      <c r="F31" s="54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54"/>
      <c r="B32" s="54"/>
      <c r="C32" s="54"/>
      <c r="D32" s="54"/>
      <c r="E32" s="54"/>
      <c r="F32" s="54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54"/>
      <c r="B33" s="54"/>
      <c r="C33" s="54"/>
      <c r="D33" s="54"/>
      <c r="E33" s="54"/>
      <c r="F33" s="54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54"/>
      <c r="B34" s="54"/>
      <c r="C34" s="54"/>
      <c r="D34" s="54"/>
      <c r="E34" s="54"/>
      <c r="F34" s="54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</sheetData>
  <dataValidations>
    <dataValidation type="custom" allowBlank="1" showDropDown="1" sqref="H2:H15">
      <formula1>OR(NOT(ISERROR(DATEVALUE(H2))), AND(ISNUMBER(H2), LEFT(CELL("format", H2))="D"))</formula1>
    </dataValidation>
    <dataValidation type="custom" allowBlank="1" showDropDown="1" sqref="C2:G15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29.13"/>
    <col customWidth="1" min="3" max="3" width="31.5"/>
    <col customWidth="1" min="4" max="4" width="24.13"/>
    <col customWidth="1" min="5" max="6" width="21.88"/>
    <col customWidth="1" min="7" max="7" width="33.13"/>
    <col customWidth="1" min="8" max="8" width="28.88"/>
  </cols>
  <sheetData>
    <row r="1" ht="22.5" customHeight="1">
      <c r="A1" s="4" t="s">
        <v>1017</v>
      </c>
      <c r="B1" s="4" t="s">
        <v>2</v>
      </c>
      <c r="C1" s="4" t="s">
        <v>1020</v>
      </c>
      <c r="D1" s="4" t="s">
        <v>1021</v>
      </c>
      <c r="E1" s="151" t="s">
        <v>1022</v>
      </c>
      <c r="F1" s="151" t="s">
        <v>1024</v>
      </c>
      <c r="G1" s="151" t="s">
        <v>1025</v>
      </c>
      <c r="H1" s="151" t="s">
        <v>1027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10" t="s">
        <v>1028</v>
      </c>
      <c r="B2" s="10" t="s">
        <v>28</v>
      </c>
      <c r="C2" s="152">
        <v>0.0</v>
      </c>
      <c r="D2" s="152">
        <v>0.0</v>
      </c>
      <c r="E2" s="26"/>
      <c r="F2" s="10"/>
      <c r="G2" s="10"/>
      <c r="H2" s="10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10" t="s">
        <v>1031</v>
      </c>
      <c r="B3" s="10" t="s">
        <v>28</v>
      </c>
      <c r="C3" s="152">
        <v>500.0</v>
      </c>
      <c r="D3" s="152">
        <v>12000.0</v>
      </c>
      <c r="E3" s="26"/>
      <c r="F3" s="26"/>
      <c r="G3" s="26"/>
      <c r="H3" s="26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10" t="s">
        <v>1034</v>
      </c>
      <c r="B4" s="10" t="s">
        <v>28</v>
      </c>
      <c r="C4" s="152">
        <v>1000.0</v>
      </c>
      <c r="D4" s="152">
        <v>18000.0</v>
      </c>
      <c r="E4" s="26"/>
      <c r="F4" s="26"/>
      <c r="G4" s="26"/>
      <c r="H4" s="26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10" t="s">
        <v>1036</v>
      </c>
      <c r="B5" s="10" t="s">
        <v>28</v>
      </c>
      <c r="C5" s="152">
        <v>1500.0</v>
      </c>
      <c r="D5" s="152">
        <v>24000.0</v>
      </c>
      <c r="E5" s="26"/>
      <c r="F5" s="26"/>
      <c r="G5" s="26"/>
      <c r="H5" s="26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10" t="s">
        <v>1037</v>
      </c>
      <c r="B6" s="10" t="s">
        <v>28</v>
      </c>
      <c r="C6" s="152">
        <v>2000.0</v>
      </c>
      <c r="D6" s="152">
        <v>27000.0</v>
      </c>
      <c r="E6" s="26"/>
      <c r="F6" s="26"/>
      <c r="G6" s="26"/>
      <c r="H6" s="26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10" t="s">
        <v>1039</v>
      </c>
      <c r="B7" s="10" t="s">
        <v>28</v>
      </c>
      <c r="C7" s="152">
        <v>2500.0</v>
      </c>
      <c r="D7" s="152">
        <v>31000.0</v>
      </c>
      <c r="E7" s="26"/>
      <c r="F7" s="26"/>
      <c r="G7" s="26"/>
      <c r="H7" s="26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10" t="s">
        <v>1040</v>
      </c>
      <c r="B8" s="10" t="s">
        <v>28</v>
      </c>
      <c r="C8" s="152">
        <v>3000.0</v>
      </c>
      <c r="D8" s="152">
        <v>35000.0</v>
      </c>
      <c r="E8" s="26"/>
      <c r="F8" s="26"/>
      <c r="G8" s="26"/>
      <c r="H8" s="26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10" t="s">
        <v>1044</v>
      </c>
      <c r="B9" s="10" t="s">
        <v>28</v>
      </c>
      <c r="C9" s="152">
        <v>3500.0</v>
      </c>
      <c r="D9" s="152">
        <v>39000.0</v>
      </c>
      <c r="E9" s="26"/>
      <c r="F9" s="26"/>
      <c r="G9" s="26"/>
      <c r="H9" s="26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10" t="s">
        <v>1047</v>
      </c>
      <c r="B10" s="10" t="s">
        <v>28</v>
      </c>
      <c r="C10" s="152">
        <v>4000.0</v>
      </c>
      <c r="D10" s="152">
        <v>43000.0</v>
      </c>
      <c r="E10" s="26"/>
      <c r="F10" s="26"/>
      <c r="G10" s="26"/>
      <c r="H10" s="26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10" t="s">
        <v>1049</v>
      </c>
      <c r="B11" s="10" t="s">
        <v>28</v>
      </c>
      <c r="C11" s="152">
        <v>4500.0</v>
      </c>
      <c r="D11" s="152">
        <v>48000.0</v>
      </c>
      <c r="E11" s="26"/>
      <c r="F11" s="26"/>
      <c r="G11" s="26"/>
      <c r="H11" s="26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10" t="s">
        <v>1051</v>
      </c>
      <c r="B12" s="10" t="s">
        <v>28</v>
      </c>
      <c r="C12" s="152">
        <v>5000.0</v>
      </c>
      <c r="D12" s="152">
        <v>53000.0</v>
      </c>
      <c r="E12" s="26"/>
      <c r="F12" s="26"/>
      <c r="G12" s="26"/>
      <c r="H12" s="2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10" t="s">
        <v>1052</v>
      </c>
      <c r="B13" s="10" t="s">
        <v>28</v>
      </c>
      <c r="C13" s="152">
        <v>5500.0</v>
      </c>
      <c r="D13" s="152">
        <v>59000.0</v>
      </c>
      <c r="E13" s="26"/>
      <c r="F13" s="26"/>
      <c r="G13" s="26"/>
      <c r="H13" s="2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10" t="s">
        <v>1054</v>
      </c>
      <c r="B14" s="10" t="s">
        <v>28</v>
      </c>
      <c r="C14" s="152">
        <v>6000.0</v>
      </c>
      <c r="D14" s="152">
        <v>66000.0</v>
      </c>
      <c r="E14" s="26"/>
      <c r="F14" s="26"/>
      <c r="G14" s="26"/>
      <c r="H14" s="26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10" t="s">
        <v>1056</v>
      </c>
      <c r="B15" s="10" t="s">
        <v>28</v>
      </c>
      <c r="C15" s="152">
        <v>6500.0</v>
      </c>
      <c r="D15" s="152">
        <v>72000.0</v>
      </c>
      <c r="E15" s="26"/>
      <c r="F15" s="26"/>
      <c r="G15" s="26"/>
      <c r="H15" s="26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10" t="s">
        <v>1057</v>
      </c>
      <c r="B16" s="10" t="s">
        <v>28</v>
      </c>
      <c r="C16" s="152">
        <v>7000.0</v>
      </c>
      <c r="D16" s="152">
        <v>80000.0</v>
      </c>
      <c r="E16" s="26"/>
      <c r="F16" s="26"/>
      <c r="G16" s="26"/>
      <c r="H16" s="26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.5" customHeight="1">
      <c r="A17" s="10" t="s">
        <v>1059</v>
      </c>
      <c r="B17" s="10" t="s">
        <v>28</v>
      </c>
      <c r="C17" s="152">
        <v>7500.0</v>
      </c>
      <c r="D17" s="152">
        <v>88000.0</v>
      </c>
      <c r="E17" s="26"/>
      <c r="F17" s="26"/>
      <c r="G17" s="26"/>
      <c r="H17" s="26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2.5" customHeight="1">
      <c r="A18" s="10" t="s">
        <v>1061</v>
      </c>
      <c r="B18" s="10" t="s">
        <v>28</v>
      </c>
      <c r="C18" s="152">
        <v>8000.0</v>
      </c>
      <c r="D18" s="152">
        <v>97000.0</v>
      </c>
      <c r="E18" s="26"/>
      <c r="F18" s="26"/>
      <c r="G18" s="26"/>
      <c r="H18" s="2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2.5" customHeight="1">
      <c r="A19" s="10" t="s">
        <v>1062</v>
      </c>
      <c r="B19" s="10" t="s">
        <v>67</v>
      </c>
      <c r="C19" s="152">
        <v>0.0</v>
      </c>
      <c r="D19" s="152">
        <v>0.0</v>
      </c>
      <c r="E19" s="26"/>
      <c r="F19" s="26"/>
      <c r="G19" s="26"/>
      <c r="H19" s="2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2.5" customHeight="1">
      <c r="A20" s="10" t="s">
        <v>1064</v>
      </c>
      <c r="B20" s="10" t="s">
        <v>67</v>
      </c>
      <c r="C20" s="152">
        <v>500.0</v>
      </c>
      <c r="D20" s="152">
        <v>12000.0</v>
      </c>
      <c r="E20" s="26"/>
      <c r="F20" s="26"/>
      <c r="G20" s="26"/>
      <c r="H20" s="26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2.5" customHeight="1">
      <c r="A21" s="10" t="s">
        <v>1066</v>
      </c>
      <c r="B21" s="10" t="s">
        <v>67</v>
      </c>
      <c r="C21" s="152">
        <v>1000.0</v>
      </c>
      <c r="D21" s="152">
        <v>18000.0</v>
      </c>
      <c r="E21" s="26"/>
      <c r="F21" s="26"/>
      <c r="G21" s="26"/>
      <c r="H21" s="26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2.5" customHeight="1">
      <c r="A22" s="10" t="s">
        <v>1069</v>
      </c>
      <c r="B22" s="10" t="s">
        <v>67</v>
      </c>
      <c r="C22" s="152">
        <v>1500.0</v>
      </c>
      <c r="D22" s="152">
        <v>24000.0</v>
      </c>
      <c r="E22" s="26"/>
      <c r="F22" s="26"/>
      <c r="G22" s="26"/>
      <c r="H22" s="26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2.5" customHeight="1">
      <c r="A23" s="10" t="s">
        <v>1071</v>
      </c>
      <c r="B23" s="10" t="s">
        <v>67</v>
      </c>
      <c r="C23" s="152">
        <v>2000.0</v>
      </c>
      <c r="D23" s="152">
        <v>27000.0</v>
      </c>
      <c r="E23" s="26"/>
      <c r="F23" s="26"/>
      <c r="G23" s="26"/>
      <c r="H23" s="2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2.5" customHeight="1">
      <c r="A24" s="10" t="s">
        <v>1073</v>
      </c>
      <c r="B24" s="10" t="s">
        <v>67</v>
      </c>
      <c r="C24" s="152">
        <v>2500.0</v>
      </c>
      <c r="D24" s="152">
        <v>31000.0</v>
      </c>
      <c r="E24" s="26"/>
      <c r="F24" s="26"/>
      <c r="G24" s="26"/>
      <c r="H24" s="26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2.5" customHeight="1">
      <c r="A25" s="10" t="s">
        <v>1075</v>
      </c>
      <c r="B25" s="10" t="s">
        <v>67</v>
      </c>
      <c r="C25" s="152">
        <v>3000.0</v>
      </c>
      <c r="D25" s="152">
        <v>35000.0</v>
      </c>
      <c r="E25" s="26"/>
      <c r="F25" s="26"/>
      <c r="G25" s="26"/>
      <c r="H25" s="2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2.5" customHeight="1">
      <c r="A26" s="10" t="s">
        <v>1077</v>
      </c>
      <c r="B26" s="10" t="s">
        <v>67</v>
      </c>
      <c r="C26" s="152">
        <v>3500.0</v>
      </c>
      <c r="D26" s="152">
        <v>39000.0</v>
      </c>
      <c r="E26" s="10"/>
      <c r="F26" s="10"/>
      <c r="G26" s="26"/>
      <c r="H26" s="26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2.5" customHeight="1">
      <c r="A27" s="10" t="s">
        <v>1079</v>
      </c>
      <c r="B27" s="10" t="s">
        <v>67</v>
      </c>
      <c r="C27" s="152">
        <v>4000.0</v>
      </c>
      <c r="D27" s="152">
        <v>43000.0</v>
      </c>
      <c r="E27" s="10"/>
      <c r="F27" s="10"/>
      <c r="G27" s="26"/>
      <c r="H27" s="26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2.5" customHeight="1">
      <c r="A28" s="10" t="s">
        <v>1080</v>
      </c>
      <c r="B28" s="10" t="s">
        <v>67</v>
      </c>
      <c r="C28" s="152">
        <v>4500.0</v>
      </c>
      <c r="D28" s="152">
        <v>48000.0</v>
      </c>
      <c r="E28" s="10"/>
      <c r="F28" s="10"/>
      <c r="G28" s="26"/>
      <c r="H28" s="26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2.5" customHeight="1">
      <c r="A29" s="10" t="s">
        <v>1082</v>
      </c>
      <c r="B29" s="10" t="s">
        <v>67</v>
      </c>
      <c r="C29" s="152">
        <v>5000.0</v>
      </c>
      <c r="D29" s="152">
        <v>53000.0</v>
      </c>
      <c r="E29" s="10"/>
      <c r="F29" s="10"/>
      <c r="G29" s="26"/>
      <c r="H29" s="26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2.5" customHeight="1">
      <c r="A30" s="10" t="s">
        <v>1084</v>
      </c>
      <c r="B30" s="10" t="s">
        <v>67</v>
      </c>
      <c r="C30" s="152">
        <v>5500.0</v>
      </c>
      <c r="D30" s="152">
        <v>59000.0</v>
      </c>
      <c r="E30" s="10"/>
      <c r="F30" s="10"/>
      <c r="G30" s="26"/>
      <c r="H30" s="26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2.5" customHeight="1">
      <c r="A31" s="10" t="s">
        <v>1085</v>
      </c>
      <c r="B31" s="10" t="s">
        <v>67</v>
      </c>
      <c r="C31" s="152">
        <v>6000.0</v>
      </c>
      <c r="D31" s="152">
        <v>66000.0</v>
      </c>
      <c r="E31" s="10"/>
      <c r="F31" s="10"/>
      <c r="G31" s="26"/>
      <c r="H31" s="26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2.5" customHeight="1">
      <c r="A32" s="10" t="s">
        <v>1087</v>
      </c>
      <c r="B32" s="10" t="s">
        <v>67</v>
      </c>
      <c r="C32" s="152">
        <v>6500.0</v>
      </c>
      <c r="D32" s="152">
        <v>72000.0</v>
      </c>
      <c r="E32" s="10"/>
      <c r="F32" s="10"/>
      <c r="G32" s="26"/>
      <c r="H32" s="26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2.5" customHeight="1">
      <c r="A33" s="10" t="s">
        <v>1089</v>
      </c>
      <c r="B33" s="10" t="s">
        <v>67</v>
      </c>
      <c r="C33" s="152">
        <v>7000.0</v>
      </c>
      <c r="D33" s="152">
        <v>80000.0</v>
      </c>
      <c r="E33" s="10"/>
      <c r="F33" s="10"/>
      <c r="G33" s="26"/>
      <c r="H33" s="26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2.5" customHeight="1">
      <c r="A34" s="10" t="s">
        <v>1091</v>
      </c>
      <c r="B34" s="10" t="s">
        <v>67</v>
      </c>
      <c r="C34" s="152">
        <v>7500.0</v>
      </c>
      <c r="D34" s="152">
        <v>88000.0</v>
      </c>
      <c r="E34" s="26"/>
      <c r="F34" s="26"/>
      <c r="G34" s="26"/>
      <c r="H34" s="26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2.5" customHeight="1">
      <c r="A35" s="10" t="s">
        <v>1093</v>
      </c>
      <c r="B35" s="10" t="s">
        <v>67</v>
      </c>
      <c r="C35" s="152" t="s">
        <v>1094</v>
      </c>
      <c r="D35" s="152">
        <v>97000.0</v>
      </c>
      <c r="E35" s="26"/>
      <c r="F35" s="26"/>
      <c r="G35" s="26"/>
      <c r="H35" s="26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2.5" customHeight="1">
      <c r="A36" s="10" t="s">
        <v>1096</v>
      </c>
      <c r="B36" s="10" t="s">
        <v>133</v>
      </c>
      <c r="C36" s="152"/>
      <c r="D36" s="152"/>
      <c r="E36" s="10">
        <v>1000.0</v>
      </c>
      <c r="F36" s="10">
        <v>12000.0</v>
      </c>
      <c r="G36" s="26"/>
      <c r="H36" s="26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2.5" customHeight="1">
      <c r="A37" s="10" t="s">
        <v>1098</v>
      </c>
      <c r="B37" s="10" t="s">
        <v>133</v>
      </c>
      <c r="C37" s="152"/>
      <c r="D37" s="152"/>
      <c r="E37" s="10">
        <v>1500.0</v>
      </c>
      <c r="F37" s="10">
        <v>18000.0</v>
      </c>
      <c r="G37" s="10">
        <v>14000.0</v>
      </c>
      <c r="H37" s="26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2.5" customHeight="1">
      <c r="A38" s="10" t="s">
        <v>1100</v>
      </c>
      <c r="B38" s="10" t="s">
        <v>133</v>
      </c>
      <c r="C38" s="152"/>
      <c r="D38" s="152"/>
      <c r="E38" s="10">
        <v>2000.0</v>
      </c>
      <c r="F38" s="10">
        <v>23000.0</v>
      </c>
      <c r="G38" s="10">
        <v>18000.0</v>
      </c>
      <c r="H38" s="26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2.5" customHeight="1">
      <c r="A39" s="10" t="s">
        <v>1102</v>
      </c>
      <c r="B39" s="10" t="s">
        <v>133</v>
      </c>
      <c r="C39" s="152"/>
      <c r="D39" s="152"/>
      <c r="E39" s="10">
        <v>2500.0</v>
      </c>
      <c r="F39" s="10">
        <v>27000.0</v>
      </c>
      <c r="G39" s="10">
        <v>26000.0</v>
      </c>
      <c r="H39" s="10">
        <v>17000.0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2.5" customHeight="1">
      <c r="A40" s="10" t="s">
        <v>1103</v>
      </c>
      <c r="B40" s="10" t="s">
        <v>133</v>
      </c>
      <c r="C40" s="152"/>
      <c r="D40" s="152"/>
      <c r="E40" s="10">
        <v>3000.0</v>
      </c>
      <c r="F40" s="10">
        <v>31000.0</v>
      </c>
      <c r="G40" s="10">
        <v>31000.0</v>
      </c>
      <c r="H40" s="10">
        <v>24000.0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2.5" customHeight="1">
      <c r="A41" s="10" t="s">
        <v>1106</v>
      </c>
      <c r="B41" s="10" t="s">
        <v>133</v>
      </c>
      <c r="C41" s="152"/>
      <c r="D41" s="152"/>
      <c r="E41" s="10">
        <v>3500.0</v>
      </c>
      <c r="F41" s="10">
        <v>35000.0</v>
      </c>
      <c r="G41" s="10">
        <v>35000.0</v>
      </c>
      <c r="H41" s="10">
        <v>36000.0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2.5" customHeight="1">
      <c r="A42" s="10" t="s">
        <v>1108</v>
      </c>
      <c r="B42" s="10" t="s">
        <v>133</v>
      </c>
      <c r="C42" s="152"/>
      <c r="D42" s="152"/>
      <c r="E42" s="10">
        <v>4000.0</v>
      </c>
      <c r="F42" s="10">
        <v>39000.0</v>
      </c>
      <c r="G42" s="10">
        <v>40000.0</v>
      </c>
      <c r="H42" s="10">
        <v>43000.0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2.5" customHeight="1">
      <c r="A43" s="10" t="s">
        <v>1110</v>
      </c>
      <c r="B43" s="10" t="s">
        <v>133</v>
      </c>
      <c r="C43" s="152"/>
      <c r="D43" s="152"/>
      <c r="E43" s="10">
        <v>4500.0</v>
      </c>
      <c r="F43" s="10">
        <v>44000.0</v>
      </c>
      <c r="G43" s="10">
        <v>45000.0</v>
      </c>
      <c r="H43" s="10">
        <v>48000.0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2.5" customHeight="1">
      <c r="A44" s="10" t="s">
        <v>1113</v>
      </c>
      <c r="B44" s="10" t="s">
        <v>133</v>
      </c>
      <c r="C44" s="152"/>
      <c r="D44" s="152"/>
      <c r="E44" s="10">
        <v>5000.0</v>
      </c>
      <c r="F44" s="10">
        <v>49000.0</v>
      </c>
      <c r="G44" s="10">
        <v>51000.0</v>
      </c>
      <c r="H44" s="10">
        <v>56000.0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2.5" customHeight="1">
      <c r="A45" s="10" t="s">
        <v>1114</v>
      </c>
      <c r="B45" s="10" t="s">
        <v>133</v>
      </c>
      <c r="C45" s="152"/>
      <c r="D45" s="152"/>
      <c r="E45" s="10">
        <v>5500.0</v>
      </c>
      <c r="F45" s="10">
        <v>55000.0</v>
      </c>
      <c r="G45" s="10">
        <v>58000.0</v>
      </c>
      <c r="H45" s="10">
        <v>63000.0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2.5" customHeight="1">
      <c r="A46" s="10" t="s">
        <v>1116</v>
      </c>
      <c r="B46" s="10" t="s">
        <v>133</v>
      </c>
      <c r="C46" s="152"/>
      <c r="D46" s="152"/>
      <c r="E46" s="10">
        <v>6000.0</v>
      </c>
      <c r="F46" s="10">
        <v>63000.0</v>
      </c>
      <c r="G46" s="10">
        <v>66000.0</v>
      </c>
      <c r="H46" s="10">
        <v>72000.0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2.5" customHeight="1">
      <c r="A47" s="10" t="s">
        <v>1118</v>
      </c>
      <c r="B47" s="10" t="s">
        <v>133</v>
      </c>
      <c r="C47" s="152"/>
      <c r="D47" s="152"/>
      <c r="E47" s="10">
        <v>6500.0</v>
      </c>
      <c r="F47" s="10">
        <v>69000.0</v>
      </c>
      <c r="G47" s="10">
        <v>75000.0</v>
      </c>
      <c r="H47" s="10">
        <v>82000.0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2.5" customHeight="1">
      <c r="A48" s="10" t="s">
        <v>1120</v>
      </c>
      <c r="B48" s="10" t="s">
        <v>133</v>
      </c>
      <c r="C48" s="152"/>
      <c r="D48" s="152"/>
      <c r="E48" s="10">
        <v>7000.0</v>
      </c>
      <c r="F48" s="10">
        <v>76000.0</v>
      </c>
      <c r="G48" s="10">
        <v>86000.0</v>
      </c>
      <c r="H48" s="10">
        <v>95000.0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2.5" customHeight="1">
      <c r="A49" s="10" t="s">
        <v>1122</v>
      </c>
      <c r="B49" s="10" t="s">
        <v>133</v>
      </c>
      <c r="C49" s="152"/>
      <c r="D49" s="152"/>
      <c r="E49" s="10">
        <v>7500.0</v>
      </c>
      <c r="F49" s="10">
        <v>83000.0</v>
      </c>
      <c r="G49" s="10">
        <v>94000.0</v>
      </c>
      <c r="H49" s="10">
        <v>111000.0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2.5" customHeight="1">
      <c r="A50" s="10" t="s">
        <v>1124</v>
      </c>
      <c r="B50" s="10" t="s">
        <v>133</v>
      </c>
      <c r="C50" s="152"/>
      <c r="D50" s="152"/>
      <c r="E50" s="10">
        <v>8000.0</v>
      </c>
      <c r="F50" s="10">
        <v>91000.0</v>
      </c>
      <c r="G50" s="10">
        <v>102000.0</v>
      </c>
      <c r="H50" s="10">
        <v>131000.0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2.5" customHeight="1">
      <c r="A51" s="10" t="s">
        <v>1126</v>
      </c>
      <c r="B51" s="10" t="s">
        <v>133</v>
      </c>
      <c r="C51" s="152"/>
      <c r="D51" s="152"/>
      <c r="E51" s="10">
        <v>8500.0</v>
      </c>
      <c r="F51" s="10">
        <v>100000.0</v>
      </c>
      <c r="G51" s="10">
        <v>112000.0</v>
      </c>
      <c r="H51" s="10">
        <v>141000.0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2.5" customHeight="1">
      <c r="A52" s="10" t="s">
        <v>1129</v>
      </c>
      <c r="B52" s="10" t="s">
        <v>133</v>
      </c>
      <c r="C52" s="152"/>
      <c r="D52" s="152"/>
      <c r="E52" s="10">
        <v>9000.0</v>
      </c>
      <c r="F52" s="10">
        <v>111000.0</v>
      </c>
      <c r="G52" s="10">
        <v>123000.0</v>
      </c>
      <c r="H52" s="10">
        <v>153000.0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2.5" customHeight="1">
      <c r="A53" s="10" t="s">
        <v>1132</v>
      </c>
      <c r="B53" s="10" t="s">
        <v>133</v>
      </c>
      <c r="C53" s="152"/>
      <c r="D53" s="152"/>
      <c r="E53" s="10">
        <v>9500.0</v>
      </c>
      <c r="F53" s="10">
        <v>122000.0</v>
      </c>
      <c r="G53" s="10">
        <v>134000.0</v>
      </c>
      <c r="H53" s="10">
        <v>165000.0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2.5" customHeight="1">
      <c r="A54" s="10" t="s">
        <v>1134</v>
      </c>
      <c r="B54" s="10" t="s">
        <v>133</v>
      </c>
      <c r="C54" s="152"/>
      <c r="D54" s="152"/>
      <c r="E54" s="10">
        <v>10000.0</v>
      </c>
      <c r="F54" s="10">
        <v>132000.0</v>
      </c>
      <c r="G54" s="10">
        <v>146000.0</v>
      </c>
      <c r="H54" s="10">
        <v>180000.0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2.5" customHeight="1">
      <c r="A55" s="10" t="s">
        <v>1136</v>
      </c>
      <c r="B55" s="10" t="s">
        <v>133</v>
      </c>
      <c r="C55" s="152"/>
      <c r="D55" s="152"/>
      <c r="E55" s="10">
        <v>10500.0</v>
      </c>
      <c r="F55" s="10">
        <v>144000.0</v>
      </c>
      <c r="G55" s="10">
        <v>148000.0</v>
      </c>
      <c r="H55" s="10">
        <v>195000.0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2.5" customHeight="1">
      <c r="A56" s="10" t="s">
        <v>1139</v>
      </c>
      <c r="B56" s="10" t="s">
        <v>133</v>
      </c>
      <c r="C56" s="152"/>
      <c r="D56" s="152"/>
      <c r="E56" s="10">
        <v>11000.0</v>
      </c>
      <c r="F56" s="10">
        <v>155000.0</v>
      </c>
      <c r="G56" s="10">
        <v>180000.0</v>
      </c>
      <c r="H56" s="10">
        <v>213000.0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2.5" customHeight="1">
      <c r="A57" s="10" t="s">
        <v>1141</v>
      </c>
      <c r="B57" s="10" t="s">
        <v>133</v>
      </c>
      <c r="C57" s="152"/>
      <c r="D57" s="152"/>
      <c r="E57" s="10">
        <v>11001.0</v>
      </c>
      <c r="F57" s="10">
        <v>166000.0</v>
      </c>
      <c r="G57" s="10">
        <v>190000.0</v>
      </c>
      <c r="H57" s="10">
        <v>232000.0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2.5" customHeight="1">
      <c r="A58" s="10" t="s">
        <v>1143</v>
      </c>
      <c r="B58" s="10" t="s">
        <v>103</v>
      </c>
      <c r="C58" s="152"/>
      <c r="D58" s="152"/>
      <c r="E58" s="150">
        <v>1000.0</v>
      </c>
      <c r="F58" s="150">
        <v>12000.0</v>
      </c>
      <c r="G58" s="10"/>
      <c r="H58" s="10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2.5" customHeight="1">
      <c r="A59" s="10" t="s">
        <v>1146</v>
      </c>
      <c r="B59" s="10" t="s">
        <v>103</v>
      </c>
      <c r="C59" s="152"/>
      <c r="D59" s="152"/>
      <c r="E59" s="150">
        <v>1500.0</v>
      </c>
      <c r="F59" s="150">
        <v>18000.0</v>
      </c>
      <c r="G59" s="150">
        <v>14000.0</v>
      </c>
      <c r="H59" s="10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2.5" customHeight="1">
      <c r="A60" s="10" t="s">
        <v>1148</v>
      </c>
      <c r="B60" s="10" t="s">
        <v>103</v>
      </c>
      <c r="C60" s="152"/>
      <c r="D60" s="152"/>
      <c r="E60" s="150">
        <v>2000.0</v>
      </c>
      <c r="F60" s="150">
        <v>23000.0</v>
      </c>
      <c r="G60" s="150">
        <v>18000.0</v>
      </c>
      <c r="H60" s="10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2.5" customHeight="1">
      <c r="A61" s="10" t="s">
        <v>1150</v>
      </c>
      <c r="B61" s="10" t="s">
        <v>103</v>
      </c>
      <c r="C61" s="152"/>
      <c r="D61" s="152"/>
      <c r="E61" s="150">
        <v>2500.0</v>
      </c>
      <c r="F61" s="150">
        <v>27000.0</v>
      </c>
      <c r="G61" s="150">
        <v>26000.0</v>
      </c>
      <c r="H61" s="150">
        <v>17000.0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2.5" customHeight="1">
      <c r="A62" s="10" t="s">
        <v>1153</v>
      </c>
      <c r="B62" s="10" t="s">
        <v>103</v>
      </c>
      <c r="C62" s="152"/>
      <c r="D62" s="152"/>
      <c r="E62" s="150">
        <v>3000.0</v>
      </c>
      <c r="F62" s="150">
        <v>31000.0</v>
      </c>
      <c r="G62" s="150">
        <v>31000.0</v>
      </c>
      <c r="H62" s="150">
        <v>24000.0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2.5" customHeight="1">
      <c r="A63" s="10" t="s">
        <v>1155</v>
      </c>
      <c r="B63" s="10" t="s">
        <v>103</v>
      </c>
      <c r="C63" s="152"/>
      <c r="D63" s="152"/>
      <c r="E63" s="150">
        <v>3500.0</v>
      </c>
      <c r="F63" s="150">
        <v>35000.0</v>
      </c>
      <c r="G63" s="150">
        <v>35000.0</v>
      </c>
      <c r="H63" s="150">
        <v>36000.0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2.5" customHeight="1">
      <c r="A64" s="10" t="s">
        <v>1157</v>
      </c>
      <c r="B64" s="10" t="s">
        <v>103</v>
      </c>
      <c r="C64" s="152"/>
      <c r="D64" s="152"/>
      <c r="E64" s="150">
        <v>4000.0</v>
      </c>
      <c r="F64" s="150">
        <v>39000.0</v>
      </c>
      <c r="G64" s="150">
        <v>40000.0</v>
      </c>
      <c r="H64" s="150">
        <v>43000.0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2.5" customHeight="1">
      <c r="A65" s="10" t="s">
        <v>1160</v>
      </c>
      <c r="B65" s="10" t="s">
        <v>103</v>
      </c>
      <c r="C65" s="152"/>
      <c r="D65" s="152"/>
      <c r="E65" s="150">
        <v>4500.0</v>
      </c>
      <c r="F65" s="150">
        <v>44000.0</v>
      </c>
      <c r="G65" s="150">
        <v>45000.0</v>
      </c>
      <c r="H65" s="150">
        <v>48000.0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2.5" customHeight="1">
      <c r="A66" s="10" t="s">
        <v>1162</v>
      </c>
      <c r="B66" s="10" t="s">
        <v>103</v>
      </c>
      <c r="C66" s="152"/>
      <c r="D66" s="152"/>
      <c r="E66" s="150">
        <v>5000.0</v>
      </c>
      <c r="F66" s="150">
        <v>49000.0</v>
      </c>
      <c r="G66" s="150">
        <v>51000.0</v>
      </c>
      <c r="H66" s="150">
        <v>56000.0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2.5" customHeight="1">
      <c r="A67" s="10" t="s">
        <v>1164</v>
      </c>
      <c r="B67" s="10" t="s">
        <v>103</v>
      </c>
      <c r="C67" s="152"/>
      <c r="D67" s="152"/>
      <c r="E67" s="150">
        <v>5500.0</v>
      </c>
      <c r="F67" s="150">
        <v>55000.0</v>
      </c>
      <c r="G67" s="150">
        <v>58000.0</v>
      </c>
      <c r="H67" s="150">
        <v>63000.0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2.5" customHeight="1">
      <c r="A68" s="10" t="s">
        <v>1167</v>
      </c>
      <c r="B68" s="10" t="s">
        <v>103</v>
      </c>
      <c r="C68" s="152"/>
      <c r="D68" s="152"/>
      <c r="E68" s="150">
        <v>6000.0</v>
      </c>
      <c r="F68" s="150">
        <v>63000.0</v>
      </c>
      <c r="G68" s="150">
        <v>66000.0</v>
      </c>
      <c r="H68" s="150">
        <v>72000.0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2.5" customHeight="1">
      <c r="A69" s="10" t="s">
        <v>1169</v>
      </c>
      <c r="B69" s="10" t="s">
        <v>103</v>
      </c>
      <c r="C69" s="152"/>
      <c r="D69" s="152"/>
      <c r="E69" s="150">
        <v>6500.0</v>
      </c>
      <c r="F69" s="150">
        <v>69000.0</v>
      </c>
      <c r="G69" s="150">
        <v>75000.0</v>
      </c>
      <c r="H69" s="150">
        <v>82000.0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2.5" customHeight="1">
      <c r="A70" s="10" t="s">
        <v>1171</v>
      </c>
      <c r="B70" s="10" t="s">
        <v>103</v>
      </c>
      <c r="C70" s="152"/>
      <c r="D70" s="152"/>
      <c r="E70" s="150">
        <v>7000.0</v>
      </c>
      <c r="F70" s="150">
        <v>76000.0</v>
      </c>
      <c r="G70" s="150">
        <v>86000.0</v>
      </c>
      <c r="H70" s="150">
        <v>95000.0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2.5" customHeight="1">
      <c r="A71" s="10" t="s">
        <v>1173</v>
      </c>
      <c r="B71" s="10" t="s">
        <v>103</v>
      </c>
      <c r="C71" s="152"/>
      <c r="D71" s="152"/>
      <c r="E71" s="150">
        <v>7500.0</v>
      </c>
      <c r="F71" s="150">
        <v>83000.0</v>
      </c>
      <c r="G71" s="150">
        <v>94000.0</v>
      </c>
      <c r="H71" s="150">
        <v>111000.0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2.5" customHeight="1">
      <c r="A72" s="10" t="s">
        <v>1176</v>
      </c>
      <c r="B72" s="10" t="s">
        <v>103</v>
      </c>
      <c r="C72" s="152"/>
      <c r="D72" s="152"/>
      <c r="E72" s="150">
        <v>8000.0</v>
      </c>
      <c r="F72" s="150">
        <v>91000.0</v>
      </c>
      <c r="G72" s="150">
        <v>102000.0</v>
      </c>
      <c r="H72" s="150">
        <v>131000.0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2.5" customHeight="1">
      <c r="A73" s="10" t="s">
        <v>1178</v>
      </c>
      <c r="B73" s="10" t="s">
        <v>103</v>
      </c>
      <c r="C73" s="152"/>
      <c r="D73" s="152"/>
      <c r="E73" s="150">
        <v>8500.0</v>
      </c>
      <c r="F73" s="150">
        <v>100000.0</v>
      </c>
      <c r="G73" s="150">
        <v>112000.0</v>
      </c>
      <c r="H73" s="150">
        <v>141000.0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2.5" customHeight="1">
      <c r="A74" s="10" t="s">
        <v>1180</v>
      </c>
      <c r="B74" s="10" t="s">
        <v>103</v>
      </c>
      <c r="C74" s="152"/>
      <c r="D74" s="152"/>
      <c r="E74" s="150">
        <v>9000.0</v>
      </c>
      <c r="F74" s="150">
        <v>111000.0</v>
      </c>
      <c r="G74" s="150">
        <v>123000.0</v>
      </c>
      <c r="H74" s="150">
        <v>153000.0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2.5" customHeight="1">
      <c r="A75" s="10" t="s">
        <v>1183</v>
      </c>
      <c r="B75" s="10" t="s">
        <v>103</v>
      </c>
      <c r="C75" s="152"/>
      <c r="D75" s="152"/>
      <c r="E75" s="150">
        <v>9500.0</v>
      </c>
      <c r="F75" s="150">
        <v>122000.0</v>
      </c>
      <c r="G75" s="150">
        <v>134000.0</v>
      </c>
      <c r="H75" s="150">
        <v>165000.0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2.5" customHeight="1">
      <c r="A76" s="10" t="s">
        <v>1186</v>
      </c>
      <c r="B76" s="10" t="s">
        <v>103</v>
      </c>
      <c r="C76" s="152"/>
      <c r="D76" s="152"/>
      <c r="E76" s="150">
        <v>10000.0</v>
      </c>
      <c r="F76" s="150">
        <v>132000.0</v>
      </c>
      <c r="G76" s="150">
        <v>146000.0</v>
      </c>
      <c r="H76" s="150">
        <v>180000.0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2.5" customHeight="1">
      <c r="A77" s="10" t="s">
        <v>1188</v>
      </c>
      <c r="B77" s="10" t="s">
        <v>103</v>
      </c>
      <c r="C77" s="152"/>
      <c r="D77" s="152"/>
      <c r="E77" s="150">
        <v>10500.0</v>
      </c>
      <c r="F77" s="150">
        <v>144000.0</v>
      </c>
      <c r="G77" s="150">
        <v>148000.0</v>
      </c>
      <c r="H77" s="150">
        <v>195000.0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2.5" customHeight="1">
      <c r="A78" s="10" t="s">
        <v>1191</v>
      </c>
      <c r="B78" s="10" t="s">
        <v>103</v>
      </c>
      <c r="C78" s="152"/>
      <c r="D78" s="152"/>
      <c r="E78" s="150">
        <v>11000.0</v>
      </c>
      <c r="F78" s="150">
        <v>155000.0</v>
      </c>
      <c r="G78" s="150">
        <v>180000.0</v>
      </c>
      <c r="H78" s="150">
        <v>213000.0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2.5" customHeight="1">
      <c r="A79" s="10" t="s">
        <v>1194</v>
      </c>
      <c r="B79" s="10" t="s">
        <v>103</v>
      </c>
      <c r="C79" s="152"/>
      <c r="D79" s="152"/>
      <c r="E79" s="150">
        <v>11001.0</v>
      </c>
      <c r="F79" s="150">
        <v>166000.0</v>
      </c>
      <c r="G79" s="150">
        <v>190000.0</v>
      </c>
      <c r="H79" s="150">
        <v>232000.0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2.5" customHeight="1">
      <c r="A80" s="10" t="s">
        <v>1197</v>
      </c>
      <c r="B80" s="10" t="s">
        <v>142</v>
      </c>
      <c r="C80" s="152">
        <v>5500.0</v>
      </c>
      <c r="D80" s="152">
        <v>59000.0</v>
      </c>
      <c r="E80" s="150"/>
      <c r="F80" s="150"/>
      <c r="G80" s="150"/>
      <c r="H80" s="150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2.5" customHeight="1">
      <c r="A81" s="10" t="s">
        <v>1199</v>
      </c>
      <c r="B81" s="10" t="s">
        <v>142</v>
      </c>
      <c r="C81" s="152">
        <v>6000.0</v>
      </c>
      <c r="D81" s="152">
        <v>66000.0</v>
      </c>
      <c r="E81" s="150"/>
      <c r="F81" s="150"/>
      <c r="G81" s="150"/>
      <c r="H81" s="150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2.5" customHeight="1">
      <c r="A82" s="10" t="s">
        <v>1201</v>
      </c>
      <c r="B82" s="10" t="s">
        <v>142</v>
      </c>
      <c r="C82" s="152">
        <v>6500.0</v>
      </c>
      <c r="D82" s="152">
        <v>72000.0</v>
      </c>
      <c r="E82" s="150"/>
      <c r="F82" s="150"/>
      <c r="G82" s="150"/>
      <c r="H82" s="150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2.5" customHeight="1">
      <c r="A83" s="10" t="s">
        <v>1203</v>
      </c>
      <c r="B83" s="10" t="s">
        <v>142</v>
      </c>
      <c r="C83" s="152">
        <v>7000.0</v>
      </c>
      <c r="D83" s="152">
        <v>80000.0</v>
      </c>
      <c r="E83" s="150"/>
      <c r="F83" s="150"/>
      <c r="G83" s="150"/>
      <c r="H83" s="150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2.5" customHeight="1">
      <c r="A84" s="10" t="s">
        <v>1205</v>
      </c>
      <c r="B84" s="10" t="s">
        <v>142</v>
      </c>
      <c r="C84" s="152">
        <v>7500.0</v>
      </c>
      <c r="D84" s="152">
        <v>88000.0</v>
      </c>
      <c r="E84" s="150"/>
      <c r="F84" s="150"/>
      <c r="G84" s="150"/>
      <c r="H84" s="150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2.5" customHeight="1">
      <c r="A85" s="10" t="s">
        <v>1208</v>
      </c>
      <c r="B85" s="10" t="s">
        <v>142</v>
      </c>
      <c r="C85" s="152" t="s">
        <v>1210</v>
      </c>
      <c r="D85" s="152">
        <v>97000.0</v>
      </c>
      <c r="E85" s="150"/>
      <c r="F85" s="150"/>
      <c r="G85" s="150"/>
      <c r="H85" s="150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2.5" customHeight="1">
      <c r="A86" s="10" t="s">
        <v>1213</v>
      </c>
      <c r="B86" s="10" t="s">
        <v>169</v>
      </c>
      <c r="C86" s="152">
        <v>0.0</v>
      </c>
      <c r="D86" s="152">
        <v>0.0</v>
      </c>
      <c r="E86" s="150"/>
      <c r="F86" s="150"/>
      <c r="G86" s="150"/>
      <c r="H86" s="150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2.5" customHeight="1">
      <c r="A87" s="10" t="s">
        <v>1218</v>
      </c>
      <c r="B87" s="10" t="s">
        <v>169</v>
      </c>
      <c r="C87" s="152">
        <v>500.0</v>
      </c>
      <c r="D87" s="152">
        <v>12000.0</v>
      </c>
      <c r="E87" s="150"/>
      <c r="F87" s="150"/>
      <c r="G87" s="150"/>
      <c r="H87" s="150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2.5" customHeight="1">
      <c r="A88" s="10" t="s">
        <v>1222</v>
      </c>
      <c r="B88" s="10" t="s">
        <v>169</v>
      </c>
      <c r="C88" s="152">
        <v>1000.0</v>
      </c>
      <c r="D88" s="152">
        <v>18000.0</v>
      </c>
      <c r="E88" s="150"/>
      <c r="F88" s="150"/>
      <c r="G88" s="150"/>
      <c r="H88" s="150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2.5" customHeight="1">
      <c r="A89" s="10" t="s">
        <v>1226</v>
      </c>
      <c r="B89" s="10" t="s">
        <v>169</v>
      </c>
      <c r="C89" s="152">
        <v>1500.0</v>
      </c>
      <c r="D89" s="152">
        <v>24000.0</v>
      </c>
      <c r="E89" s="150"/>
      <c r="F89" s="150"/>
      <c r="G89" s="150"/>
      <c r="H89" s="150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2.5" customHeight="1">
      <c r="A90" s="10" t="s">
        <v>1233</v>
      </c>
      <c r="B90" s="10" t="s">
        <v>169</v>
      </c>
      <c r="C90" s="152">
        <v>2000.0</v>
      </c>
      <c r="D90" s="152">
        <v>27000.0</v>
      </c>
      <c r="E90" s="150"/>
      <c r="F90" s="150"/>
      <c r="G90" s="150"/>
      <c r="H90" s="150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2.5" customHeight="1">
      <c r="A91" s="10" t="s">
        <v>1238</v>
      </c>
      <c r="B91" s="10" t="s">
        <v>169</v>
      </c>
      <c r="C91" s="152">
        <v>2500.0</v>
      </c>
      <c r="D91" s="152">
        <v>31000.0</v>
      </c>
      <c r="E91" s="150"/>
      <c r="F91" s="150"/>
      <c r="G91" s="150"/>
      <c r="H91" s="150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2.5" customHeight="1">
      <c r="A92" s="10" t="s">
        <v>1243</v>
      </c>
      <c r="B92" s="10" t="s">
        <v>169</v>
      </c>
      <c r="C92" s="152">
        <v>3000.0</v>
      </c>
      <c r="D92" s="152">
        <v>35000.0</v>
      </c>
      <c r="E92" s="150"/>
      <c r="F92" s="150"/>
      <c r="G92" s="150"/>
      <c r="H92" s="150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2.5" customHeight="1">
      <c r="A93" s="10" t="s">
        <v>1247</v>
      </c>
      <c r="B93" s="10" t="s">
        <v>169</v>
      </c>
      <c r="C93" s="152">
        <v>3500.0</v>
      </c>
      <c r="D93" s="152">
        <v>39000.0</v>
      </c>
      <c r="E93" s="150"/>
      <c r="F93" s="150"/>
      <c r="G93" s="150"/>
      <c r="H93" s="150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2.5" customHeight="1">
      <c r="A94" s="10" t="s">
        <v>1254</v>
      </c>
      <c r="B94" s="10" t="s">
        <v>169</v>
      </c>
      <c r="C94" s="152">
        <v>4000.0</v>
      </c>
      <c r="D94" s="152">
        <v>43000.0</v>
      </c>
      <c r="E94" s="150"/>
      <c r="F94" s="150"/>
      <c r="G94" s="150"/>
      <c r="H94" s="150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2.5" customHeight="1">
      <c r="A95" s="10" t="s">
        <v>1259</v>
      </c>
      <c r="B95" s="10" t="s">
        <v>169</v>
      </c>
      <c r="C95" s="152">
        <v>4500.0</v>
      </c>
      <c r="D95" s="152">
        <v>48000.0</v>
      </c>
      <c r="E95" s="150"/>
      <c r="F95" s="150"/>
      <c r="G95" s="150"/>
      <c r="H95" s="150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2.5" customHeight="1">
      <c r="A96" s="10" t="s">
        <v>1266</v>
      </c>
      <c r="B96" s="10" t="s">
        <v>169</v>
      </c>
      <c r="C96" s="152">
        <v>5000.0</v>
      </c>
      <c r="D96" s="152">
        <v>53000.0</v>
      </c>
      <c r="E96" s="150"/>
      <c r="F96" s="150"/>
      <c r="G96" s="150"/>
      <c r="H96" s="150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2.5" customHeight="1">
      <c r="A97" s="10" t="s">
        <v>1269</v>
      </c>
      <c r="B97" s="10" t="s">
        <v>169</v>
      </c>
      <c r="C97" s="152">
        <v>5500.0</v>
      </c>
      <c r="D97" s="152">
        <v>59000.0</v>
      </c>
      <c r="E97" s="150"/>
      <c r="F97" s="150"/>
      <c r="G97" s="150"/>
      <c r="H97" s="150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2.5" customHeight="1">
      <c r="A98" s="10" t="s">
        <v>1272</v>
      </c>
      <c r="B98" s="10" t="s">
        <v>169</v>
      </c>
      <c r="C98" s="152">
        <v>6000.0</v>
      </c>
      <c r="D98" s="152">
        <v>66000.0</v>
      </c>
      <c r="E98" s="150"/>
      <c r="F98" s="150"/>
      <c r="G98" s="150"/>
      <c r="H98" s="150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2.5" customHeight="1">
      <c r="A99" s="10" t="s">
        <v>1276</v>
      </c>
      <c r="B99" s="10" t="s">
        <v>169</v>
      </c>
      <c r="C99" s="152">
        <v>6500.0</v>
      </c>
      <c r="D99" s="152">
        <v>72000.0</v>
      </c>
      <c r="E99" s="150"/>
      <c r="F99" s="150"/>
      <c r="G99" s="150"/>
      <c r="H99" s="150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2.5" customHeight="1">
      <c r="A100" s="10" t="s">
        <v>1279</v>
      </c>
      <c r="B100" s="10" t="s">
        <v>169</v>
      </c>
      <c r="C100" s="152">
        <v>7000.0</v>
      </c>
      <c r="D100" s="152">
        <v>80000.0</v>
      </c>
      <c r="E100" s="150"/>
      <c r="F100" s="150"/>
      <c r="G100" s="150"/>
      <c r="H100" s="150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2.5" customHeight="1">
      <c r="A101" s="10" t="s">
        <v>1283</v>
      </c>
      <c r="B101" s="10" t="s">
        <v>169</v>
      </c>
      <c r="C101" s="152">
        <v>7500.0</v>
      </c>
      <c r="D101" s="152">
        <v>88000.0</v>
      </c>
      <c r="E101" s="150"/>
      <c r="F101" s="150"/>
      <c r="G101" s="150"/>
      <c r="H101" s="150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2.5" customHeight="1">
      <c r="A102" s="10" t="s">
        <v>1286</v>
      </c>
      <c r="B102" s="10" t="s">
        <v>169</v>
      </c>
      <c r="C102" s="152" t="s">
        <v>1287</v>
      </c>
      <c r="D102" s="152">
        <v>97000.0</v>
      </c>
      <c r="E102" s="150"/>
      <c r="F102" s="150"/>
      <c r="G102" s="150"/>
      <c r="H102" s="150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2.5" customHeight="1">
      <c r="A103" s="10" t="s">
        <v>1291</v>
      </c>
      <c r="B103" s="10" t="s">
        <v>188</v>
      </c>
      <c r="C103" s="152">
        <v>0.0</v>
      </c>
      <c r="D103" s="152">
        <v>0.0</v>
      </c>
      <c r="E103" s="150"/>
      <c r="F103" s="150"/>
      <c r="G103" s="150"/>
      <c r="H103" s="150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2.5" customHeight="1">
      <c r="A104" s="10" t="s">
        <v>1294</v>
      </c>
      <c r="B104" s="10" t="s">
        <v>188</v>
      </c>
      <c r="C104" s="152">
        <v>500.0</v>
      </c>
      <c r="D104" s="152">
        <v>12000.0</v>
      </c>
      <c r="E104" s="150"/>
      <c r="F104" s="150"/>
      <c r="G104" s="150"/>
      <c r="H104" s="150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2.5" customHeight="1">
      <c r="A105" s="10" t="s">
        <v>1298</v>
      </c>
      <c r="B105" s="10" t="s">
        <v>188</v>
      </c>
      <c r="C105" s="152">
        <v>1000.0</v>
      </c>
      <c r="D105" s="152">
        <v>18000.0</v>
      </c>
      <c r="E105" s="150"/>
      <c r="F105" s="150"/>
      <c r="G105" s="150"/>
      <c r="H105" s="150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2.5" customHeight="1">
      <c r="A106" s="10" t="s">
        <v>1300</v>
      </c>
      <c r="B106" s="10" t="s">
        <v>188</v>
      </c>
      <c r="C106" s="152">
        <v>1500.0</v>
      </c>
      <c r="D106" s="152">
        <v>24000.0</v>
      </c>
      <c r="E106" s="150"/>
      <c r="F106" s="150"/>
      <c r="G106" s="150"/>
      <c r="H106" s="150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2.5" customHeight="1">
      <c r="A107" s="10" t="s">
        <v>1304</v>
      </c>
      <c r="B107" s="10" t="s">
        <v>188</v>
      </c>
      <c r="C107" s="152">
        <v>2000.0</v>
      </c>
      <c r="D107" s="152">
        <v>27000.0</v>
      </c>
      <c r="E107" s="150"/>
      <c r="F107" s="150"/>
      <c r="G107" s="150"/>
      <c r="H107" s="150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2.5" customHeight="1">
      <c r="A108" s="10" t="s">
        <v>1309</v>
      </c>
      <c r="B108" s="10" t="s">
        <v>188</v>
      </c>
      <c r="C108" s="152">
        <v>2500.0</v>
      </c>
      <c r="D108" s="152">
        <v>31000.0</v>
      </c>
      <c r="E108" s="150"/>
      <c r="F108" s="150"/>
      <c r="G108" s="150"/>
      <c r="H108" s="150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2.5" customHeight="1">
      <c r="A109" s="10" t="s">
        <v>1314</v>
      </c>
      <c r="B109" s="10" t="s">
        <v>188</v>
      </c>
      <c r="C109" s="152">
        <v>3000.0</v>
      </c>
      <c r="D109" s="152">
        <v>35000.0</v>
      </c>
      <c r="E109" s="150"/>
      <c r="F109" s="150"/>
      <c r="G109" s="150"/>
      <c r="H109" s="150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2.5" customHeight="1">
      <c r="A110" s="10" t="s">
        <v>1318</v>
      </c>
      <c r="B110" s="10" t="s">
        <v>188</v>
      </c>
      <c r="C110" s="152">
        <v>3500.0</v>
      </c>
      <c r="D110" s="152">
        <v>39000.0</v>
      </c>
      <c r="E110" s="150"/>
      <c r="F110" s="150"/>
      <c r="G110" s="150"/>
      <c r="H110" s="150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2.5" customHeight="1">
      <c r="A111" s="10" t="s">
        <v>1321</v>
      </c>
      <c r="B111" s="10" t="s">
        <v>188</v>
      </c>
      <c r="C111" s="152">
        <v>4000.0</v>
      </c>
      <c r="D111" s="152">
        <v>43000.0</v>
      </c>
      <c r="E111" s="150"/>
      <c r="F111" s="150"/>
      <c r="G111" s="150"/>
      <c r="H111" s="150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2.5" customHeight="1">
      <c r="A112" s="10" t="s">
        <v>1325</v>
      </c>
      <c r="B112" s="10" t="s">
        <v>188</v>
      </c>
      <c r="C112" s="152">
        <v>4500.0</v>
      </c>
      <c r="D112" s="152">
        <v>48000.0</v>
      </c>
      <c r="E112" s="150"/>
      <c r="F112" s="150"/>
      <c r="G112" s="150"/>
      <c r="H112" s="150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2.5" customHeight="1">
      <c r="A113" s="10" t="s">
        <v>1328</v>
      </c>
      <c r="B113" s="10" t="s">
        <v>188</v>
      </c>
      <c r="C113" s="152">
        <v>5000.0</v>
      </c>
      <c r="D113" s="152">
        <v>53000.0</v>
      </c>
      <c r="E113" s="150"/>
      <c r="F113" s="150"/>
      <c r="G113" s="150"/>
      <c r="H113" s="150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2.5" customHeight="1">
      <c r="A114" s="10" t="s">
        <v>1331</v>
      </c>
      <c r="B114" s="10" t="s">
        <v>188</v>
      </c>
      <c r="C114" s="152">
        <v>5500.0</v>
      </c>
      <c r="D114" s="152">
        <v>59000.0</v>
      </c>
      <c r="E114" s="150"/>
      <c r="F114" s="150"/>
      <c r="G114" s="150"/>
      <c r="H114" s="150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2.5" customHeight="1">
      <c r="A115" s="10" t="s">
        <v>1334</v>
      </c>
      <c r="B115" s="10" t="s">
        <v>188</v>
      </c>
      <c r="C115" s="152">
        <v>6000.0</v>
      </c>
      <c r="D115" s="152">
        <v>66000.0</v>
      </c>
      <c r="E115" s="150"/>
      <c r="F115" s="150"/>
      <c r="G115" s="150"/>
      <c r="H115" s="150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2.5" customHeight="1">
      <c r="A116" s="10" t="s">
        <v>1340</v>
      </c>
      <c r="B116" s="10" t="s">
        <v>188</v>
      </c>
      <c r="C116" s="152">
        <v>6500.0</v>
      </c>
      <c r="D116" s="152">
        <v>72000.0</v>
      </c>
      <c r="E116" s="150"/>
      <c r="F116" s="150"/>
      <c r="G116" s="150"/>
      <c r="H116" s="150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2.5" customHeight="1">
      <c r="A117" s="10" t="s">
        <v>1343</v>
      </c>
      <c r="B117" s="10" t="s">
        <v>188</v>
      </c>
      <c r="C117" s="152">
        <v>7000.0</v>
      </c>
      <c r="D117" s="152">
        <v>80000.0</v>
      </c>
      <c r="E117" s="150"/>
      <c r="F117" s="150"/>
      <c r="G117" s="150"/>
      <c r="H117" s="150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2.5" customHeight="1">
      <c r="A118" s="10" t="s">
        <v>1347</v>
      </c>
      <c r="B118" s="10" t="s">
        <v>188</v>
      </c>
      <c r="C118" s="152">
        <v>7500.0</v>
      </c>
      <c r="D118" s="152">
        <v>88000.0</v>
      </c>
      <c r="E118" s="150"/>
      <c r="F118" s="150"/>
      <c r="G118" s="150"/>
      <c r="H118" s="150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2.5" customHeight="1">
      <c r="A119" s="10" t="s">
        <v>1350</v>
      </c>
      <c r="B119" s="10" t="s">
        <v>188</v>
      </c>
      <c r="C119" s="152">
        <v>8000.0</v>
      </c>
      <c r="D119" s="152">
        <v>97000.0</v>
      </c>
      <c r="E119" s="150"/>
      <c r="F119" s="150"/>
      <c r="G119" s="150"/>
      <c r="H119" s="150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2.5" customHeight="1">
      <c r="A120" s="10" t="s">
        <v>1352</v>
      </c>
      <c r="B120" s="10" t="s">
        <v>207</v>
      </c>
      <c r="C120" s="152">
        <v>1000.0</v>
      </c>
      <c r="D120" s="152"/>
      <c r="E120" s="150">
        <v>1000.0</v>
      </c>
      <c r="F120" s="150">
        <v>12000.0</v>
      </c>
      <c r="G120" s="150"/>
      <c r="H120" s="150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2.5" customHeight="1">
      <c r="A121" s="10" t="s">
        <v>1356</v>
      </c>
      <c r="B121" s="10" t="s">
        <v>207</v>
      </c>
      <c r="C121" s="152">
        <v>1500.0</v>
      </c>
      <c r="D121" s="152"/>
      <c r="E121" s="150">
        <v>1500.0</v>
      </c>
      <c r="F121" s="150">
        <v>18000.0</v>
      </c>
      <c r="G121" s="150">
        <v>14000.0</v>
      </c>
      <c r="H121" s="150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2.5" customHeight="1">
      <c r="A122" s="10" t="s">
        <v>1359</v>
      </c>
      <c r="B122" s="10" t="s">
        <v>207</v>
      </c>
      <c r="C122" s="152">
        <v>2000.0</v>
      </c>
      <c r="D122" s="152"/>
      <c r="E122" s="150">
        <v>2000.0</v>
      </c>
      <c r="F122" s="150">
        <v>23000.0</v>
      </c>
      <c r="G122" s="150">
        <v>18000.0</v>
      </c>
      <c r="H122" s="150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2.5" customHeight="1">
      <c r="A123" s="10" t="s">
        <v>1363</v>
      </c>
      <c r="B123" s="10" t="s">
        <v>207</v>
      </c>
      <c r="C123" s="152">
        <v>2500.0</v>
      </c>
      <c r="D123" s="152"/>
      <c r="E123" s="150">
        <v>2500.0</v>
      </c>
      <c r="F123" s="150">
        <v>27000.0</v>
      </c>
      <c r="G123" s="150">
        <v>26000.0</v>
      </c>
      <c r="H123" s="150">
        <v>17000.0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2.5" customHeight="1">
      <c r="A124" s="10" t="s">
        <v>1366</v>
      </c>
      <c r="B124" s="10" t="s">
        <v>207</v>
      </c>
      <c r="C124" s="152">
        <v>3000.0</v>
      </c>
      <c r="D124" s="152"/>
      <c r="E124" s="150">
        <v>3000.0</v>
      </c>
      <c r="F124" s="150">
        <v>31000.0</v>
      </c>
      <c r="G124" s="150">
        <v>31000.0</v>
      </c>
      <c r="H124" s="150">
        <v>24000.0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2.5" customHeight="1">
      <c r="A125" s="10" t="s">
        <v>1370</v>
      </c>
      <c r="B125" s="10" t="s">
        <v>207</v>
      </c>
      <c r="C125" s="152">
        <v>3500.0</v>
      </c>
      <c r="D125" s="152"/>
      <c r="E125" s="150">
        <v>3500.0</v>
      </c>
      <c r="F125" s="150">
        <v>35000.0</v>
      </c>
      <c r="G125" s="150">
        <v>35000.0</v>
      </c>
      <c r="H125" s="150">
        <v>36000.0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2.5" customHeight="1">
      <c r="A126" s="10" t="s">
        <v>1372</v>
      </c>
      <c r="B126" s="10" t="s">
        <v>207</v>
      </c>
      <c r="C126" s="152">
        <v>4000.0</v>
      </c>
      <c r="D126" s="152"/>
      <c r="E126" s="150">
        <v>4000.0</v>
      </c>
      <c r="F126" s="150">
        <v>39000.0</v>
      </c>
      <c r="G126" s="150">
        <v>40000.0</v>
      </c>
      <c r="H126" s="150">
        <v>43000.0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2.5" customHeight="1">
      <c r="A127" s="10" t="s">
        <v>1375</v>
      </c>
      <c r="B127" s="10" t="s">
        <v>207</v>
      </c>
      <c r="C127" s="152">
        <v>4500.0</v>
      </c>
      <c r="D127" s="152"/>
      <c r="E127" s="150">
        <v>4500.0</v>
      </c>
      <c r="F127" s="150">
        <v>44000.0</v>
      </c>
      <c r="G127" s="150">
        <v>45000.0</v>
      </c>
      <c r="H127" s="150">
        <v>48000.0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22.5" customHeight="1">
      <c r="A128" s="10" t="s">
        <v>1378</v>
      </c>
      <c r="B128" s="10" t="s">
        <v>207</v>
      </c>
      <c r="C128" s="152">
        <v>5000.0</v>
      </c>
      <c r="D128" s="152"/>
      <c r="E128" s="150">
        <v>5000.0</v>
      </c>
      <c r="F128" s="150">
        <v>49000.0</v>
      </c>
      <c r="G128" s="150">
        <v>51000.0</v>
      </c>
      <c r="H128" s="150">
        <v>56000.0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2.5" customHeight="1">
      <c r="A129" s="10" t="s">
        <v>1382</v>
      </c>
      <c r="B129" s="10" t="s">
        <v>207</v>
      </c>
      <c r="C129" s="152">
        <v>5500.0</v>
      </c>
      <c r="D129" s="152"/>
      <c r="E129" s="150">
        <v>5500.0</v>
      </c>
      <c r="F129" s="150">
        <v>55000.0</v>
      </c>
      <c r="G129" s="150">
        <v>58000.0</v>
      </c>
      <c r="H129" s="150">
        <v>63000.0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2.5" customHeight="1">
      <c r="A130" s="10" t="s">
        <v>1387</v>
      </c>
      <c r="B130" s="10" t="s">
        <v>207</v>
      </c>
      <c r="C130" s="152">
        <v>6000.0</v>
      </c>
      <c r="D130" s="152"/>
      <c r="E130" s="150">
        <v>6000.0</v>
      </c>
      <c r="F130" s="150">
        <v>63000.0</v>
      </c>
      <c r="G130" s="150">
        <v>66000.0</v>
      </c>
      <c r="H130" s="150">
        <v>72000.0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2.5" customHeight="1">
      <c r="A131" s="10" t="s">
        <v>1392</v>
      </c>
      <c r="B131" s="10" t="s">
        <v>207</v>
      </c>
      <c r="C131" s="152">
        <v>6500.0</v>
      </c>
      <c r="D131" s="152"/>
      <c r="E131" s="150">
        <v>6500.0</v>
      </c>
      <c r="F131" s="150">
        <v>69000.0</v>
      </c>
      <c r="G131" s="150">
        <v>75000.0</v>
      </c>
      <c r="H131" s="150">
        <v>82000.0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2.5" customHeight="1">
      <c r="A132" s="10" t="s">
        <v>1397</v>
      </c>
      <c r="B132" s="10" t="s">
        <v>207</v>
      </c>
      <c r="C132" s="152">
        <v>7000.0</v>
      </c>
      <c r="D132" s="152"/>
      <c r="E132" s="150">
        <v>7000.0</v>
      </c>
      <c r="F132" s="150">
        <v>76000.0</v>
      </c>
      <c r="G132" s="150">
        <v>86000.0</v>
      </c>
      <c r="H132" s="150">
        <v>95000.0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2.5" customHeight="1">
      <c r="A133" s="10" t="s">
        <v>1401</v>
      </c>
      <c r="B133" s="10" t="s">
        <v>207</v>
      </c>
      <c r="C133" s="152">
        <v>7500.0</v>
      </c>
      <c r="D133" s="152"/>
      <c r="E133" s="150">
        <v>7500.0</v>
      </c>
      <c r="F133" s="150">
        <v>83000.0</v>
      </c>
      <c r="G133" s="150">
        <v>94000.0</v>
      </c>
      <c r="H133" s="150">
        <v>111000.0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22.5" customHeight="1">
      <c r="A134" s="10" t="s">
        <v>1404</v>
      </c>
      <c r="B134" s="10" t="s">
        <v>207</v>
      </c>
      <c r="C134" s="152">
        <v>8000.0</v>
      </c>
      <c r="D134" s="152"/>
      <c r="E134" s="150">
        <v>8000.0</v>
      </c>
      <c r="F134" s="150">
        <v>91000.0</v>
      </c>
      <c r="G134" s="150">
        <v>102000.0</v>
      </c>
      <c r="H134" s="150">
        <v>131000.0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22.5" customHeight="1">
      <c r="A135" s="10" t="s">
        <v>1407</v>
      </c>
      <c r="B135" s="10" t="s">
        <v>207</v>
      </c>
      <c r="C135" s="152">
        <v>8500.0</v>
      </c>
      <c r="D135" s="152"/>
      <c r="E135" s="150">
        <v>8500.0</v>
      </c>
      <c r="F135" s="150">
        <v>100000.0</v>
      </c>
      <c r="G135" s="150">
        <v>112000.0</v>
      </c>
      <c r="H135" s="150">
        <v>141000.0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22.5" customHeight="1">
      <c r="A136" s="10" t="s">
        <v>1412</v>
      </c>
      <c r="B136" s="10" t="s">
        <v>207</v>
      </c>
      <c r="C136" s="152">
        <v>9000.0</v>
      </c>
      <c r="D136" s="152"/>
      <c r="E136" s="150">
        <v>9000.0</v>
      </c>
      <c r="F136" s="150">
        <v>111000.0</v>
      </c>
      <c r="G136" s="150">
        <v>123000.0</v>
      </c>
      <c r="H136" s="150">
        <v>153000.0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22.5" customHeight="1">
      <c r="A137" s="10" t="s">
        <v>1416</v>
      </c>
      <c r="B137" s="10" t="s">
        <v>207</v>
      </c>
      <c r="C137" s="152">
        <v>9500.0</v>
      </c>
      <c r="D137" s="152"/>
      <c r="E137" s="150">
        <v>9500.0</v>
      </c>
      <c r="F137" s="150">
        <v>122000.0</v>
      </c>
      <c r="G137" s="150">
        <v>134000.0</v>
      </c>
      <c r="H137" s="150">
        <v>165000.0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2.5" customHeight="1">
      <c r="A138" s="10" t="s">
        <v>1420</v>
      </c>
      <c r="B138" s="10" t="s">
        <v>207</v>
      </c>
      <c r="C138" s="152">
        <v>10000.0</v>
      </c>
      <c r="D138" s="152"/>
      <c r="E138" s="150">
        <v>10000.0</v>
      </c>
      <c r="F138" s="150">
        <v>132000.0</v>
      </c>
      <c r="G138" s="150">
        <v>146000.0</v>
      </c>
      <c r="H138" s="150">
        <v>180000.0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2.5" customHeight="1">
      <c r="A139" s="10" t="s">
        <v>1422</v>
      </c>
      <c r="B139" s="10" t="s">
        <v>207</v>
      </c>
      <c r="C139" s="152">
        <v>10500.0</v>
      </c>
      <c r="D139" s="152"/>
      <c r="E139" s="150">
        <v>10500.0</v>
      </c>
      <c r="F139" s="150">
        <v>144000.0</v>
      </c>
      <c r="G139" s="150">
        <v>148000.0</v>
      </c>
      <c r="H139" s="150">
        <v>195000.0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22.5" customHeight="1">
      <c r="A140" s="10" t="s">
        <v>1427</v>
      </c>
      <c r="B140" s="10" t="s">
        <v>207</v>
      </c>
      <c r="C140" s="152">
        <v>11000.0</v>
      </c>
      <c r="D140" s="152"/>
      <c r="E140" s="150">
        <v>11000.0</v>
      </c>
      <c r="F140" s="150">
        <v>155000.0</v>
      </c>
      <c r="G140" s="150">
        <v>180000.0</v>
      </c>
      <c r="H140" s="150">
        <v>213000.0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22.5" customHeight="1">
      <c r="A141" s="10" t="s">
        <v>1431</v>
      </c>
      <c r="B141" s="10" t="s">
        <v>207</v>
      </c>
      <c r="C141" s="152">
        <v>11001.0</v>
      </c>
      <c r="D141" s="152"/>
      <c r="E141" s="150">
        <v>11001.0</v>
      </c>
      <c r="F141" s="150">
        <v>166000.0</v>
      </c>
      <c r="G141" s="150">
        <v>190000.0</v>
      </c>
      <c r="H141" s="150">
        <v>232000.0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22.5" customHeight="1">
      <c r="A142" s="10" t="s">
        <v>1434</v>
      </c>
      <c r="B142" s="10" t="s">
        <v>216</v>
      </c>
      <c r="C142" s="152"/>
      <c r="D142" s="152"/>
      <c r="E142" s="150">
        <v>1000.0</v>
      </c>
      <c r="F142" s="150">
        <v>15300.0</v>
      </c>
      <c r="G142" s="150"/>
      <c r="H142" s="150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22.5" customHeight="1">
      <c r="A143" s="10" t="s">
        <v>1437</v>
      </c>
      <c r="B143" s="10" t="s">
        <v>216</v>
      </c>
      <c r="C143" s="152"/>
      <c r="D143" s="152"/>
      <c r="E143" s="150">
        <v>1500.0</v>
      </c>
      <c r="F143" s="150">
        <v>22900.0</v>
      </c>
      <c r="G143" s="150">
        <v>21300.0</v>
      </c>
      <c r="H143" s="150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22.5" customHeight="1">
      <c r="A144" s="10" t="s">
        <v>1441</v>
      </c>
      <c r="B144" s="10" t="s">
        <v>216</v>
      </c>
      <c r="C144" s="152"/>
      <c r="D144" s="152"/>
      <c r="E144" s="150">
        <v>2000.0</v>
      </c>
      <c r="F144" s="150">
        <v>28900.0</v>
      </c>
      <c r="G144" s="150">
        <v>26800.0</v>
      </c>
      <c r="H144" s="150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22.5" customHeight="1">
      <c r="A145" s="10" t="s">
        <v>1444</v>
      </c>
      <c r="B145" s="10" t="s">
        <v>216</v>
      </c>
      <c r="C145" s="152"/>
      <c r="D145" s="152"/>
      <c r="E145" s="150">
        <v>2500.0</v>
      </c>
      <c r="F145" s="150">
        <v>33900.0</v>
      </c>
      <c r="G145" s="150">
        <v>34000.0</v>
      </c>
      <c r="H145" s="150">
        <v>26700.0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22.5" customHeight="1">
      <c r="A146" s="10" t="s">
        <v>1447</v>
      </c>
      <c r="B146" s="10" t="s">
        <v>216</v>
      </c>
      <c r="C146" s="152"/>
      <c r="D146" s="152"/>
      <c r="E146" s="150">
        <v>3000.0</v>
      </c>
      <c r="F146" s="150">
        <v>38400.0</v>
      </c>
      <c r="G146" s="150">
        <v>40500.0</v>
      </c>
      <c r="H146" s="150">
        <v>31000.0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22.5" customHeight="1">
      <c r="A147" s="10" t="s">
        <v>1450</v>
      </c>
      <c r="B147" s="10" t="s">
        <v>216</v>
      </c>
      <c r="C147" s="152"/>
      <c r="D147" s="152"/>
      <c r="E147" s="150">
        <v>3500.0</v>
      </c>
      <c r="F147" s="150">
        <v>43300.0</v>
      </c>
      <c r="G147" s="150">
        <v>45800.0</v>
      </c>
      <c r="H147" s="150">
        <v>45300.0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22.5" customHeight="1">
      <c r="A148" s="10" t="s">
        <v>1454</v>
      </c>
      <c r="B148" s="10" t="s">
        <v>216</v>
      </c>
      <c r="C148" s="152"/>
      <c r="D148" s="152"/>
      <c r="E148" s="150">
        <v>4000.0</v>
      </c>
      <c r="F148" s="150">
        <v>48300.0</v>
      </c>
      <c r="G148" s="150">
        <v>51600.0</v>
      </c>
      <c r="H148" s="150">
        <v>54300.0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22.5" customHeight="1">
      <c r="A149" s="10" t="s">
        <v>1457</v>
      </c>
      <c r="B149" s="10" t="s">
        <v>216</v>
      </c>
      <c r="C149" s="152"/>
      <c r="D149" s="152"/>
      <c r="E149" s="150">
        <v>4500.0</v>
      </c>
      <c r="F149" s="150">
        <v>54900.0</v>
      </c>
      <c r="G149" s="150">
        <v>58800.0</v>
      </c>
      <c r="H149" s="150">
        <v>61700.0</v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22.5" customHeight="1">
      <c r="A150" s="10" t="s">
        <v>1461</v>
      </c>
      <c r="B150" s="10" t="s">
        <v>216</v>
      </c>
      <c r="C150" s="152"/>
      <c r="D150" s="152"/>
      <c r="E150" s="150">
        <v>5000.0</v>
      </c>
      <c r="F150" s="150">
        <v>60900.0</v>
      </c>
      <c r="G150" s="150">
        <v>65900.0</v>
      </c>
      <c r="H150" s="150">
        <v>70700.0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22.5" customHeight="1">
      <c r="A151" s="10" t="s">
        <v>1464</v>
      </c>
      <c r="B151" s="10" t="s">
        <v>216</v>
      </c>
      <c r="C151" s="152"/>
      <c r="D151" s="152"/>
      <c r="E151" s="150">
        <v>5500.0</v>
      </c>
      <c r="F151" s="150">
        <v>68500.0</v>
      </c>
      <c r="G151" s="150">
        <v>74300.0</v>
      </c>
      <c r="H151" s="150">
        <v>80200.0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22.5" customHeight="1">
      <c r="A152" s="10" t="s">
        <v>1466</v>
      </c>
      <c r="B152" s="10" t="s">
        <v>216</v>
      </c>
      <c r="C152" s="152"/>
      <c r="D152" s="152"/>
      <c r="E152" s="150">
        <v>6000.0</v>
      </c>
      <c r="F152" s="150">
        <v>78600.0</v>
      </c>
      <c r="G152" s="150">
        <v>83900.0</v>
      </c>
      <c r="H152" s="150">
        <v>91800.0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22.5" customHeight="1">
      <c r="A153" s="10" t="s">
        <v>1469</v>
      </c>
      <c r="B153" s="10" t="s">
        <v>216</v>
      </c>
      <c r="C153" s="152"/>
      <c r="D153" s="152"/>
      <c r="E153" s="150">
        <v>6500.0</v>
      </c>
      <c r="F153" s="150">
        <v>86200.0</v>
      </c>
      <c r="G153" s="150">
        <v>99700.0</v>
      </c>
      <c r="H153" s="150">
        <v>104300.0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22.5" customHeight="1">
      <c r="A154" s="10" t="s">
        <v>1473</v>
      </c>
      <c r="B154" s="10" t="s">
        <v>216</v>
      </c>
      <c r="C154" s="152"/>
      <c r="D154" s="152"/>
      <c r="E154" s="150">
        <v>7000.0</v>
      </c>
      <c r="F154" s="150">
        <v>94700.0</v>
      </c>
      <c r="G154" s="150">
        <v>108700.0</v>
      </c>
      <c r="H154" s="150">
        <v>120300.0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22.5" customHeight="1">
      <c r="A155" s="10" t="s">
        <v>1477</v>
      </c>
      <c r="B155" s="10" t="s">
        <v>216</v>
      </c>
      <c r="C155" s="152"/>
      <c r="D155" s="152"/>
      <c r="E155" s="150">
        <v>7500.0</v>
      </c>
      <c r="F155" s="150">
        <v>104400.0</v>
      </c>
      <c r="G155" s="150">
        <v>118300.0</v>
      </c>
      <c r="H155" s="150">
        <v>140600.0</v>
      </c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22.5" customHeight="1">
      <c r="A156" s="10" t="s">
        <v>1480</v>
      </c>
      <c r="B156" s="10" t="s">
        <v>216</v>
      </c>
      <c r="C156" s="152"/>
      <c r="D156" s="152"/>
      <c r="E156" s="150">
        <v>8000.0</v>
      </c>
      <c r="F156" s="150">
        <v>114000.0</v>
      </c>
      <c r="G156" s="150">
        <v>129200.0</v>
      </c>
      <c r="H156" s="150">
        <v>167100.0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22.5" customHeight="1">
      <c r="A157" s="10" t="s">
        <v>1483</v>
      </c>
      <c r="B157" s="10" t="s">
        <v>216</v>
      </c>
      <c r="C157" s="152"/>
      <c r="D157" s="152"/>
      <c r="E157" s="150">
        <v>8500.0</v>
      </c>
      <c r="F157" s="150">
        <v>125700.0</v>
      </c>
      <c r="G157" s="150">
        <v>142000.0</v>
      </c>
      <c r="H157" s="150">
        <v>178800.0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22.5" customHeight="1">
      <c r="A158" s="10" t="s">
        <v>1485</v>
      </c>
      <c r="B158" s="10" t="s">
        <v>216</v>
      </c>
      <c r="C158" s="152"/>
      <c r="D158" s="152"/>
      <c r="E158" s="150">
        <v>9000.0</v>
      </c>
      <c r="F158" s="150">
        <v>138900.0</v>
      </c>
      <c r="G158" s="150">
        <v>155900.0</v>
      </c>
      <c r="H158" s="150">
        <v>194800.0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22.5" customHeight="1">
      <c r="A159" s="10" t="s">
        <v>1489</v>
      </c>
      <c r="B159" s="10" t="s">
        <v>216</v>
      </c>
      <c r="C159" s="152"/>
      <c r="D159" s="152"/>
      <c r="E159" s="150">
        <v>9500.0</v>
      </c>
      <c r="F159" s="150">
        <v>152600.0</v>
      </c>
      <c r="G159" s="150">
        <v>171100.0</v>
      </c>
      <c r="H159" s="150">
        <v>209900.0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22.5" customHeight="1">
      <c r="A160" s="10" t="s">
        <v>1492</v>
      </c>
      <c r="B160" s="10" t="s">
        <v>216</v>
      </c>
      <c r="C160" s="152"/>
      <c r="D160" s="152"/>
      <c r="E160" s="150">
        <v>10000.0</v>
      </c>
      <c r="F160" s="150">
        <v>166200.0</v>
      </c>
      <c r="G160" s="150">
        <v>187400.0</v>
      </c>
      <c r="H160" s="150">
        <v>229300.0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22.5" customHeight="1">
      <c r="A161" s="10" t="s">
        <v>1495</v>
      </c>
      <c r="B161" s="10" t="s">
        <v>216</v>
      </c>
      <c r="C161" s="152"/>
      <c r="D161" s="152"/>
      <c r="E161" s="150">
        <v>10500.0</v>
      </c>
      <c r="F161" s="150">
        <v>180400.0</v>
      </c>
      <c r="G161" s="150">
        <v>204400.0</v>
      </c>
      <c r="H161" s="150">
        <v>247900.0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22.5" customHeight="1">
      <c r="A162" s="10" t="s">
        <v>1498</v>
      </c>
      <c r="B162" s="10" t="s">
        <v>216</v>
      </c>
      <c r="C162" s="152"/>
      <c r="D162" s="152"/>
      <c r="E162" s="150">
        <v>11000.0</v>
      </c>
      <c r="F162" s="150">
        <v>194600.0</v>
      </c>
      <c r="G162" s="150">
        <v>221400.0</v>
      </c>
      <c r="H162" s="150">
        <v>271600.0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22.5" customHeight="1">
      <c r="A163" s="10" t="s">
        <v>1500</v>
      </c>
      <c r="B163" s="10" t="s">
        <v>216</v>
      </c>
      <c r="C163" s="152"/>
      <c r="D163" s="152"/>
      <c r="E163" s="150">
        <v>11500.0</v>
      </c>
      <c r="F163" s="150">
        <v>208300.0</v>
      </c>
      <c r="G163" s="150">
        <v>237700.0</v>
      </c>
      <c r="H163" s="150">
        <v>295400.0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22.5" customHeight="1">
      <c r="A164" s="10" t="s">
        <v>1501</v>
      </c>
      <c r="B164" s="10" t="s">
        <v>239</v>
      </c>
      <c r="C164" s="152">
        <v>0.0</v>
      </c>
      <c r="D164" s="152">
        <v>0.0</v>
      </c>
      <c r="E164" s="150"/>
      <c r="F164" s="150"/>
      <c r="G164" s="150"/>
      <c r="H164" s="150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22.5" customHeight="1">
      <c r="A165" s="10" t="s">
        <v>1505</v>
      </c>
      <c r="B165" s="10" t="s">
        <v>239</v>
      </c>
      <c r="C165" s="152">
        <v>500.0</v>
      </c>
      <c r="D165" s="152">
        <v>12000.0</v>
      </c>
      <c r="E165" s="150"/>
      <c r="F165" s="150"/>
      <c r="G165" s="150"/>
      <c r="H165" s="150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22.5" customHeight="1">
      <c r="A166" s="10" t="s">
        <v>1507</v>
      </c>
      <c r="B166" s="10" t="s">
        <v>239</v>
      </c>
      <c r="C166" s="152">
        <v>1000.0</v>
      </c>
      <c r="D166" s="152">
        <v>18000.0</v>
      </c>
      <c r="E166" s="150"/>
      <c r="F166" s="150"/>
      <c r="G166" s="150"/>
      <c r="H166" s="150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22.5" customHeight="1">
      <c r="A167" s="10" t="s">
        <v>1510</v>
      </c>
      <c r="B167" s="10" t="s">
        <v>239</v>
      </c>
      <c r="C167" s="152">
        <v>1500.0</v>
      </c>
      <c r="D167" s="152">
        <v>24000.0</v>
      </c>
      <c r="E167" s="150"/>
      <c r="F167" s="150"/>
      <c r="G167" s="150"/>
      <c r="H167" s="150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22.5" customHeight="1">
      <c r="A168" s="10" t="s">
        <v>1514</v>
      </c>
      <c r="B168" s="10" t="s">
        <v>239</v>
      </c>
      <c r="C168" s="152">
        <v>2000.0</v>
      </c>
      <c r="D168" s="152">
        <v>27000.0</v>
      </c>
      <c r="E168" s="150"/>
      <c r="F168" s="150"/>
      <c r="G168" s="150"/>
      <c r="H168" s="150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22.5" customHeight="1">
      <c r="A169" s="10" t="s">
        <v>1515</v>
      </c>
      <c r="B169" s="10" t="s">
        <v>239</v>
      </c>
      <c r="C169" s="152">
        <v>2500.0</v>
      </c>
      <c r="D169" s="152">
        <v>31000.0</v>
      </c>
      <c r="E169" s="150"/>
      <c r="F169" s="150"/>
      <c r="G169" s="150"/>
      <c r="H169" s="150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22.5" customHeight="1">
      <c r="A170" s="10" t="s">
        <v>1519</v>
      </c>
      <c r="B170" s="10" t="s">
        <v>239</v>
      </c>
      <c r="C170" s="152">
        <v>3000.0</v>
      </c>
      <c r="D170" s="152">
        <v>35000.0</v>
      </c>
      <c r="E170" s="150"/>
      <c r="F170" s="150"/>
      <c r="G170" s="150"/>
      <c r="H170" s="150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22.5" customHeight="1">
      <c r="A171" s="10" t="s">
        <v>1523</v>
      </c>
      <c r="B171" s="10" t="s">
        <v>239</v>
      </c>
      <c r="C171" s="152">
        <v>3500.0</v>
      </c>
      <c r="D171" s="152">
        <v>39000.0</v>
      </c>
      <c r="E171" s="150"/>
      <c r="F171" s="150"/>
      <c r="G171" s="150"/>
      <c r="H171" s="150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22.5" customHeight="1">
      <c r="A172" s="10" t="s">
        <v>1525</v>
      </c>
      <c r="B172" s="10" t="s">
        <v>239</v>
      </c>
      <c r="C172" s="152">
        <v>4000.0</v>
      </c>
      <c r="D172" s="152">
        <v>43000.0</v>
      </c>
      <c r="E172" s="150"/>
      <c r="F172" s="150"/>
      <c r="G172" s="150"/>
      <c r="H172" s="150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22.5" customHeight="1">
      <c r="A173" s="10" t="s">
        <v>1528</v>
      </c>
      <c r="B173" s="10" t="s">
        <v>239</v>
      </c>
      <c r="C173" s="152">
        <v>4500.0</v>
      </c>
      <c r="D173" s="152">
        <v>48000.0</v>
      </c>
      <c r="E173" s="150"/>
      <c r="F173" s="150"/>
      <c r="G173" s="150"/>
      <c r="H173" s="150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22.5" customHeight="1">
      <c r="A174" s="10" t="s">
        <v>1531</v>
      </c>
      <c r="B174" s="10" t="s">
        <v>239</v>
      </c>
      <c r="C174" s="152">
        <v>5000.0</v>
      </c>
      <c r="D174" s="152">
        <v>53000.0</v>
      </c>
      <c r="E174" s="150"/>
      <c r="F174" s="150"/>
      <c r="G174" s="150"/>
      <c r="H174" s="150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22.5" customHeight="1">
      <c r="A175" s="10" t="s">
        <v>1534</v>
      </c>
      <c r="B175" s="10" t="s">
        <v>239</v>
      </c>
      <c r="C175" s="152">
        <v>5500.0</v>
      </c>
      <c r="D175" s="152">
        <v>59000.0</v>
      </c>
      <c r="E175" s="150"/>
      <c r="F175" s="150"/>
      <c r="G175" s="150"/>
      <c r="H175" s="150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22.5" customHeight="1">
      <c r="A176" s="10" t="s">
        <v>1537</v>
      </c>
      <c r="B176" s="10" t="s">
        <v>239</v>
      </c>
      <c r="C176" s="152">
        <v>6000.0</v>
      </c>
      <c r="D176" s="152">
        <v>66000.0</v>
      </c>
      <c r="E176" s="150"/>
      <c r="F176" s="150"/>
      <c r="G176" s="150"/>
      <c r="H176" s="150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22.5" customHeight="1">
      <c r="A177" s="10" t="s">
        <v>1549</v>
      </c>
      <c r="B177" s="10" t="s">
        <v>239</v>
      </c>
      <c r="C177" s="152">
        <v>6500.0</v>
      </c>
      <c r="D177" s="152">
        <v>72000.0</v>
      </c>
      <c r="E177" s="150"/>
      <c r="F177" s="150"/>
      <c r="G177" s="150"/>
      <c r="H177" s="150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22.5" customHeight="1">
      <c r="A178" s="10" t="s">
        <v>1553</v>
      </c>
      <c r="B178" s="10" t="s">
        <v>239</v>
      </c>
      <c r="C178" s="152">
        <v>7000.0</v>
      </c>
      <c r="D178" s="152">
        <v>80000.0</v>
      </c>
      <c r="E178" s="150"/>
      <c r="F178" s="150"/>
      <c r="G178" s="150"/>
      <c r="H178" s="150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22.5" customHeight="1">
      <c r="A179" s="10" t="s">
        <v>1560</v>
      </c>
      <c r="B179" s="10" t="s">
        <v>239</v>
      </c>
      <c r="C179" s="152">
        <v>7500.0</v>
      </c>
      <c r="D179" s="152">
        <v>88000.0</v>
      </c>
      <c r="E179" s="150"/>
      <c r="F179" s="150"/>
      <c r="G179" s="150"/>
      <c r="H179" s="150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22.5" customHeight="1">
      <c r="A180" s="10" t="s">
        <v>1565</v>
      </c>
      <c r="B180" s="10" t="s">
        <v>239</v>
      </c>
      <c r="C180" s="152">
        <v>8000.0</v>
      </c>
      <c r="D180" s="152">
        <v>97000.0</v>
      </c>
      <c r="E180" s="150"/>
      <c r="F180" s="150"/>
      <c r="G180" s="150"/>
      <c r="H180" s="150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22.5" customHeight="1">
      <c r="A181" s="10" t="s">
        <v>1568</v>
      </c>
      <c r="B181" s="10" t="s">
        <v>245</v>
      </c>
      <c r="C181" s="152">
        <v>0.0</v>
      </c>
      <c r="D181" s="152">
        <v>0.0</v>
      </c>
      <c r="E181" s="150"/>
      <c r="F181" s="150"/>
      <c r="G181" s="150"/>
      <c r="H181" s="150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22.5" customHeight="1">
      <c r="A182" s="10" t="s">
        <v>1575</v>
      </c>
      <c r="B182" s="10" t="s">
        <v>245</v>
      </c>
      <c r="C182" s="152">
        <v>500.0</v>
      </c>
      <c r="D182" s="152">
        <v>12000.0</v>
      </c>
      <c r="E182" s="150"/>
      <c r="F182" s="150"/>
      <c r="G182" s="150"/>
      <c r="H182" s="150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22.5" customHeight="1">
      <c r="A183" s="10" t="s">
        <v>1581</v>
      </c>
      <c r="B183" s="10" t="s">
        <v>245</v>
      </c>
      <c r="C183" s="152">
        <v>1000.0</v>
      </c>
      <c r="D183" s="152">
        <v>18000.0</v>
      </c>
      <c r="E183" s="150"/>
      <c r="F183" s="150"/>
      <c r="G183" s="150"/>
      <c r="H183" s="150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22.5" customHeight="1">
      <c r="A184" s="10" t="s">
        <v>1588</v>
      </c>
      <c r="B184" s="10" t="s">
        <v>245</v>
      </c>
      <c r="C184" s="152">
        <v>1500.0</v>
      </c>
      <c r="D184" s="152">
        <v>24000.0</v>
      </c>
      <c r="E184" s="150"/>
      <c r="F184" s="150"/>
      <c r="G184" s="150"/>
      <c r="H184" s="150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22.5" customHeight="1">
      <c r="A185" s="10" t="s">
        <v>1592</v>
      </c>
      <c r="B185" s="10" t="s">
        <v>245</v>
      </c>
      <c r="C185" s="152">
        <v>2000.0</v>
      </c>
      <c r="D185" s="152">
        <v>27000.0</v>
      </c>
      <c r="E185" s="150"/>
      <c r="F185" s="150"/>
      <c r="G185" s="150"/>
      <c r="H185" s="150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22.5" customHeight="1">
      <c r="A186" s="10" t="s">
        <v>1595</v>
      </c>
      <c r="B186" s="10" t="s">
        <v>245</v>
      </c>
      <c r="C186" s="152">
        <v>2500.0</v>
      </c>
      <c r="D186" s="152">
        <v>31000.0</v>
      </c>
      <c r="E186" s="150"/>
      <c r="F186" s="150"/>
      <c r="G186" s="150"/>
      <c r="H186" s="150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22.5" customHeight="1">
      <c r="A187" s="10" t="s">
        <v>1599</v>
      </c>
      <c r="B187" s="10" t="s">
        <v>245</v>
      </c>
      <c r="C187" s="152">
        <v>3000.0</v>
      </c>
      <c r="D187" s="152">
        <v>35000.0</v>
      </c>
      <c r="E187" s="150"/>
      <c r="F187" s="150"/>
      <c r="G187" s="150"/>
      <c r="H187" s="150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22.5" customHeight="1">
      <c r="A188" s="10" t="s">
        <v>1604</v>
      </c>
      <c r="B188" s="10" t="s">
        <v>245</v>
      </c>
      <c r="C188" s="152">
        <v>3500.0</v>
      </c>
      <c r="D188" s="152">
        <v>39000.0</v>
      </c>
      <c r="E188" s="150"/>
      <c r="F188" s="150"/>
      <c r="G188" s="150"/>
      <c r="H188" s="150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22.5" customHeight="1">
      <c r="A189" s="10" t="s">
        <v>1608</v>
      </c>
      <c r="B189" s="10" t="s">
        <v>245</v>
      </c>
      <c r="C189" s="152">
        <v>4000.0</v>
      </c>
      <c r="D189" s="152">
        <v>43000.0</v>
      </c>
      <c r="E189" s="150"/>
      <c r="F189" s="150"/>
      <c r="G189" s="150"/>
      <c r="H189" s="150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22.5" customHeight="1">
      <c r="A190" s="10" t="s">
        <v>1613</v>
      </c>
      <c r="B190" s="10" t="s">
        <v>245</v>
      </c>
      <c r="C190" s="152">
        <v>4500.0</v>
      </c>
      <c r="D190" s="152">
        <v>48000.0</v>
      </c>
      <c r="E190" s="150"/>
      <c r="F190" s="150"/>
      <c r="G190" s="150"/>
      <c r="H190" s="150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22.5" customHeight="1">
      <c r="A191" s="10" t="s">
        <v>1617</v>
      </c>
      <c r="B191" s="10" t="s">
        <v>245</v>
      </c>
      <c r="C191" s="152">
        <v>5000.0</v>
      </c>
      <c r="D191" s="152">
        <v>53000.0</v>
      </c>
      <c r="E191" s="150"/>
      <c r="F191" s="150"/>
      <c r="G191" s="150"/>
      <c r="H191" s="150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22.5" customHeight="1">
      <c r="A192" s="10" t="s">
        <v>1622</v>
      </c>
      <c r="B192" s="10" t="s">
        <v>245</v>
      </c>
      <c r="C192" s="152">
        <v>5500.0</v>
      </c>
      <c r="D192" s="152">
        <v>59000.0</v>
      </c>
      <c r="E192" s="150"/>
      <c r="F192" s="150"/>
      <c r="G192" s="150"/>
      <c r="H192" s="150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22.5" customHeight="1">
      <c r="A193" s="10" t="s">
        <v>1625</v>
      </c>
      <c r="B193" s="10" t="s">
        <v>245</v>
      </c>
      <c r="C193" s="152">
        <v>6000.0</v>
      </c>
      <c r="D193" s="152">
        <v>66000.0</v>
      </c>
      <c r="E193" s="150"/>
      <c r="F193" s="150"/>
      <c r="G193" s="150"/>
      <c r="H193" s="150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22.5" customHeight="1">
      <c r="A194" s="10" t="s">
        <v>1627</v>
      </c>
      <c r="B194" s="10" t="s">
        <v>245</v>
      </c>
      <c r="C194" s="152">
        <v>6500.0</v>
      </c>
      <c r="D194" s="152">
        <v>72000.0</v>
      </c>
      <c r="E194" s="150"/>
      <c r="F194" s="150"/>
      <c r="G194" s="150"/>
      <c r="H194" s="150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22.5" customHeight="1">
      <c r="A195" s="10" t="s">
        <v>1629</v>
      </c>
      <c r="B195" s="10" t="s">
        <v>245</v>
      </c>
      <c r="C195" s="152">
        <v>7000.0</v>
      </c>
      <c r="D195" s="152">
        <v>80000.0</v>
      </c>
      <c r="E195" s="150"/>
      <c r="F195" s="150"/>
      <c r="G195" s="150"/>
      <c r="H195" s="150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22.5" customHeight="1">
      <c r="A196" s="10" t="s">
        <v>1631</v>
      </c>
      <c r="B196" s="10" t="s">
        <v>245</v>
      </c>
      <c r="C196" s="152">
        <v>7500.0</v>
      </c>
      <c r="D196" s="152">
        <v>88000.0</v>
      </c>
      <c r="E196" s="150"/>
      <c r="F196" s="150"/>
      <c r="G196" s="150"/>
      <c r="H196" s="150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22.5" customHeight="1">
      <c r="A197" s="10" t="s">
        <v>1633</v>
      </c>
      <c r="B197" s="10" t="s">
        <v>245</v>
      </c>
      <c r="C197" s="152" t="s">
        <v>1634</v>
      </c>
      <c r="D197" s="152">
        <v>97000.0</v>
      </c>
      <c r="E197" s="150"/>
      <c r="F197" s="150"/>
      <c r="G197" s="150"/>
      <c r="H197" s="150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22.5" customHeight="1">
      <c r="A198" s="10" t="s">
        <v>1636</v>
      </c>
      <c r="B198" s="10" t="s">
        <v>268</v>
      </c>
      <c r="C198" s="152">
        <v>0.0</v>
      </c>
      <c r="D198" s="152">
        <v>0.0</v>
      </c>
      <c r="E198" s="26"/>
      <c r="F198" s="150"/>
      <c r="G198" s="150"/>
      <c r="H198" s="150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22.5" customHeight="1">
      <c r="A199" s="10" t="s">
        <v>1638</v>
      </c>
      <c r="B199" s="10" t="s">
        <v>268</v>
      </c>
      <c r="C199" s="152">
        <v>500.0</v>
      </c>
      <c r="D199" s="152">
        <v>12000.0</v>
      </c>
      <c r="E199" s="26"/>
      <c r="F199" s="150"/>
      <c r="G199" s="150"/>
      <c r="H199" s="150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22.5" customHeight="1">
      <c r="A200" s="10" t="s">
        <v>1639</v>
      </c>
      <c r="B200" s="10" t="s">
        <v>268</v>
      </c>
      <c r="C200" s="152">
        <v>1000.0</v>
      </c>
      <c r="D200" s="152">
        <v>18000.0</v>
      </c>
      <c r="E200" s="26"/>
      <c r="F200" s="150"/>
      <c r="G200" s="150"/>
      <c r="H200" s="150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22.5" customHeight="1">
      <c r="A201" s="10" t="s">
        <v>1641</v>
      </c>
      <c r="B201" s="10" t="s">
        <v>268</v>
      </c>
      <c r="C201" s="152">
        <v>1500.0</v>
      </c>
      <c r="D201" s="152">
        <v>24000.0</v>
      </c>
      <c r="E201" s="26"/>
      <c r="F201" s="150"/>
      <c r="G201" s="150"/>
      <c r="H201" s="150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22.5" customHeight="1">
      <c r="A202" s="10" t="s">
        <v>1643</v>
      </c>
      <c r="B202" s="10" t="s">
        <v>268</v>
      </c>
      <c r="C202" s="152">
        <v>2000.0</v>
      </c>
      <c r="D202" s="152">
        <v>27000.0</v>
      </c>
      <c r="E202" s="26"/>
      <c r="F202" s="150"/>
      <c r="G202" s="150"/>
      <c r="H202" s="150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22.5" customHeight="1">
      <c r="A203" s="10" t="s">
        <v>1644</v>
      </c>
      <c r="B203" s="10" t="s">
        <v>268</v>
      </c>
      <c r="C203" s="152">
        <v>2500.0</v>
      </c>
      <c r="D203" s="152">
        <v>31000.0</v>
      </c>
      <c r="E203" s="26"/>
      <c r="F203" s="150"/>
      <c r="G203" s="150"/>
      <c r="H203" s="150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22.5" customHeight="1">
      <c r="A204" s="10" t="s">
        <v>1646</v>
      </c>
      <c r="B204" s="10" t="s">
        <v>268</v>
      </c>
      <c r="C204" s="152">
        <v>3000.0</v>
      </c>
      <c r="D204" s="152">
        <v>35000.0</v>
      </c>
      <c r="E204" s="26"/>
      <c r="F204" s="150"/>
      <c r="G204" s="150"/>
      <c r="H204" s="150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22.5" customHeight="1">
      <c r="A205" s="10" t="s">
        <v>1648</v>
      </c>
      <c r="B205" s="10" t="s">
        <v>268</v>
      </c>
      <c r="C205" s="152">
        <v>3500.0</v>
      </c>
      <c r="D205" s="152">
        <v>39000.0</v>
      </c>
      <c r="E205" s="26"/>
      <c r="F205" s="150"/>
      <c r="G205" s="150"/>
      <c r="H205" s="150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22.5" customHeight="1">
      <c r="A206" s="10" t="s">
        <v>1652</v>
      </c>
      <c r="B206" s="10" t="s">
        <v>268</v>
      </c>
      <c r="C206" s="152">
        <v>4000.0</v>
      </c>
      <c r="D206" s="152">
        <v>43000.0</v>
      </c>
      <c r="E206" s="26"/>
      <c r="F206" s="150"/>
      <c r="G206" s="150"/>
      <c r="H206" s="150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22.5" customHeight="1">
      <c r="A207" s="10" t="s">
        <v>1656</v>
      </c>
      <c r="B207" s="10" t="s">
        <v>268</v>
      </c>
      <c r="C207" s="152">
        <v>4500.0</v>
      </c>
      <c r="D207" s="152">
        <v>48000.0</v>
      </c>
      <c r="E207" s="26"/>
      <c r="F207" s="150"/>
      <c r="G207" s="150"/>
      <c r="H207" s="150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22.5" customHeight="1">
      <c r="A208" s="10" t="s">
        <v>1661</v>
      </c>
      <c r="B208" s="10" t="s">
        <v>268</v>
      </c>
      <c r="C208" s="152">
        <v>5000.0</v>
      </c>
      <c r="D208" s="152">
        <v>53000.0</v>
      </c>
      <c r="E208" s="26"/>
      <c r="F208" s="150"/>
      <c r="G208" s="150"/>
      <c r="H208" s="150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22.5" customHeight="1">
      <c r="A209" s="10" t="s">
        <v>1664</v>
      </c>
      <c r="B209" s="10" t="s">
        <v>268</v>
      </c>
      <c r="C209" s="152">
        <v>5500.0</v>
      </c>
      <c r="D209" s="152">
        <v>59000.0</v>
      </c>
      <c r="E209" s="26"/>
      <c r="F209" s="150"/>
      <c r="G209" s="150"/>
      <c r="H209" s="150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22.5" customHeight="1">
      <c r="A210" s="10" t="s">
        <v>1669</v>
      </c>
      <c r="B210" s="10" t="s">
        <v>268</v>
      </c>
      <c r="C210" s="152">
        <v>6000.0</v>
      </c>
      <c r="D210" s="152">
        <v>66000.0</v>
      </c>
      <c r="E210" s="26"/>
      <c r="F210" s="150"/>
      <c r="G210" s="150"/>
      <c r="H210" s="150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22.5" customHeight="1">
      <c r="A211" s="10" t="s">
        <v>1672</v>
      </c>
      <c r="B211" s="10" t="s">
        <v>268</v>
      </c>
      <c r="C211" s="152">
        <v>6500.0</v>
      </c>
      <c r="D211" s="152">
        <v>72000.0</v>
      </c>
      <c r="E211" s="26"/>
      <c r="F211" s="150"/>
      <c r="G211" s="150"/>
      <c r="H211" s="150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22.5" customHeight="1">
      <c r="A212" s="10" t="s">
        <v>1674</v>
      </c>
      <c r="B212" s="10" t="s">
        <v>268</v>
      </c>
      <c r="C212" s="152">
        <v>7000.0</v>
      </c>
      <c r="D212" s="152">
        <v>80000.0</v>
      </c>
      <c r="E212" s="26"/>
      <c r="F212" s="150"/>
      <c r="G212" s="150"/>
      <c r="H212" s="150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22.5" customHeight="1">
      <c r="A213" s="10" t="s">
        <v>1676</v>
      </c>
      <c r="B213" s="10" t="s">
        <v>268</v>
      </c>
      <c r="C213" s="152">
        <v>7500.0</v>
      </c>
      <c r="D213" s="152">
        <v>88000.0</v>
      </c>
      <c r="E213" s="26"/>
      <c r="F213" s="150"/>
      <c r="G213" s="150"/>
      <c r="H213" s="150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22.5" customHeight="1">
      <c r="A214" s="10" t="s">
        <v>1678</v>
      </c>
      <c r="B214" s="10" t="s">
        <v>268</v>
      </c>
      <c r="C214" s="152">
        <v>8000.0</v>
      </c>
      <c r="D214" s="152">
        <v>97000.0</v>
      </c>
      <c r="E214" s="26"/>
      <c r="F214" s="150"/>
      <c r="G214" s="150"/>
      <c r="H214" s="150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22.5" customHeight="1">
      <c r="A215" s="10" t="s">
        <v>1681</v>
      </c>
      <c r="B215" s="10" t="s">
        <v>292</v>
      </c>
      <c r="C215" s="152">
        <v>0.0</v>
      </c>
      <c r="D215" s="152">
        <v>0.0</v>
      </c>
      <c r="E215" s="26"/>
      <c r="F215" s="150"/>
      <c r="G215" s="150"/>
      <c r="H215" s="150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22.5" customHeight="1">
      <c r="A216" s="10" t="s">
        <v>1683</v>
      </c>
      <c r="B216" s="10" t="s">
        <v>292</v>
      </c>
      <c r="C216" s="152">
        <v>500.0</v>
      </c>
      <c r="D216" s="152">
        <v>12000.0</v>
      </c>
      <c r="E216" s="26"/>
      <c r="F216" s="150"/>
      <c r="G216" s="150"/>
      <c r="H216" s="150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2.5" customHeight="1">
      <c r="A217" s="10" t="s">
        <v>1684</v>
      </c>
      <c r="B217" s="10" t="s">
        <v>292</v>
      </c>
      <c r="C217" s="152">
        <v>1000.0</v>
      </c>
      <c r="D217" s="152">
        <v>18000.0</v>
      </c>
      <c r="E217" s="26"/>
      <c r="F217" s="150"/>
      <c r="G217" s="150"/>
      <c r="H217" s="150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22.5" customHeight="1">
      <c r="A218" s="10" t="s">
        <v>1686</v>
      </c>
      <c r="B218" s="10" t="s">
        <v>292</v>
      </c>
      <c r="C218" s="152">
        <v>1500.0</v>
      </c>
      <c r="D218" s="152">
        <v>24000.0</v>
      </c>
      <c r="E218" s="26"/>
      <c r="F218" s="150"/>
      <c r="G218" s="150"/>
      <c r="H218" s="150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22.5" customHeight="1">
      <c r="A219" s="10" t="s">
        <v>1688</v>
      </c>
      <c r="B219" s="10" t="s">
        <v>292</v>
      </c>
      <c r="C219" s="152">
        <v>2000.0</v>
      </c>
      <c r="D219" s="152">
        <v>27000.0</v>
      </c>
      <c r="E219" s="26"/>
      <c r="F219" s="150"/>
      <c r="G219" s="150"/>
      <c r="H219" s="150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22.5" customHeight="1">
      <c r="A220" s="10" t="s">
        <v>1690</v>
      </c>
      <c r="B220" s="10" t="s">
        <v>292</v>
      </c>
      <c r="C220" s="152">
        <v>2500.0</v>
      </c>
      <c r="D220" s="152">
        <v>31000.0</v>
      </c>
      <c r="E220" s="26"/>
      <c r="F220" s="150"/>
      <c r="G220" s="150"/>
      <c r="H220" s="150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22.5" customHeight="1">
      <c r="A221" s="10" t="s">
        <v>1691</v>
      </c>
      <c r="B221" s="10" t="s">
        <v>292</v>
      </c>
      <c r="C221" s="152">
        <v>3000.0</v>
      </c>
      <c r="D221" s="152">
        <v>35000.0</v>
      </c>
      <c r="E221" s="26"/>
      <c r="F221" s="150"/>
      <c r="G221" s="150"/>
      <c r="H221" s="150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22.5" customHeight="1">
      <c r="A222" s="10" t="s">
        <v>1693</v>
      </c>
      <c r="B222" s="10" t="s">
        <v>292</v>
      </c>
      <c r="C222" s="152">
        <v>3500.0</v>
      </c>
      <c r="D222" s="152">
        <v>39000.0</v>
      </c>
      <c r="E222" s="26"/>
      <c r="F222" s="150"/>
      <c r="G222" s="150"/>
      <c r="H222" s="150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22.5" customHeight="1">
      <c r="A223" s="10" t="s">
        <v>1695</v>
      </c>
      <c r="B223" s="10" t="s">
        <v>292</v>
      </c>
      <c r="C223" s="152">
        <v>4000.0</v>
      </c>
      <c r="D223" s="152">
        <v>43000.0</v>
      </c>
      <c r="E223" s="26"/>
      <c r="F223" s="150"/>
      <c r="G223" s="150"/>
      <c r="H223" s="150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22.5" customHeight="1">
      <c r="A224" s="10" t="s">
        <v>1696</v>
      </c>
      <c r="B224" s="10" t="s">
        <v>292</v>
      </c>
      <c r="C224" s="152">
        <v>4500.0</v>
      </c>
      <c r="D224" s="152">
        <v>48000.0</v>
      </c>
      <c r="E224" s="26"/>
      <c r="F224" s="150"/>
      <c r="G224" s="150"/>
      <c r="H224" s="150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22.5" customHeight="1">
      <c r="A225" s="10" t="s">
        <v>1697</v>
      </c>
      <c r="B225" s="10" t="s">
        <v>292</v>
      </c>
      <c r="C225" s="152">
        <v>5000.0</v>
      </c>
      <c r="D225" s="152">
        <v>53000.0</v>
      </c>
      <c r="E225" s="26"/>
      <c r="F225" s="150"/>
      <c r="G225" s="150"/>
      <c r="H225" s="150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22.5" customHeight="1">
      <c r="A226" s="10" t="s">
        <v>1698</v>
      </c>
      <c r="B226" s="10" t="s">
        <v>292</v>
      </c>
      <c r="C226" s="152">
        <v>5500.0</v>
      </c>
      <c r="D226" s="152">
        <v>59000.0</v>
      </c>
      <c r="E226" s="26"/>
      <c r="F226" s="150"/>
      <c r="G226" s="150"/>
      <c r="H226" s="150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22.5" customHeight="1">
      <c r="A227" s="10" t="s">
        <v>1699</v>
      </c>
      <c r="B227" s="10" t="s">
        <v>292</v>
      </c>
      <c r="C227" s="152">
        <v>6000.0</v>
      </c>
      <c r="D227" s="152">
        <v>66000.0</v>
      </c>
      <c r="E227" s="26"/>
      <c r="F227" s="150"/>
      <c r="G227" s="150"/>
      <c r="H227" s="150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22.5" customHeight="1">
      <c r="A228" s="10" t="s">
        <v>1700</v>
      </c>
      <c r="B228" s="10" t="s">
        <v>292</v>
      </c>
      <c r="C228" s="152">
        <v>6500.0</v>
      </c>
      <c r="D228" s="152">
        <v>72000.0</v>
      </c>
      <c r="E228" s="26"/>
      <c r="F228" s="150"/>
      <c r="G228" s="150"/>
      <c r="H228" s="150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22.5" customHeight="1">
      <c r="A229" s="10" t="s">
        <v>1701</v>
      </c>
      <c r="B229" s="10" t="s">
        <v>292</v>
      </c>
      <c r="C229" s="152">
        <v>7000.0</v>
      </c>
      <c r="D229" s="152">
        <v>80000.0</v>
      </c>
      <c r="E229" s="26"/>
      <c r="F229" s="150"/>
      <c r="G229" s="150"/>
      <c r="H229" s="150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22.5" customHeight="1">
      <c r="A230" s="10" t="s">
        <v>1702</v>
      </c>
      <c r="B230" s="10" t="s">
        <v>292</v>
      </c>
      <c r="C230" s="152">
        <v>7500.0</v>
      </c>
      <c r="D230" s="152">
        <v>88000.0</v>
      </c>
      <c r="E230" s="26"/>
      <c r="F230" s="150"/>
      <c r="G230" s="150"/>
      <c r="H230" s="150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22.5" customHeight="1">
      <c r="A231" s="10" t="s">
        <v>1704</v>
      </c>
      <c r="B231" s="10" t="s">
        <v>292</v>
      </c>
      <c r="C231" s="152" t="s">
        <v>1705</v>
      </c>
      <c r="D231" s="152">
        <v>97000.0</v>
      </c>
      <c r="E231" s="26"/>
      <c r="F231" s="150"/>
      <c r="G231" s="150"/>
      <c r="H231" s="150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22.5" customHeight="1">
      <c r="A232" s="10" t="s">
        <v>1707</v>
      </c>
      <c r="B232" s="10" t="s">
        <v>317</v>
      </c>
      <c r="C232" s="152">
        <v>1000.0</v>
      </c>
      <c r="D232" s="152">
        <v>12000.0</v>
      </c>
      <c r="E232" s="26"/>
      <c r="F232" s="150"/>
      <c r="G232" s="150"/>
      <c r="H232" s="150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22.5" customHeight="1">
      <c r="A233" s="10" t="s">
        <v>1712</v>
      </c>
      <c r="B233" s="10" t="s">
        <v>317</v>
      </c>
      <c r="C233" s="152">
        <v>1500.0</v>
      </c>
      <c r="D233" s="152">
        <v>18000.0</v>
      </c>
      <c r="E233" s="150">
        <v>14000.0</v>
      </c>
      <c r="F233" s="150"/>
      <c r="G233" s="150"/>
      <c r="H233" s="150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22.5" customHeight="1">
      <c r="A234" s="10" t="s">
        <v>1717</v>
      </c>
      <c r="B234" s="10" t="s">
        <v>317</v>
      </c>
      <c r="C234" s="152">
        <v>2000.0</v>
      </c>
      <c r="D234" s="152">
        <v>23000.0</v>
      </c>
      <c r="E234" s="150">
        <v>18000.0</v>
      </c>
      <c r="F234" s="150"/>
      <c r="G234" s="150"/>
      <c r="H234" s="150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22.5" customHeight="1">
      <c r="A235" s="10" t="s">
        <v>1720</v>
      </c>
      <c r="B235" s="10" t="s">
        <v>317</v>
      </c>
      <c r="C235" s="152">
        <v>2500.0</v>
      </c>
      <c r="D235" s="152">
        <v>27000.0</v>
      </c>
      <c r="E235" s="150">
        <v>26000.0</v>
      </c>
      <c r="F235" s="150">
        <v>17000.0</v>
      </c>
      <c r="G235" s="150"/>
      <c r="H235" s="150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22.5" customHeight="1">
      <c r="A236" s="10" t="s">
        <v>1723</v>
      </c>
      <c r="B236" s="10" t="s">
        <v>317</v>
      </c>
      <c r="C236" s="152">
        <v>3000.0</v>
      </c>
      <c r="D236" s="152">
        <v>31000.0</v>
      </c>
      <c r="E236" s="150">
        <v>31000.0</v>
      </c>
      <c r="F236" s="150">
        <v>24000.0</v>
      </c>
      <c r="G236" s="150"/>
      <c r="H236" s="150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22.5" customHeight="1">
      <c r="A237" s="10" t="s">
        <v>1727</v>
      </c>
      <c r="B237" s="10" t="s">
        <v>317</v>
      </c>
      <c r="C237" s="152">
        <v>3500.0</v>
      </c>
      <c r="D237" s="152">
        <v>35000.0</v>
      </c>
      <c r="E237" s="150">
        <v>35000.0</v>
      </c>
      <c r="F237" s="150">
        <v>36000.0</v>
      </c>
      <c r="G237" s="150"/>
      <c r="H237" s="150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22.5" customHeight="1">
      <c r="A238" s="10" t="s">
        <v>1732</v>
      </c>
      <c r="B238" s="10" t="s">
        <v>317</v>
      </c>
      <c r="C238" s="152">
        <v>4000.0</v>
      </c>
      <c r="D238" s="152">
        <v>39000.0</v>
      </c>
      <c r="E238" s="150">
        <v>40000.0</v>
      </c>
      <c r="F238" s="150">
        <v>43000.0</v>
      </c>
      <c r="G238" s="150"/>
      <c r="H238" s="150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22.5" customHeight="1">
      <c r="A239" s="10" t="s">
        <v>1736</v>
      </c>
      <c r="B239" s="10" t="s">
        <v>317</v>
      </c>
      <c r="C239" s="152">
        <v>4500.0</v>
      </c>
      <c r="D239" s="152">
        <v>44000.0</v>
      </c>
      <c r="E239" s="150">
        <v>45000.0</v>
      </c>
      <c r="F239" s="150">
        <v>48000.0</v>
      </c>
      <c r="G239" s="150"/>
      <c r="H239" s="150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22.5" customHeight="1">
      <c r="A240" s="10" t="s">
        <v>1742</v>
      </c>
      <c r="B240" s="10" t="s">
        <v>317</v>
      </c>
      <c r="C240" s="152">
        <v>5000.0</v>
      </c>
      <c r="D240" s="152">
        <v>49000.0</v>
      </c>
      <c r="E240" s="150">
        <v>51000.0</v>
      </c>
      <c r="F240" s="150">
        <v>56000.0</v>
      </c>
      <c r="G240" s="150"/>
      <c r="H240" s="150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22.5" customHeight="1">
      <c r="A241" s="10" t="s">
        <v>1746</v>
      </c>
      <c r="B241" s="10" t="s">
        <v>317</v>
      </c>
      <c r="C241" s="152">
        <v>5500.0</v>
      </c>
      <c r="D241" s="152">
        <v>55000.0</v>
      </c>
      <c r="E241" s="150">
        <v>58000.0</v>
      </c>
      <c r="F241" s="150">
        <v>63000.0</v>
      </c>
      <c r="G241" s="150"/>
      <c r="H241" s="150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22.5" customHeight="1">
      <c r="A242" s="10" t="s">
        <v>1752</v>
      </c>
      <c r="B242" s="10" t="s">
        <v>317</v>
      </c>
      <c r="C242" s="152">
        <v>6000.0</v>
      </c>
      <c r="D242" s="152">
        <v>63000.0</v>
      </c>
      <c r="E242" s="150">
        <v>66000.0</v>
      </c>
      <c r="F242" s="150">
        <v>72000.0</v>
      </c>
      <c r="G242" s="150"/>
      <c r="H242" s="150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22.5" customHeight="1">
      <c r="A243" s="10" t="s">
        <v>1760</v>
      </c>
      <c r="B243" s="10" t="s">
        <v>317</v>
      </c>
      <c r="C243" s="152">
        <v>6500.0</v>
      </c>
      <c r="D243" s="152">
        <v>69000.0</v>
      </c>
      <c r="E243" s="150">
        <v>75000.0</v>
      </c>
      <c r="F243" s="150">
        <v>82000.0</v>
      </c>
      <c r="G243" s="150"/>
      <c r="H243" s="150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22.5" customHeight="1">
      <c r="A244" s="10" t="s">
        <v>1765</v>
      </c>
      <c r="B244" s="10" t="s">
        <v>317</v>
      </c>
      <c r="C244" s="152">
        <v>7000.0</v>
      </c>
      <c r="D244" s="152">
        <v>76000.0</v>
      </c>
      <c r="E244" s="150">
        <v>86000.0</v>
      </c>
      <c r="F244" s="150">
        <v>95000.0</v>
      </c>
      <c r="G244" s="150"/>
      <c r="H244" s="150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22.5" customHeight="1">
      <c r="A245" s="10" t="s">
        <v>1769</v>
      </c>
      <c r="B245" s="10" t="s">
        <v>317</v>
      </c>
      <c r="C245" s="152">
        <v>7500.0</v>
      </c>
      <c r="D245" s="152">
        <v>83000.0</v>
      </c>
      <c r="E245" s="150">
        <v>94000.0</v>
      </c>
      <c r="F245" s="150">
        <v>111000.0</v>
      </c>
      <c r="G245" s="150"/>
      <c r="H245" s="150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22.5" customHeight="1">
      <c r="A246" s="10" t="s">
        <v>1772</v>
      </c>
      <c r="B246" s="10" t="s">
        <v>317</v>
      </c>
      <c r="C246" s="152">
        <v>8000.0</v>
      </c>
      <c r="D246" s="152">
        <v>91000.0</v>
      </c>
      <c r="E246" s="150">
        <v>102000.0</v>
      </c>
      <c r="F246" s="150">
        <v>131000.0</v>
      </c>
      <c r="G246" s="150"/>
      <c r="H246" s="150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22.5" customHeight="1">
      <c r="A247" s="10" t="s">
        <v>1774</v>
      </c>
      <c r="B247" s="10" t="s">
        <v>317</v>
      </c>
      <c r="C247" s="152">
        <v>8500.0</v>
      </c>
      <c r="D247" s="152">
        <v>100000.0</v>
      </c>
      <c r="E247" s="150">
        <v>112000.0</v>
      </c>
      <c r="F247" s="150">
        <v>141000.0</v>
      </c>
      <c r="G247" s="150"/>
      <c r="H247" s="150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22.5" customHeight="1">
      <c r="A248" s="10" t="s">
        <v>1777</v>
      </c>
      <c r="B248" s="10" t="s">
        <v>317</v>
      </c>
      <c r="C248" s="152">
        <v>9000.0</v>
      </c>
      <c r="D248" s="152">
        <v>111000.0</v>
      </c>
      <c r="E248" s="150">
        <v>123000.0</v>
      </c>
      <c r="F248" s="150">
        <v>153000.0</v>
      </c>
      <c r="G248" s="150"/>
      <c r="H248" s="150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22.5" customHeight="1">
      <c r="A249" s="10" t="s">
        <v>1780</v>
      </c>
      <c r="B249" s="10" t="s">
        <v>317</v>
      </c>
      <c r="C249" s="152">
        <v>9500.0</v>
      </c>
      <c r="D249" s="152">
        <v>122000.0</v>
      </c>
      <c r="E249" s="150">
        <v>134000.0</v>
      </c>
      <c r="F249" s="150">
        <v>165000.0</v>
      </c>
      <c r="G249" s="150"/>
      <c r="H249" s="150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22.5" customHeight="1">
      <c r="A250" s="10" t="s">
        <v>1782</v>
      </c>
      <c r="B250" s="10" t="s">
        <v>317</v>
      </c>
      <c r="C250" s="152">
        <v>10000.0</v>
      </c>
      <c r="D250" s="152">
        <v>132000.0</v>
      </c>
      <c r="E250" s="150">
        <v>146000.0</v>
      </c>
      <c r="F250" s="150">
        <v>180000.0</v>
      </c>
      <c r="G250" s="150"/>
      <c r="H250" s="150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22.5" customHeight="1">
      <c r="A251" s="10" t="s">
        <v>1784</v>
      </c>
      <c r="B251" s="10" t="s">
        <v>317</v>
      </c>
      <c r="C251" s="152">
        <v>10500.0</v>
      </c>
      <c r="D251" s="152">
        <v>144000.0</v>
      </c>
      <c r="E251" s="150">
        <v>148000.0</v>
      </c>
      <c r="F251" s="150">
        <v>195000.0</v>
      </c>
      <c r="G251" s="150"/>
      <c r="H251" s="150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22.5" customHeight="1">
      <c r="A252" s="10" t="s">
        <v>1788</v>
      </c>
      <c r="B252" s="10" t="s">
        <v>317</v>
      </c>
      <c r="C252" s="152">
        <v>11000.0</v>
      </c>
      <c r="D252" s="152">
        <v>155000.0</v>
      </c>
      <c r="E252" s="150">
        <v>180000.0</v>
      </c>
      <c r="F252" s="150">
        <v>213000.0</v>
      </c>
      <c r="G252" s="150"/>
      <c r="H252" s="150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22.5" customHeight="1">
      <c r="A253" s="10" t="s">
        <v>1790</v>
      </c>
      <c r="B253" s="10" t="s">
        <v>317</v>
      </c>
      <c r="C253" s="152">
        <v>11001.0</v>
      </c>
      <c r="D253" s="152">
        <v>166000.0</v>
      </c>
      <c r="E253" s="150">
        <v>190000.0</v>
      </c>
      <c r="F253" s="150">
        <v>232000.0</v>
      </c>
      <c r="G253" s="150"/>
      <c r="H253" s="150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</sheetData>
  <dataValidations>
    <dataValidation type="custom" allowBlank="1" showDropDown="1" sqref="C2:D253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7.5"/>
    <col customWidth="1" min="3" max="3" width="36.88"/>
    <col customWidth="1" min="4" max="4" width="82.0"/>
    <col customWidth="1" min="5" max="6" width="21.88"/>
    <col customWidth="1" min="7" max="7" width="20.38"/>
    <col customWidth="1" min="8" max="8" width="18.63"/>
  </cols>
  <sheetData>
    <row r="1" ht="22.5" customHeight="1">
      <c r="A1" s="1" t="s">
        <v>1211</v>
      </c>
      <c r="B1" s="1" t="s">
        <v>2</v>
      </c>
      <c r="C1" s="4" t="s">
        <v>1215</v>
      </c>
      <c r="D1" s="4" t="s">
        <v>1216</v>
      </c>
      <c r="E1" s="157" t="s">
        <v>1217</v>
      </c>
      <c r="F1" s="157" t="s">
        <v>1021</v>
      </c>
      <c r="G1" s="8"/>
      <c r="H1" s="54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10" t="s">
        <v>1220</v>
      </c>
      <c r="B2" s="10" t="s">
        <v>28</v>
      </c>
      <c r="C2" s="158" t="s">
        <v>1221</v>
      </c>
      <c r="D2" s="158" t="s">
        <v>1223</v>
      </c>
      <c r="E2" s="159" t="s">
        <v>1224</v>
      </c>
      <c r="F2" s="152">
        <v>0.5</v>
      </c>
      <c r="G2" s="8"/>
      <c r="H2" s="54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10" t="s">
        <v>1228</v>
      </c>
      <c r="B3" s="10" t="s">
        <v>28</v>
      </c>
      <c r="C3" s="158" t="s">
        <v>1229</v>
      </c>
      <c r="D3" s="158" t="s">
        <v>1230</v>
      </c>
      <c r="E3" s="159" t="s">
        <v>1232</v>
      </c>
      <c r="F3" s="152">
        <v>1.25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10" t="s">
        <v>1234</v>
      </c>
      <c r="B4" s="10" t="s">
        <v>28</v>
      </c>
      <c r="C4" s="158" t="s">
        <v>1236</v>
      </c>
      <c r="D4" s="158" t="s">
        <v>1237</v>
      </c>
      <c r="E4" s="159" t="s">
        <v>1232</v>
      </c>
      <c r="F4" s="152">
        <v>2.5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10" t="s">
        <v>1241</v>
      </c>
      <c r="B5" s="10" t="s">
        <v>28</v>
      </c>
      <c r="C5" s="158" t="s">
        <v>1242</v>
      </c>
      <c r="D5" s="158" t="s">
        <v>1237</v>
      </c>
      <c r="E5" s="159" t="s">
        <v>1232</v>
      </c>
      <c r="F5" s="152">
        <v>4.0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10" t="s">
        <v>1245</v>
      </c>
      <c r="B6" s="10" t="s">
        <v>28</v>
      </c>
      <c r="C6" s="158" t="s">
        <v>1248</v>
      </c>
      <c r="D6" s="158" t="s">
        <v>1249</v>
      </c>
      <c r="E6" s="159" t="s">
        <v>1251</v>
      </c>
      <c r="F6" s="152">
        <v>1.0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10" t="s">
        <v>1253</v>
      </c>
      <c r="B7" s="10" t="s">
        <v>28</v>
      </c>
      <c r="C7" s="158" t="s">
        <v>1255</v>
      </c>
      <c r="D7" s="158" t="s">
        <v>1256</v>
      </c>
      <c r="E7" s="159" t="s">
        <v>1251</v>
      </c>
      <c r="F7" s="152">
        <v>0.5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10" t="s">
        <v>1260</v>
      </c>
      <c r="B8" s="10" t="s">
        <v>28</v>
      </c>
      <c r="C8" s="158" t="s">
        <v>1262</v>
      </c>
      <c r="D8" s="158" t="s">
        <v>1263</v>
      </c>
      <c r="E8" s="159" t="s">
        <v>1264</v>
      </c>
      <c r="F8" s="152">
        <v>100.0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10" t="s">
        <v>1267</v>
      </c>
      <c r="B9" s="10" t="s">
        <v>67</v>
      </c>
      <c r="C9" s="158" t="s">
        <v>1221</v>
      </c>
      <c r="D9" s="158" t="s">
        <v>1223</v>
      </c>
      <c r="E9" s="159" t="s">
        <v>1224</v>
      </c>
      <c r="F9" s="152">
        <v>0.5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10" t="s">
        <v>1271</v>
      </c>
      <c r="B10" s="10" t="s">
        <v>67</v>
      </c>
      <c r="C10" s="158" t="s">
        <v>1229</v>
      </c>
      <c r="D10" s="158" t="s">
        <v>1273</v>
      </c>
      <c r="E10" s="159" t="s">
        <v>1232</v>
      </c>
      <c r="F10" s="152">
        <v>1.25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10" t="s">
        <v>1275</v>
      </c>
      <c r="B11" s="10" t="s">
        <v>67</v>
      </c>
      <c r="C11" s="158" t="s">
        <v>1236</v>
      </c>
      <c r="D11" s="158" t="s">
        <v>1237</v>
      </c>
      <c r="E11" s="159" t="s">
        <v>1232</v>
      </c>
      <c r="F11" s="152">
        <v>2.5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10" t="s">
        <v>1280</v>
      </c>
      <c r="B12" s="10" t="s">
        <v>67</v>
      </c>
      <c r="C12" s="158" t="s">
        <v>1242</v>
      </c>
      <c r="D12" s="158" t="s">
        <v>1237</v>
      </c>
      <c r="E12" s="159" t="s">
        <v>1232</v>
      </c>
      <c r="F12" s="152">
        <v>4.0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10" t="s">
        <v>1284</v>
      </c>
      <c r="B13" s="10" t="s">
        <v>67</v>
      </c>
      <c r="C13" s="158" t="s">
        <v>1248</v>
      </c>
      <c r="D13" s="158" t="s">
        <v>1249</v>
      </c>
      <c r="E13" s="159" t="s">
        <v>1251</v>
      </c>
      <c r="F13" s="152">
        <v>1.0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10" t="s">
        <v>1289</v>
      </c>
      <c r="B14" s="10" t="s">
        <v>67</v>
      </c>
      <c r="C14" s="158" t="s">
        <v>1255</v>
      </c>
      <c r="D14" s="158" t="s">
        <v>1290</v>
      </c>
      <c r="E14" s="159" t="s">
        <v>1251</v>
      </c>
      <c r="F14" s="152">
        <v>0.5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10" t="s">
        <v>1293</v>
      </c>
      <c r="B15" s="10" t="s">
        <v>67</v>
      </c>
      <c r="C15" s="158" t="s">
        <v>1262</v>
      </c>
      <c r="D15" s="158" t="s">
        <v>1263</v>
      </c>
      <c r="E15" s="159" t="s">
        <v>1264</v>
      </c>
      <c r="F15" s="152">
        <v>100.0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10" t="s">
        <v>1297</v>
      </c>
      <c r="B16" s="10" t="s">
        <v>133</v>
      </c>
      <c r="C16" s="158" t="s">
        <v>1221</v>
      </c>
      <c r="D16" s="158" t="s">
        <v>1223</v>
      </c>
      <c r="E16" s="159" t="s">
        <v>1224</v>
      </c>
      <c r="F16" s="152">
        <v>0.5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.5" customHeight="1">
      <c r="A17" s="10" t="s">
        <v>1301</v>
      </c>
      <c r="B17" s="10" t="s">
        <v>133</v>
      </c>
      <c r="C17" s="158" t="s">
        <v>1303</v>
      </c>
      <c r="D17" s="158" t="s">
        <v>1237</v>
      </c>
      <c r="E17" s="159" t="s">
        <v>1232</v>
      </c>
      <c r="F17" s="152">
        <v>2.5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2.5" customHeight="1">
      <c r="A18" s="10" t="s">
        <v>1306</v>
      </c>
      <c r="B18" s="10" t="s">
        <v>133</v>
      </c>
      <c r="C18" s="158" t="s">
        <v>1307</v>
      </c>
      <c r="D18" s="158" t="s">
        <v>1237</v>
      </c>
      <c r="E18" s="159" t="s">
        <v>1232</v>
      </c>
      <c r="F18" s="152">
        <v>5.0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2.5" customHeight="1">
      <c r="A19" s="10" t="s">
        <v>1310</v>
      </c>
      <c r="B19" s="10" t="s">
        <v>133</v>
      </c>
      <c r="C19" s="158" t="s">
        <v>1312</v>
      </c>
      <c r="D19" s="158" t="s">
        <v>1237</v>
      </c>
      <c r="E19" s="159" t="s">
        <v>1232</v>
      </c>
      <c r="F19" s="152">
        <v>6.5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2.5" customHeight="1">
      <c r="A20" s="10" t="s">
        <v>1316</v>
      </c>
      <c r="B20" s="10" t="s">
        <v>133</v>
      </c>
      <c r="C20" s="158" t="s">
        <v>1317</v>
      </c>
      <c r="D20" s="158" t="s">
        <v>1237</v>
      </c>
      <c r="E20" s="159" t="s">
        <v>1232</v>
      </c>
      <c r="F20" s="152">
        <v>0.7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2.5" customHeight="1">
      <c r="A21" s="10" t="s">
        <v>1320</v>
      </c>
      <c r="B21" s="10" t="s">
        <v>133</v>
      </c>
      <c r="C21" s="158" t="s">
        <v>1323</v>
      </c>
      <c r="D21" s="158" t="s">
        <v>1237</v>
      </c>
      <c r="E21" s="159" t="s">
        <v>1232</v>
      </c>
      <c r="F21" s="152">
        <v>1.25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2.5" customHeight="1">
      <c r="A22" s="10" t="s">
        <v>1326</v>
      </c>
      <c r="B22" s="10" t="s">
        <v>133</v>
      </c>
      <c r="C22" s="158" t="s">
        <v>1248</v>
      </c>
      <c r="D22" s="158" t="s">
        <v>1249</v>
      </c>
      <c r="E22" s="159" t="s">
        <v>1251</v>
      </c>
      <c r="F22" s="152">
        <v>1.0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2.5" customHeight="1">
      <c r="A23" s="10" t="s">
        <v>1329</v>
      </c>
      <c r="B23" s="10" t="s">
        <v>133</v>
      </c>
      <c r="C23" s="158" t="s">
        <v>1255</v>
      </c>
      <c r="D23" s="158" t="s">
        <v>1249</v>
      </c>
      <c r="E23" s="159" t="s">
        <v>1251</v>
      </c>
      <c r="F23" s="152">
        <v>0.5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2.5" customHeight="1">
      <c r="A24" s="10" t="s">
        <v>1332</v>
      </c>
      <c r="B24" s="10" t="s">
        <v>133</v>
      </c>
      <c r="C24" s="158" t="s">
        <v>1262</v>
      </c>
      <c r="D24" s="158" t="s">
        <v>1263</v>
      </c>
      <c r="E24" s="159" t="s">
        <v>1264</v>
      </c>
      <c r="F24" s="152">
        <v>100.0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2.5" customHeight="1">
      <c r="A25" s="10" t="s">
        <v>1336</v>
      </c>
      <c r="B25" s="10" t="s">
        <v>133</v>
      </c>
      <c r="C25" s="158" t="s">
        <v>1337</v>
      </c>
      <c r="D25" s="158" t="s">
        <v>1338</v>
      </c>
      <c r="E25" s="159" t="s">
        <v>1264</v>
      </c>
      <c r="F25" s="152">
        <v>200.0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2.5" customHeight="1">
      <c r="A26" s="10" t="s">
        <v>1342</v>
      </c>
      <c r="B26" s="10" t="s">
        <v>103</v>
      </c>
      <c r="C26" s="158" t="s">
        <v>1221</v>
      </c>
      <c r="D26" s="158" t="s">
        <v>1223</v>
      </c>
      <c r="E26" s="159" t="s">
        <v>1224</v>
      </c>
      <c r="F26" s="152">
        <v>0.5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2.5" customHeight="1">
      <c r="A27" s="10" t="s">
        <v>1345</v>
      </c>
      <c r="B27" s="10" t="s">
        <v>103</v>
      </c>
      <c r="C27" s="158" t="s">
        <v>1303</v>
      </c>
      <c r="D27" s="158" t="s">
        <v>1237</v>
      </c>
      <c r="E27" s="159" t="s">
        <v>1232</v>
      </c>
      <c r="F27" s="152">
        <v>2.5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2.5" customHeight="1">
      <c r="A28" s="10" t="s">
        <v>1349</v>
      </c>
      <c r="B28" s="10" t="s">
        <v>103</v>
      </c>
      <c r="C28" s="158" t="s">
        <v>1307</v>
      </c>
      <c r="D28" s="158" t="s">
        <v>1237</v>
      </c>
      <c r="E28" s="159" t="s">
        <v>1232</v>
      </c>
      <c r="F28" s="152">
        <v>5.0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2.5" customHeight="1">
      <c r="A29" s="10" t="s">
        <v>1353</v>
      </c>
      <c r="B29" s="10" t="s">
        <v>103</v>
      </c>
      <c r="C29" s="158" t="s">
        <v>1312</v>
      </c>
      <c r="D29" s="158" t="s">
        <v>1237</v>
      </c>
      <c r="E29" s="159" t="s">
        <v>1232</v>
      </c>
      <c r="F29" s="152">
        <v>6.5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2.5" customHeight="1">
      <c r="A30" s="10" t="s">
        <v>1357</v>
      </c>
      <c r="B30" s="10" t="s">
        <v>103</v>
      </c>
      <c r="C30" s="158" t="s">
        <v>1317</v>
      </c>
      <c r="D30" s="158" t="s">
        <v>1237</v>
      </c>
      <c r="E30" s="159" t="s">
        <v>1232</v>
      </c>
      <c r="F30" s="152">
        <v>0.7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2.5" customHeight="1">
      <c r="A31" s="10" t="s">
        <v>1361</v>
      </c>
      <c r="B31" s="10" t="s">
        <v>103</v>
      </c>
      <c r="C31" s="158" t="s">
        <v>1323</v>
      </c>
      <c r="D31" s="158" t="s">
        <v>1237</v>
      </c>
      <c r="E31" s="159" t="s">
        <v>1232</v>
      </c>
      <c r="F31" s="152">
        <v>1.25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2.5" customHeight="1">
      <c r="A32" s="10" t="s">
        <v>1365</v>
      </c>
      <c r="B32" s="10" t="s">
        <v>103</v>
      </c>
      <c r="C32" s="158" t="s">
        <v>1248</v>
      </c>
      <c r="D32" s="158" t="s">
        <v>1249</v>
      </c>
      <c r="E32" s="159" t="s">
        <v>1251</v>
      </c>
      <c r="F32" s="152">
        <v>1.0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2.5" customHeight="1">
      <c r="A33" s="10" t="s">
        <v>1369</v>
      </c>
      <c r="B33" s="10" t="s">
        <v>103</v>
      </c>
      <c r="C33" s="158" t="s">
        <v>1255</v>
      </c>
      <c r="D33" s="158" t="s">
        <v>1249</v>
      </c>
      <c r="E33" s="159" t="s">
        <v>1251</v>
      </c>
      <c r="F33" s="152">
        <v>0.5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2.5" customHeight="1">
      <c r="A34" s="10" t="s">
        <v>1373</v>
      </c>
      <c r="B34" s="10" t="s">
        <v>103</v>
      </c>
      <c r="C34" s="158" t="s">
        <v>1262</v>
      </c>
      <c r="D34" s="158" t="s">
        <v>1263</v>
      </c>
      <c r="E34" s="159" t="s">
        <v>1264</v>
      </c>
      <c r="F34" s="152">
        <v>100.0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2.5" customHeight="1">
      <c r="A35" s="10" t="s">
        <v>1377</v>
      </c>
      <c r="B35" s="10" t="s">
        <v>103</v>
      </c>
      <c r="C35" s="158" t="s">
        <v>1337</v>
      </c>
      <c r="D35" s="158" t="s">
        <v>1338</v>
      </c>
      <c r="E35" s="159" t="s">
        <v>1264</v>
      </c>
      <c r="F35" s="152">
        <v>200.0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2.5" customHeight="1">
      <c r="A36" s="10" t="s">
        <v>1381</v>
      </c>
      <c r="B36" s="10" t="s">
        <v>142</v>
      </c>
      <c r="C36" s="158" t="s">
        <v>1383</v>
      </c>
      <c r="D36" s="158" t="s">
        <v>1384</v>
      </c>
      <c r="E36" s="159" t="s">
        <v>1224</v>
      </c>
      <c r="F36" s="152">
        <v>0.5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2.5" customHeight="1">
      <c r="A37" s="10" t="s">
        <v>1388</v>
      </c>
      <c r="B37" s="10" t="s">
        <v>142</v>
      </c>
      <c r="C37" s="158" t="s">
        <v>1389</v>
      </c>
      <c r="D37" s="158" t="s">
        <v>1390</v>
      </c>
      <c r="E37" s="159" t="s">
        <v>1232</v>
      </c>
      <c r="F37" s="152">
        <v>1.25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2.5" customHeight="1">
      <c r="A38" s="10" t="s">
        <v>1393</v>
      </c>
      <c r="B38" s="10" t="s">
        <v>142</v>
      </c>
      <c r="C38" s="158" t="s">
        <v>1395</v>
      </c>
      <c r="D38" s="158" t="s">
        <v>1396</v>
      </c>
      <c r="E38" s="159" t="s">
        <v>1232</v>
      </c>
      <c r="F38" s="152">
        <v>2.5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2.5" customHeight="1">
      <c r="A39" s="10" t="s">
        <v>1399</v>
      </c>
      <c r="B39" s="10" t="s">
        <v>142</v>
      </c>
      <c r="C39" s="158" t="s">
        <v>1402</v>
      </c>
      <c r="D39" s="158" t="s">
        <v>1396</v>
      </c>
      <c r="E39" s="159" t="s">
        <v>1232</v>
      </c>
      <c r="F39" s="152">
        <v>4.0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2.5" customHeight="1">
      <c r="A40" s="10" t="s">
        <v>1405</v>
      </c>
      <c r="B40" s="10" t="s">
        <v>142</v>
      </c>
      <c r="C40" s="158" t="s">
        <v>1248</v>
      </c>
      <c r="D40" s="158" t="s">
        <v>1396</v>
      </c>
      <c r="E40" s="159" t="s">
        <v>1251</v>
      </c>
      <c r="F40" s="152">
        <v>1.0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2.5" customHeight="1">
      <c r="A41" s="10" t="s">
        <v>1409</v>
      </c>
      <c r="B41" s="10" t="s">
        <v>142</v>
      </c>
      <c r="C41" s="158" t="s">
        <v>1255</v>
      </c>
      <c r="D41" s="158" t="s">
        <v>1410</v>
      </c>
      <c r="E41" s="159" t="s">
        <v>1251</v>
      </c>
      <c r="F41" s="152">
        <v>0.5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2.5" customHeight="1">
      <c r="A42" s="10" t="s">
        <v>1413</v>
      </c>
      <c r="B42" s="10" t="s">
        <v>142</v>
      </c>
      <c r="C42" s="158" t="s">
        <v>1262</v>
      </c>
      <c r="D42" s="158" t="s">
        <v>1415</v>
      </c>
      <c r="E42" s="159" t="s">
        <v>1264</v>
      </c>
      <c r="F42" s="152">
        <v>100.0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2.5" customHeight="1">
      <c r="A43" s="10" t="s">
        <v>1419</v>
      </c>
      <c r="B43" s="10" t="s">
        <v>169</v>
      </c>
      <c r="C43" s="158" t="s">
        <v>1221</v>
      </c>
      <c r="D43" s="158" t="s">
        <v>1223</v>
      </c>
      <c r="E43" s="159" t="s">
        <v>1224</v>
      </c>
      <c r="F43" s="152">
        <v>0.5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2.5" customHeight="1">
      <c r="A44" s="10" t="s">
        <v>1423</v>
      </c>
      <c r="B44" s="10" t="s">
        <v>169</v>
      </c>
      <c r="C44" s="158" t="s">
        <v>1425</v>
      </c>
      <c r="D44" s="158" t="s">
        <v>1426</v>
      </c>
      <c r="E44" s="159" t="s">
        <v>1232</v>
      </c>
      <c r="F44" s="152">
        <v>1.25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2.5" customHeight="1">
      <c r="A45" s="10" t="s">
        <v>1429</v>
      </c>
      <c r="B45" s="10" t="s">
        <v>169</v>
      </c>
      <c r="C45" s="158" t="s">
        <v>1236</v>
      </c>
      <c r="D45" s="158" t="s">
        <v>1237</v>
      </c>
      <c r="E45" s="159" t="s">
        <v>1232</v>
      </c>
      <c r="F45" s="152">
        <v>2.5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2.5" customHeight="1">
      <c r="A46" s="10" t="s">
        <v>1433</v>
      </c>
      <c r="B46" s="10" t="s">
        <v>169</v>
      </c>
      <c r="C46" s="158" t="s">
        <v>1242</v>
      </c>
      <c r="D46" s="158" t="s">
        <v>1237</v>
      </c>
      <c r="E46" s="159" t="s">
        <v>1232</v>
      </c>
      <c r="F46" s="152">
        <v>4.0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2.5" customHeight="1">
      <c r="A47" s="10" t="s">
        <v>1436</v>
      </c>
      <c r="B47" s="10" t="s">
        <v>169</v>
      </c>
      <c r="C47" s="158" t="s">
        <v>1248</v>
      </c>
      <c r="D47" s="158" t="s">
        <v>1249</v>
      </c>
      <c r="E47" s="159" t="s">
        <v>1251</v>
      </c>
      <c r="F47" s="152">
        <v>1.0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2.5" customHeight="1">
      <c r="A48" s="10" t="s">
        <v>1440</v>
      </c>
      <c r="B48" s="10" t="s">
        <v>169</v>
      </c>
      <c r="C48" s="158" t="s">
        <v>1255</v>
      </c>
      <c r="D48" s="158" t="s">
        <v>1249</v>
      </c>
      <c r="E48" s="159" t="s">
        <v>1251</v>
      </c>
      <c r="F48" s="152">
        <v>0.5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2.5" customHeight="1">
      <c r="A49" s="10" t="s">
        <v>1445</v>
      </c>
      <c r="B49" s="10" t="s">
        <v>169</v>
      </c>
      <c r="C49" s="158" t="s">
        <v>1262</v>
      </c>
      <c r="D49" s="158" t="s">
        <v>1263</v>
      </c>
      <c r="E49" s="159" t="s">
        <v>1264</v>
      </c>
      <c r="F49" s="152">
        <v>100.0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2.5" customHeight="1">
      <c r="A50" s="10" t="s">
        <v>1449</v>
      </c>
      <c r="B50" s="10" t="s">
        <v>188</v>
      </c>
      <c r="C50" s="158" t="s">
        <v>1221</v>
      </c>
      <c r="D50" s="158" t="s">
        <v>1223</v>
      </c>
      <c r="E50" s="159" t="s">
        <v>1224</v>
      </c>
      <c r="F50" s="152">
        <v>0.5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2.5" customHeight="1">
      <c r="A51" s="10" t="s">
        <v>1452</v>
      </c>
      <c r="B51" s="10" t="s">
        <v>188</v>
      </c>
      <c r="C51" s="158" t="s">
        <v>1229</v>
      </c>
      <c r="D51" s="158" t="s">
        <v>1230</v>
      </c>
      <c r="E51" s="159" t="s">
        <v>1232</v>
      </c>
      <c r="F51" s="152">
        <v>1.25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2.5" customHeight="1">
      <c r="A52" s="10" t="s">
        <v>1456</v>
      </c>
      <c r="B52" s="10" t="s">
        <v>188</v>
      </c>
      <c r="C52" s="158" t="s">
        <v>1236</v>
      </c>
      <c r="D52" s="158" t="s">
        <v>1237</v>
      </c>
      <c r="E52" s="159" t="s">
        <v>1232</v>
      </c>
      <c r="F52" s="152">
        <v>2.5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2.5" customHeight="1">
      <c r="A53" s="10" t="s">
        <v>1459</v>
      </c>
      <c r="B53" s="10" t="s">
        <v>188</v>
      </c>
      <c r="C53" s="158" t="s">
        <v>1242</v>
      </c>
      <c r="D53" s="158" t="s">
        <v>1237</v>
      </c>
      <c r="E53" s="159" t="s">
        <v>1232</v>
      </c>
      <c r="F53" s="152">
        <v>4.0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2.5" customHeight="1">
      <c r="A54" s="10" t="s">
        <v>1463</v>
      </c>
      <c r="B54" s="10" t="s">
        <v>188</v>
      </c>
      <c r="C54" s="158" t="s">
        <v>1248</v>
      </c>
      <c r="D54" s="158" t="s">
        <v>1249</v>
      </c>
      <c r="E54" s="159" t="s">
        <v>1251</v>
      </c>
      <c r="F54" s="152">
        <v>1.0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2.5" customHeight="1">
      <c r="A55" s="10" t="s">
        <v>1467</v>
      </c>
      <c r="B55" s="10" t="s">
        <v>188</v>
      </c>
      <c r="C55" s="158" t="s">
        <v>1255</v>
      </c>
      <c r="D55" s="158" t="s">
        <v>1256</v>
      </c>
      <c r="E55" s="159" t="s">
        <v>1251</v>
      </c>
      <c r="F55" s="152">
        <v>0.5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2.5" customHeight="1">
      <c r="A56" s="10" t="s">
        <v>1471</v>
      </c>
      <c r="B56" s="10" t="s">
        <v>188</v>
      </c>
      <c r="C56" s="158" t="s">
        <v>1262</v>
      </c>
      <c r="D56" s="158" t="s">
        <v>1263</v>
      </c>
      <c r="E56" s="159" t="s">
        <v>1264</v>
      </c>
      <c r="F56" s="152">
        <v>100.0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2.5" customHeight="1">
      <c r="A57" s="10" t="s">
        <v>1474</v>
      </c>
      <c r="B57" s="10" t="s">
        <v>207</v>
      </c>
      <c r="C57" s="158" t="s">
        <v>1221</v>
      </c>
      <c r="D57" s="158" t="s">
        <v>1223</v>
      </c>
      <c r="E57" s="159" t="s">
        <v>1224</v>
      </c>
      <c r="F57" s="152">
        <v>0.5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2.5" customHeight="1">
      <c r="A58" s="10" t="s">
        <v>1478</v>
      </c>
      <c r="B58" s="10" t="s">
        <v>207</v>
      </c>
      <c r="C58" s="158" t="s">
        <v>1303</v>
      </c>
      <c r="D58" s="158" t="s">
        <v>1237</v>
      </c>
      <c r="E58" s="159" t="s">
        <v>1232</v>
      </c>
      <c r="F58" s="152">
        <v>2.5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2.5" customHeight="1">
      <c r="A59" s="10" t="s">
        <v>1482</v>
      </c>
      <c r="B59" s="10" t="s">
        <v>207</v>
      </c>
      <c r="C59" s="158" t="s">
        <v>1307</v>
      </c>
      <c r="D59" s="158" t="s">
        <v>1237</v>
      </c>
      <c r="E59" s="159" t="s">
        <v>1232</v>
      </c>
      <c r="F59" s="152">
        <v>5.0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2.5" customHeight="1">
      <c r="A60" s="10" t="s">
        <v>1487</v>
      </c>
      <c r="B60" s="10" t="s">
        <v>207</v>
      </c>
      <c r="C60" s="158" t="s">
        <v>1312</v>
      </c>
      <c r="D60" s="158" t="s">
        <v>1237</v>
      </c>
      <c r="E60" s="159" t="s">
        <v>1232</v>
      </c>
      <c r="F60" s="152">
        <v>6.5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2.5" customHeight="1">
      <c r="A61" s="10" t="s">
        <v>1490</v>
      </c>
      <c r="B61" s="10" t="s">
        <v>207</v>
      </c>
      <c r="C61" s="158" t="s">
        <v>1317</v>
      </c>
      <c r="D61" s="158" t="s">
        <v>1237</v>
      </c>
      <c r="E61" s="159" t="s">
        <v>1232</v>
      </c>
      <c r="F61" s="152">
        <v>0.7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2.5" customHeight="1">
      <c r="A62" s="10" t="s">
        <v>1493</v>
      </c>
      <c r="B62" s="10" t="s">
        <v>207</v>
      </c>
      <c r="C62" s="158" t="s">
        <v>1323</v>
      </c>
      <c r="D62" s="158" t="s">
        <v>1237</v>
      </c>
      <c r="E62" s="159" t="s">
        <v>1232</v>
      </c>
      <c r="F62" s="152">
        <v>1.25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2.5" customHeight="1">
      <c r="A63" s="10" t="s">
        <v>1497</v>
      </c>
      <c r="B63" s="10" t="s">
        <v>207</v>
      </c>
      <c r="C63" s="158" t="s">
        <v>1248</v>
      </c>
      <c r="D63" s="158" t="s">
        <v>1249</v>
      </c>
      <c r="E63" s="159" t="s">
        <v>1251</v>
      </c>
      <c r="F63" s="152">
        <v>1.0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2.5" customHeight="1">
      <c r="A64" s="10" t="s">
        <v>1499</v>
      </c>
      <c r="B64" s="10" t="s">
        <v>207</v>
      </c>
      <c r="C64" s="158" t="s">
        <v>1255</v>
      </c>
      <c r="D64" s="158" t="s">
        <v>1249</v>
      </c>
      <c r="E64" s="159" t="s">
        <v>1251</v>
      </c>
      <c r="F64" s="152">
        <v>0.5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2.5" customHeight="1">
      <c r="A65" s="10" t="s">
        <v>1502</v>
      </c>
      <c r="B65" s="10" t="s">
        <v>207</v>
      </c>
      <c r="C65" s="158" t="s">
        <v>1262</v>
      </c>
      <c r="D65" s="158" t="s">
        <v>1263</v>
      </c>
      <c r="E65" s="159" t="s">
        <v>1264</v>
      </c>
      <c r="F65" s="152">
        <v>100.0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2.5" customHeight="1">
      <c r="A66" s="10" t="s">
        <v>1506</v>
      </c>
      <c r="B66" s="10" t="s">
        <v>207</v>
      </c>
      <c r="C66" s="158" t="s">
        <v>1337</v>
      </c>
      <c r="D66" s="158" t="s">
        <v>1338</v>
      </c>
      <c r="E66" s="159" t="s">
        <v>1264</v>
      </c>
      <c r="F66" s="152">
        <v>200.0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2.5" customHeight="1">
      <c r="A67" s="10" t="s">
        <v>1509</v>
      </c>
      <c r="B67" s="10" t="s">
        <v>216</v>
      </c>
      <c r="C67" s="158" t="s">
        <v>1312</v>
      </c>
      <c r="D67" s="158"/>
      <c r="E67" s="159" t="s">
        <v>1232</v>
      </c>
      <c r="F67" s="152">
        <v>6.5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2.5" customHeight="1">
      <c r="A68" s="10" t="s">
        <v>1511</v>
      </c>
      <c r="B68" s="10" t="s">
        <v>216</v>
      </c>
      <c r="C68" s="158" t="s">
        <v>1513</v>
      </c>
      <c r="D68" s="158"/>
      <c r="E68" s="159" t="s">
        <v>1232</v>
      </c>
      <c r="F68" s="152">
        <v>0.7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2.5" customHeight="1">
      <c r="A69" s="10" t="s">
        <v>1516</v>
      </c>
      <c r="B69" s="10" t="s">
        <v>216</v>
      </c>
      <c r="C69" s="158" t="s">
        <v>1518</v>
      </c>
      <c r="D69" s="158"/>
      <c r="E69" s="159" t="s">
        <v>1232</v>
      </c>
      <c r="F69" s="152">
        <v>1.25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2.5" customHeight="1">
      <c r="A70" s="10" t="s">
        <v>1520</v>
      </c>
      <c r="B70" s="10" t="s">
        <v>216</v>
      </c>
      <c r="C70" s="158" t="s">
        <v>1522</v>
      </c>
      <c r="D70" s="158"/>
      <c r="E70" s="159" t="s">
        <v>1232</v>
      </c>
      <c r="F70" s="152">
        <v>2.5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2.5" customHeight="1">
      <c r="A71" s="10" t="s">
        <v>1524</v>
      </c>
      <c r="B71" s="10" t="s">
        <v>216</v>
      </c>
      <c r="C71" s="158" t="s">
        <v>1527</v>
      </c>
      <c r="D71" s="158"/>
      <c r="E71" s="159" t="s">
        <v>1232</v>
      </c>
      <c r="F71" s="152">
        <v>5.0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2.5" customHeight="1">
      <c r="A72" s="10" t="s">
        <v>1530</v>
      </c>
      <c r="B72" s="10" t="s">
        <v>216</v>
      </c>
      <c r="C72" s="158" t="s">
        <v>1262</v>
      </c>
      <c r="D72" s="158" t="s">
        <v>1532</v>
      </c>
      <c r="E72" s="159" t="s">
        <v>1264</v>
      </c>
      <c r="F72" s="152">
        <v>250.0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2.5" customHeight="1">
      <c r="A73" s="10" t="s">
        <v>1535</v>
      </c>
      <c r="B73" s="10" t="s">
        <v>216</v>
      </c>
      <c r="C73" s="158" t="s">
        <v>1536</v>
      </c>
      <c r="D73" s="158"/>
      <c r="E73" s="159" t="s">
        <v>1232</v>
      </c>
      <c r="F73" s="152">
        <v>3.0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2.5" customHeight="1">
      <c r="A74" s="10" t="s">
        <v>1538</v>
      </c>
      <c r="B74" s="10" t="s">
        <v>216</v>
      </c>
      <c r="C74" s="158" t="s">
        <v>1540</v>
      </c>
      <c r="D74" s="158"/>
      <c r="E74" s="159" t="s">
        <v>1232</v>
      </c>
      <c r="F74" s="152">
        <v>1.0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2.5" customHeight="1">
      <c r="A75" s="10" t="s">
        <v>1541</v>
      </c>
      <c r="B75" s="10" t="s">
        <v>216</v>
      </c>
      <c r="C75" s="158" t="s">
        <v>1542</v>
      </c>
      <c r="D75" s="158" t="s">
        <v>1544</v>
      </c>
      <c r="E75" s="159" t="s">
        <v>1264</v>
      </c>
      <c r="F75" s="152">
        <v>200.0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2.5" customHeight="1">
      <c r="A76" s="10" t="s">
        <v>1546</v>
      </c>
      <c r="B76" s="10" t="s">
        <v>216</v>
      </c>
      <c r="C76" s="158" t="s">
        <v>1547</v>
      </c>
      <c r="D76" s="158" t="s">
        <v>1550</v>
      </c>
      <c r="E76" s="159" t="s">
        <v>1264</v>
      </c>
      <c r="F76" s="152">
        <v>180.0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2.5" customHeight="1">
      <c r="A77" s="10" t="s">
        <v>1552</v>
      </c>
      <c r="B77" s="10" t="s">
        <v>216</v>
      </c>
      <c r="C77" s="158" t="s">
        <v>1554</v>
      </c>
      <c r="D77" s="158" t="s">
        <v>1555</v>
      </c>
      <c r="E77" s="159" t="s">
        <v>1264</v>
      </c>
      <c r="F77" s="152">
        <v>235.0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2.5" customHeight="1">
      <c r="A78" s="10" t="s">
        <v>1557</v>
      </c>
      <c r="B78" s="10" t="s">
        <v>216</v>
      </c>
      <c r="C78" s="158" t="s">
        <v>1558</v>
      </c>
      <c r="D78" s="158" t="s">
        <v>1559</v>
      </c>
      <c r="E78" s="159" t="s">
        <v>1264</v>
      </c>
      <c r="F78" s="152">
        <v>50.0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2.5" customHeight="1">
      <c r="A79" s="10" t="s">
        <v>1562</v>
      </c>
      <c r="B79" s="10" t="s">
        <v>216</v>
      </c>
      <c r="C79" s="158" t="s">
        <v>1563</v>
      </c>
      <c r="D79" s="158" t="s">
        <v>1566</v>
      </c>
      <c r="E79" s="159" t="s">
        <v>1264</v>
      </c>
      <c r="F79" s="152">
        <v>200.0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2.5" customHeight="1">
      <c r="A80" s="10" t="s">
        <v>1570</v>
      </c>
      <c r="B80" s="10" t="s">
        <v>216</v>
      </c>
      <c r="C80" s="158" t="s">
        <v>1337</v>
      </c>
      <c r="D80" s="158" t="s">
        <v>1572</v>
      </c>
      <c r="E80" s="159" t="s">
        <v>1264</v>
      </c>
      <c r="F80" s="152">
        <v>150.0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2.5" customHeight="1">
      <c r="A81" s="10" t="s">
        <v>1577</v>
      </c>
      <c r="B81" s="10" t="s">
        <v>239</v>
      </c>
      <c r="C81" s="158" t="s">
        <v>1221</v>
      </c>
      <c r="D81" s="158" t="s">
        <v>1223</v>
      </c>
      <c r="E81" s="159" t="s">
        <v>1224</v>
      </c>
      <c r="F81" s="152">
        <v>0.5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2.5" customHeight="1">
      <c r="A82" s="10" t="s">
        <v>1582</v>
      </c>
      <c r="B82" s="10" t="s">
        <v>239</v>
      </c>
      <c r="C82" s="158" t="s">
        <v>1229</v>
      </c>
      <c r="D82" s="158" t="s">
        <v>1230</v>
      </c>
      <c r="E82" s="159" t="s">
        <v>1232</v>
      </c>
      <c r="F82" s="152">
        <v>1.25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2.5" customHeight="1">
      <c r="A83" s="10" t="s">
        <v>1586</v>
      </c>
      <c r="B83" s="10" t="s">
        <v>239</v>
      </c>
      <c r="C83" s="158" t="s">
        <v>1236</v>
      </c>
      <c r="D83" s="158" t="s">
        <v>1237</v>
      </c>
      <c r="E83" s="159" t="s">
        <v>1232</v>
      </c>
      <c r="F83" s="152">
        <v>2.5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2.5" customHeight="1">
      <c r="A84" s="10" t="s">
        <v>1591</v>
      </c>
      <c r="B84" s="10" t="s">
        <v>239</v>
      </c>
      <c r="C84" s="158" t="s">
        <v>1242</v>
      </c>
      <c r="D84" s="158" t="s">
        <v>1237</v>
      </c>
      <c r="E84" s="159" t="s">
        <v>1232</v>
      </c>
      <c r="F84" s="152">
        <v>4.0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2.5" customHeight="1">
      <c r="A85" s="10" t="s">
        <v>1597</v>
      </c>
      <c r="B85" s="10" t="s">
        <v>239</v>
      </c>
      <c r="C85" s="158" t="s">
        <v>1248</v>
      </c>
      <c r="D85" s="158" t="s">
        <v>1249</v>
      </c>
      <c r="E85" s="159" t="s">
        <v>1251</v>
      </c>
      <c r="F85" s="152">
        <v>1.0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2.5" customHeight="1">
      <c r="A86" s="10" t="s">
        <v>1601</v>
      </c>
      <c r="B86" s="10" t="s">
        <v>239</v>
      </c>
      <c r="C86" s="158" t="s">
        <v>1255</v>
      </c>
      <c r="D86" s="158" t="s">
        <v>1256</v>
      </c>
      <c r="E86" s="159" t="s">
        <v>1251</v>
      </c>
      <c r="F86" s="152">
        <v>0.5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2.5" customHeight="1">
      <c r="A87" s="10" t="s">
        <v>1606</v>
      </c>
      <c r="B87" s="10" t="s">
        <v>239</v>
      </c>
      <c r="C87" s="158" t="s">
        <v>1262</v>
      </c>
      <c r="D87" s="158" t="s">
        <v>1263</v>
      </c>
      <c r="E87" s="159" t="s">
        <v>1264</v>
      </c>
      <c r="F87" s="152">
        <v>100.0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2.5" customHeight="1">
      <c r="A88" s="10" t="s">
        <v>1610</v>
      </c>
      <c r="B88" s="10" t="s">
        <v>245</v>
      </c>
      <c r="C88" s="158" t="s">
        <v>1221</v>
      </c>
      <c r="D88" s="158" t="s">
        <v>1223</v>
      </c>
      <c r="E88" s="159" t="s">
        <v>1224</v>
      </c>
      <c r="F88" s="152">
        <v>0.5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2.5" customHeight="1">
      <c r="A89" s="10" t="s">
        <v>1615</v>
      </c>
      <c r="B89" s="10" t="s">
        <v>245</v>
      </c>
      <c r="C89" s="158" t="s">
        <v>1425</v>
      </c>
      <c r="D89" s="158" t="s">
        <v>1426</v>
      </c>
      <c r="E89" s="159" t="s">
        <v>1232</v>
      </c>
      <c r="F89" s="152">
        <v>1.25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2.5" customHeight="1">
      <c r="A90" s="10" t="s">
        <v>1620</v>
      </c>
      <c r="B90" s="10" t="s">
        <v>245</v>
      </c>
      <c r="C90" s="158" t="s">
        <v>1236</v>
      </c>
      <c r="D90" s="158" t="s">
        <v>1237</v>
      </c>
      <c r="E90" s="159" t="s">
        <v>1232</v>
      </c>
      <c r="F90" s="152">
        <v>2.5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2.5" customHeight="1">
      <c r="A91" s="10" t="s">
        <v>1624</v>
      </c>
      <c r="B91" s="10" t="s">
        <v>245</v>
      </c>
      <c r="C91" s="158" t="s">
        <v>1242</v>
      </c>
      <c r="D91" s="158" t="s">
        <v>1237</v>
      </c>
      <c r="E91" s="159" t="s">
        <v>1232</v>
      </c>
      <c r="F91" s="152">
        <v>4.0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2.5" customHeight="1">
      <c r="A92" s="10" t="s">
        <v>1626</v>
      </c>
      <c r="B92" s="10" t="s">
        <v>245</v>
      </c>
      <c r="C92" s="158" t="s">
        <v>1248</v>
      </c>
      <c r="D92" s="158" t="s">
        <v>1249</v>
      </c>
      <c r="E92" s="159" t="s">
        <v>1251</v>
      </c>
      <c r="F92" s="152">
        <v>1.0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2.5" customHeight="1">
      <c r="A93" s="10" t="s">
        <v>1628</v>
      </c>
      <c r="B93" s="10" t="s">
        <v>245</v>
      </c>
      <c r="C93" s="158" t="s">
        <v>1255</v>
      </c>
      <c r="D93" s="158" t="s">
        <v>1249</v>
      </c>
      <c r="E93" s="159" t="s">
        <v>1251</v>
      </c>
      <c r="F93" s="152">
        <v>0.5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2.5" customHeight="1">
      <c r="A94" s="10" t="s">
        <v>1630</v>
      </c>
      <c r="B94" s="10" t="s">
        <v>245</v>
      </c>
      <c r="C94" s="158" t="s">
        <v>1262</v>
      </c>
      <c r="D94" s="158" t="s">
        <v>1263</v>
      </c>
      <c r="E94" s="159" t="s">
        <v>1264</v>
      </c>
      <c r="F94" s="152">
        <v>100.0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2.5" customHeight="1">
      <c r="A95" s="10" t="s">
        <v>1632</v>
      </c>
      <c r="B95" s="10" t="s">
        <v>268</v>
      </c>
      <c r="C95" s="158" t="s">
        <v>1221</v>
      </c>
      <c r="D95" s="158" t="s">
        <v>1223</v>
      </c>
      <c r="E95" s="152" t="s">
        <v>1224</v>
      </c>
      <c r="F95" s="152">
        <v>0.5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2.5" customHeight="1">
      <c r="A96" s="10" t="s">
        <v>1635</v>
      </c>
      <c r="B96" s="10" t="s">
        <v>268</v>
      </c>
      <c r="C96" s="158" t="s">
        <v>1229</v>
      </c>
      <c r="D96" s="158" t="s">
        <v>1230</v>
      </c>
      <c r="E96" s="152" t="s">
        <v>1232</v>
      </c>
      <c r="F96" s="152">
        <v>1.25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2.5" customHeight="1">
      <c r="A97" s="10" t="s">
        <v>1637</v>
      </c>
      <c r="B97" s="10" t="s">
        <v>268</v>
      </c>
      <c r="C97" s="158" t="s">
        <v>1236</v>
      </c>
      <c r="D97" s="158" t="s">
        <v>1237</v>
      </c>
      <c r="E97" s="152" t="s">
        <v>1232</v>
      </c>
      <c r="F97" s="152">
        <v>2.5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2.5" customHeight="1">
      <c r="A98" s="10" t="s">
        <v>1640</v>
      </c>
      <c r="B98" s="10" t="s">
        <v>268</v>
      </c>
      <c r="C98" s="158" t="s">
        <v>1242</v>
      </c>
      <c r="D98" s="158" t="s">
        <v>1237</v>
      </c>
      <c r="E98" s="152" t="s">
        <v>1232</v>
      </c>
      <c r="F98" s="152">
        <v>4.0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2.5" customHeight="1">
      <c r="A99" s="10" t="s">
        <v>1642</v>
      </c>
      <c r="B99" s="10" t="s">
        <v>268</v>
      </c>
      <c r="C99" s="158" t="s">
        <v>1248</v>
      </c>
      <c r="D99" s="158" t="s">
        <v>1249</v>
      </c>
      <c r="E99" s="152" t="s">
        <v>1251</v>
      </c>
      <c r="F99" s="152">
        <v>1.0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2.5" customHeight="1">
      <c r="A100" s="10" t="s">
        <v>1645</v>
      </c>
      <c r="B100" s="10" t="s">
        <v>268</v>
      </c>
      <c r="C100" s="158" t="s">
        <v>1255</v>
      </c>
      <c r="D100" s="158" t="s">
        <v>1256</v>
      </c>
      <c r="E100" s="152" t="s">
        <v>1251</v>
      </c>
      <c r="F100" s="152">
        <v>0.5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2.5" customHeight="1">
      <c r="A101" s="10" t="s">
        <v>1647</v>
      </c>
      <c r="B101" s="10" t="s">
        <v>268</v>
      </c>
      <c r="C101" s="158" t="s">
        <v>1262</v>
      </c>
      <c r="D101" s="158" t="s">
        <v>1263</v>
      </c>
      <c r="E101" s="152" t="s">
        <v>1264</v>
      </c>
      <c r="F101" s="152">
        <v>100.0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2.5" customHeight="1">
      <c r="A102" s="10" t="s">
        <v>1649</v>
      </c>
      <c r="B102" s="159" t="s">
        <v>292</v>
      </c>
      <c r="C102" s="158" t="s">
        <v>1221</v>
      </c>
      <c r="D102" s="158" t="s">
        <v>1650</v>
      </c>
      <c r="E102" s="152" t="s">
        <v>1651</v>
      </c>
      <c r="F102" s="152">
        <v>0.5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2.5" customHeight="1">
      <c r="A103" s="10" t="s">
        <v>1653</v>
      </c>
      <c r="B103" s="159" t="s">
        <v>292</v>
      </c>
      <c r="C103" s="158" t="s">
        <v>1654</v>
      </c>
      <c r="D103" s="158" t="s">
        <v>1655</v>
      </c>
      <c r="E103" s="152" t="s">
        <v>1232</v>
      </c>
      <c r="F103" s="152">
        <v>1.25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2.5" customHeight="1">
      <c r="A104" s="10" t="s">
        <v>1657</v>
      </c>
      <c r="B104" s="159" t="s">
        <v>292</v>
      </c>
      <c r="C104" s="158" t="s">
        <v>1658</v>
      </c>
      <c r="D104" s="158" t="s">
        <v>1659</v>
      </c>
      <c r="E104" s="152" t="s">
        <v>1232</v>
      </c>
      <c r="F104" s="152">
        <v>2.5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2.5" customHeight="1">
      <c r="A105" s="10" t="s">
        <v>1660</v>
      </c>
      <c r="B105" s="159" t="s">
        <v>292</v>
      </c>
      <c r="C105" s="158" t="s">
        <v>1662</v>
      </c>
      <c r="D105" s="158" t="s">
        <v>1659</v>
      </c>
      <c r="E105" s="152" t="s">
        <v>1232</v>
      </c>
      <c r="F105" s="152">
        <v>4.0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2.5" customHeight="1">
      <c r="A106" s="10" t="s">
        <v>1663</v>
      </c>
      <c r="B106" s="159" t="s">
        <v>292</v>
      </c>
      <c r="C106" s="158" t="s">
        <v>1665</v>
      </c>
      <c r="D106" s="158" t="s">
        <v>1666</v>
      </c>
      <c r="E106" s="152" t="s">
        <v>1251</v>
      </c>
      <c r="F106" s="152">
        <v>1.0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2.5" customHeight="1">
      <c r="A107" s="10" t="s">
        <v>1667</v>
      </c>
      <c r="B107" s="159" t="s">
        <v>292</v>
      </c>
      <c r="C107" s="158" t="s">
        <v>1668</v>
      </c>
      <c r="D107" s="158" t="s">
        <v>1670</v>
      </c>
      <c r="E107" s="152" t="s">
        <v>1251</v>
      </c>
      <c r="F107" s="152">
        <v>0.5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2.5" customHeight="1">
      <c r="A108" s="10" t="s">
        <v>1671</v>
      </c>
      <c r="B108" s="159" t="s">
        <v>292</v>
      </c>
      <c r="C108" s="158" t="s">
        <v>1262</v>
      </c>
      <c r="D108" s="158" t="s">
        <v>1673</v>
      </c>
      <c r="E108" s="152" t="s">
        <v>1264</v>
      </c>
      <c r="F108" s="152">
        <v>100.0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2.5" customHeight="1">
      <c r="A109" s="10" t="s">
        <v>1675</v>
      </c>
      <c r="B109" s="159" t="s">
        <v>317</v>
      </c>
      <c r="C109" s="158" t="s">
        <v>1221</v>
      </c>
      <c r="D109" s="158" t="s">
        <v>1223</v>
      </c>
      <c r="E109" s="159" t="s">
        <v>1224</v>
      </c>
      <c r="F109" s="152">
        <v>0.5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2.5" customHeight="1">
      <c r="A110" s="10" t="s">
        <v>1677</v>
      </c>
      <c r="B110" s="159" t="s">
        <v>317</v>
      </c>
      <c r="C110" s="158" t="s">
        <v>1303</v>
      </c>
      <c r="D110" s="158" t="s">
        <v>1237</v>
      </c>
      <c r="E110" s="159" t="s">
        <v>1232</v>
      </c>
      <c r="F110" s="152">
        <v>2.5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2.5" customHeight="1">
      <c r="A111" s="10" t="s">
        <v>1679</v>
      </c>
      <c r="B111" s="159" t="s">
        <v>317</v>
      </c>
      <c r="C111" s="158" t="s">
        <v>1307</v>
      </c>
      <c r="D111" s="158" t="s">
        <v>1237</v>
      </c>
      <c r="E111" s="159" t="s">
        <v>1232</v>
      </c>
      <c r="F111" s="152">
        <v>5.0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2.5" customHeight="1">
      <c r="A112" s="10" t="s">
        <v>1680</v>
      </c>
      <c r="B112" s="159" t="s">
        <v>317</v>
      </c>
      <c r="C112" s="158" t="s">
        <v>1312</v>
      </c>
      <c r="D112" s="158" t="s">
        <v>1237</v>
      </c>
      <c r="E112" s="159" t="s">
        <v>1232</v>
      </c>
      <c r="F112" s="152">
        <v>6.5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2.5" customHeight="1">
      <c r="A113" s="10" t="s">
        <v>1682</v>
      </c>
      <c r="B113" s="159" t="s">
        <v>317</v>
      </c>
      <c r="C113" s="158" t="s">
        <v>1317</v>
      </c>
      <c r="D113" s="158" t="s">
        <v>1237</v>
      </c>
      <c r="E113" s="159" t="s">
        <v>1232</v>
      </c>
      <c r="F113" s="152">
        <v>0.7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2.5" customHeight="1">
      <c r="A114" s="10" t="s">
        <v>1685</v>
      </c>
      <c r="B114" s="159" t="s">
        <v>317</v>
      </c>
      <c r="C114" s="158" t="s">
        <v>1323</v>
      </c>
      <c r="D114" s="158" t="s">
        <v>1237</v>
      </c>
      <c r="E114" s="159" t="s">
        <v>1232</v>
      </c>
      <c r="F114" s="152">
        <v>1.25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2.5" customHeight="1">
      <c r="A115" s="10" t="s">
        <v>1687</v>
      </c>
      <c r="B115" s="159" t="s">
        <v>317</v>
      </c>
      <c r="C115" s="158" t="s">
        <v>1248</v>
      </c>
      <c r="D115" s="158" t="s">
        <v>1249</v>
      </c>
      <c r="E115" s="159" t="s">
        <v>1251</v>
      </c>
      <c r="F115" s="152">
        <v>1.0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2.5" customHeight="1">
      <c r="A116" s="10" t="s">
        <v>1689</v>
      </c>
      <c r="B116" s="159" t="s">
        <v>317</v>
      </c>
      <c r="C116" s="158" t="s">
        <v>1255</v>
      </c>
      <c r="D116" s="158" t="s">
        <v>1249</v>
      </c>
      <c r="E116" s="159" t="s">
        <v>1251</v>
      </c>
      <c r="F116" s="152">
        <v>0.5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2.5" customHeight="1">
      <c r="A117" s="10" t="s">
        <v>1692</v>
      </c>
      <c r="B117" s="159" t="s">
        <v>317</v>
      </c>
      <c r="C117" s="158" t="s">
        <v>1262</v>
      </c>
      <c r="D117" s="158" t="s">
        <v>1263</v>
      </c>
      <c r="E117" s="159" t="s">
        <v>1264</v>
      </c>
      <c r="F117" s="152">
        <v>100.0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2.5" customHeight="1">
      <c r="A118" s="10" t="s">
        <v>1694</v>
      </c>
      <c r="B118" s="159" t="s">
        <v>317</v>
      </c>
      <c r="C118" s="158" t="s">
        <v>1337</v>
      </c>
      <c r="D118" s="158" t="s">
        <v>1338</v>
      </c>
      <c r="E118" s="159" t="s">
        <v>1264</v>
      </c>
      <c r="F118" s="152">
        <v>200.0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60"/>
      <c r="B119" s="60"/>
      <c r="C119" s="8"/>
      <c r="D119" s="8"/>
      <c r="E119" s="60"/>
      <c r="F119" s="6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60"/>
      <c r="B120" s="60"/>
      <c r="C120" s="8"/>
      <c r="D120" s="8"/>
      <c r="E120" s="60"/>
      <c r="F120" s="6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60"/>
      <c r="B121" s="60"/>
      <c r="C121" s="8"/>
      <c r="D121" s="8"/>
      <c r="E121" s="60"/>
      <c r="F121" s="6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60"/>
      <c r="B122" s="60"/>
      <c r="C122" s="8"/>
      <c r="D122" s="8"/>
      <c r="E122" s="60"/>
      <c r="F122" s="6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60"/>
      <c r="B123" s="60"/>
      <c r="C123" s="8"/>
      <c r="D123" s="8"/>
      <c r="E123" s="60"/>
      <c r="F123" s="6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60"/>
      <c r="B124" s="60"/>
      <c r="C124" s="8"/>
      <c r="D124" s="8"/>
      <c r="E124" s="60"/>
      <c r="F124" s="6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60"/>
      <c r="B125" s="60"/>
      <c r="C125" s="8"/>
      <c r="D125" s="8"/>
      <c r="E125" s="60"/>
      <c r="F125" s="6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60"/>
      <c r="B126" s="60"/>
      <c r="C126" s="8"/>
      <c r="D126" s="8"/>
      <c r="E126" s="60"/>
      <c r="F126" s="6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60"/>
      <c r="B127" s="60"/>
      <c r="C127" s="8"/>
      <c r="D127" s="8"/>
      <c r="E127" s="60"/>
      <c r="F127" s="6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60"/>
      <c r="B128" s="60"/>
      <c r="C128" s="8"/>
      <c r="D128" s="8"/>
      <c r="E128" s="60"/>
      <c r="F128" s="6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60"/>
      <c r="B129" s="60"/>
      <c r="C129" s="8"/>
      <c r="D129" s="8"/>
      <c r="E129" s="60"/>
      <c r="F129" s="6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60"/>
      <c r="B130" s="60"/>
      <c r="C130" s="8"/>
      <c r="D130" s="8"/>
      <c r="E130" s="60"/>
      <c r="F130" s="6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60"/>
      <c r="B131" s="60"/>
      <c r="C131" s="8"/>
      <c r="D131" s="8"/>
      <c r="E131" s="60"/>
      <c r="F131" s="6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60"/>
      <c r="B132" s="60"/>
      <c r="C132" s="8"/>
      <c r="D132" s="8"/>
      <c r="E132" s="60"/>
      <c r="F132" s="6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60"/>
      <c r="B133" s="60"/>
      <c r="C133" s="8"/>
      <c r="D133" s="8"/>
      <c r="E133" s="60"/>
      <c r="F133" s="6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60"/>
      <c r="B134" s="60"/>
      <c r="C134" s="8"/>
      <c r="D134" s="8"/>
      <c r="E134" s="60"/>
      <c r="F134" s="6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60"/>
      <c r="B135" s="60"/>
      <c r="C135" s="8"/>
      <c r="D135" s="8"/>
      <c r="E135" s="60"/>
      <c r="F135" s="6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60"/>
      <c r="B136" s="60"/>
      <c r="C136" s="8"/>
      <c r="D136" s="8"/>
      <c r="E136" s="60"/>
      <c r="F136" s="6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60"/>
      <c r="B137" s="60"/>
      <c r="C137" s="8"/>
      <c r="D137" s="8"/>
      <c r="E137" s="60"/>
      <c r="F137" s="6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60"/>
      <c r="B138" s="60"/>
      <c r="C138" s="8"/>
      <c r="D138" s="8"/>
      <c r="E138" s="60"/>
      <c r="F138" s="6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60"/>
      <c r="B139" s="60"/>
      <c r="C139" s="8"/>
      <c r="D139" s="8"/>
      <c r="E139" s="60"/>
      <c r="F139" s="6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60"/>
      <c r="B140" s="60"/>
      <c r="C140" s="8"/>
      <c r="D140" s="8"/>
      <c r="E140" s="60"/>
      <c r="F140" s="6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60"/>
      <c r="B141" s="60"/>
      <c r="C141" s="8"/>
      <c r="D141" s="8"/>
      <c r="E141" s="60"/>
      <c r="F141" s="6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60"/>
      <c r="B142" s="60"/>
      <c r="C142" s="8"/>
      <c r="D142" s="8"/>
      <c r="E142" s="60"/>
      <c r="F142" s="6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60"/>
      <c r="B143" s="60"/>
      <c r="C143" s="8"/>
      <c r="D143" s="8"/>
      <c r="E143" s="60"/>
      <c r="F143" s="6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60"/>
      <c r="B144" s="60"/>
      <c r="C144" s="8"/>
      <c r="D144" s="8"/>
      <c r="E144" s="60"/>
      <c r="F144" s="6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60"/>
      <c r="B145" s="60"/>
      <c r="C145" s="8"/>
      <c r="D145" s="8"/>
      <c r="E145" s="60"/>
      <c r="F145" s="6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60"/>
      <c r="B146" s="60"/>
      <c r="C146" s="8"/>
      <c r="D146" s="8"/>
      <c r="E146" s="60"/>
      <c r="F146" s="6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60"/>
      <c r="B147" s="60"/>
      <c r="C147" s="8"/>
      <c r="D147" s="8"/>
      <c r="E147" s="60"/>
      <c r="F147" s="6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60"/>
      <c r="B148" s="60"/>
      <c r="C148" s="8"/>
      <c r="D148" s="8"/>
      <c r="E148" s="60"/>
      <c r="F148" s="6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60"/>
      <c r="B149" s="60"/>
      <c r="C149" s="8"/>
      <c r="D149" s="8"/>
      <c r="E149" s="60"/>
      <c r="F149" s="6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60"/>
      <c r="B150" s="60"/>
      <c r="C150" s="8"/>
      <c r="D150" s="8"/>
      <c r="E150" s="60"/>
      <c r="F150" s="6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60"/>
      <c r="B151" s="60"/>
      <c r="C151" s="8"/>
      <c r="D151" s="8"/>
      <c r="E151" s="60"/>
      <c r="F151" s="6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60"/>
      <c r="B152" s="60"/>
      <c r="C152" s="8"/>
      <c r="D152" s="8"/>
      <c r="E152" s="60"/>
      <c r="F152" s="6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60"/>
      <c r="B153" s="60"/>
      <c r="C153" s="8"/>
      <c r="D153" s="8"/>
      <c r="E153" s="60"/>
      <c r="F153" s="6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60"/>
      <c r="B154" s="60"/>
      <c r="C154" s="8"/>
      <c r="D154" s="8"/>
      <c r="E154" s="60"/>
      <c r="F154" s="6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60"/>
      <c r="B155" s="60"/>
      <c r="C155" s="8"/>
      <c r="D155" s="8"/>
      <c r="E155" s="60"/>
      <c r="F155" s="6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60"/>
      <c r="B156" s="60"/>
      <c r="C156" s="8"/>
      <c r="D156" s="8"/>
      <c r="E156" s="60"/>
      <c r="F156" s="6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60"/>
      <c r="B157" s="60"/>
      <c r="C157" s="8"/>
      <c r="D157" s="8"/>
      <c r="E157" s="60"/>
      <c r="F157" s="6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60"/>
      <c r="B158" s="60"/>
      <c r="C158" s="8"/>
      <c r="D158" s="8"/>
      <c r="E158" s="60"/>
      <c r="F158" s="6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60"/>
      <c r="B159" s="60"/>
      <c r="C159" s="8"/>
      <c r="D159" s="8"/>
      <c r="E159" s="60"/>
      <c r="F159" s="6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60"/>
      <c r="B160" s="60"/>
      <c r="C160" s="8"/>
      <c r="D160" s="8"/>
      <c r="E160" s="60"/>
      <c r="F160" s="6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60"/>
      <c r="B161" s="60"/>
      <c r="C161" s="8"/>
      <c r="D161" s="8"/>
      <c r="E161" s="60"/>
      <c r="F161" s="6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60"/>
      <c r="B162" s="60"/>
      <c r="C162" s="8"/>
      <c r="D162" s="8"/>
      <c r="E162" s="60"/>
      <c r="F162" s="6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60"/>
      <c r="B163" s="60"/>
      <c r="C163" s="8"/>
      <c r="D163" s="8"/>
      <c r="E163" s="60"/>
      <c r="F163" s="6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60"/>
      <c r="B164" s="60"/>
      <c r="C164" s="8"/>
      <c r="D164" s="8"/>
      <c r="E164" s="60"/>
      <c r="F164" s="6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60"/>
      <c r="B165" s="60"/>
      <c r="C165" s="8"/>
      <c r="D165" s="8"/>
      <c r="E165" s="60"/>
      <c r="F165" s="6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60"/>
      <c r="B166" s="60"/>
      <c r="C166" s="8"/>
      <c r="D166" s="8"/>
      <c r="E166" s="60"/>
      <c r="F166" s="6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60"/>
      <c r="B167" s="60"/>
      <c r="C167" s="8"/>
      <c r="D167" s="8"/>
      <c r="E167" s="60"/>
      <c r="F167" s="6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60"/>
      <c r="B168" s="60"/>
      <c r="C168" s="8"/>
      <c r="D168" s="8"/>
      <c r="E168" s="60"/>
      <c r="F168" s="6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60"/>
      <c r="B169" s="60"/>
      <c r="C169" s="8"/>
      <c r="D169" s="8"/>
      <c r="E169" s="60"/>
      <c r="F169" s="6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60"/>
      <c r="B170" s="60"/>
      <c r="C170" s="8"/>
      <c r="D170" s="8"/>
      <c r="E170" s="60"/>
      <c r="F170" s="6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60"/>
      <c r="B171" s="60"/>
      <c r="C171" s="8"/>
      <c r="D171" s="8"/>
      <c r="E171" s="60"/>
      <c r="F171" s="6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60"/>
      <c r="B172" s="60"/>
      <c r="C172" s="8"/>
      <c r="D172" s="8"/>
      <c r="E172" s="60"/>
      <c r="F172" s="6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60"/>
      <c r="B173" s="60"/>
      <c r="C173" s="8"/>
      <c r="D173" s="8"/>
      <c r="E173" s="60"/>
      <c r="F173" s="6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60"/>
      <c r="B174" s="60"/>
      <c r="C174" s="8"/>
      <c r="D174" s="8"/>
      <c r="E174" s="60"/>
      <c r="F174" s="6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60"/>
      <c r="B175" s="60"/>
      <c r="C175" s="8"/>
      <c r="D175" s="8"/>
      <c r="E175" s="60"/>
      <c r="F175" s="6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60"/>
      <c r="B176" s="60"/>
      <c r="C176" s="8"/>
      <c r="D176" s="8"/>
      <c r="E176" s="60"/>
      <c r="F176" s="6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60"/>
      <c r="B177" s="60"/>
      <c r="C177" s="8"/>
      <c r="D177" s="8"/>
      <c r="E177" s="60"/>
      <c r="F177" s="6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60"/>
      <c r="B178" s="60"/>
      <c r="C178" s="8"/>
      <c r="D178" s="8"/>
      <c r="E178" s="60"/>
      <c r="F178" s="6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60"/>
      <c r="B179" s="60"/>
      <c r="C179" s="8"/>
      <c r="D179" s="8"/>
      <c r="E179" s="60"/>
      <c r="F179" s="6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60"/>
      <c r="B180" s="60"/>
      <c r="C180" s="8"/>
      <c r="D180" s="8"/>
      <c r="E180" s="60"/>
      <c r="F180" s="6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60"/>
      <c r="B181" s="60"/>
      <c r="C181" s="8"/>
      <c r="D181" s="8"/>
      <c r="E181" s="60"/>
      <c r="F181" s="6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60"/>
      <c r="B182" s="60"/>
      <c r="C182" s="8"/>
      <c r="D182" s="8"/>
      <c r="E182" s="60"/>
      <c r="F182" s="6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60"/>
      <c r="B183" s="60"/>
      <c r="C183" s="8"/>
      <c r="D183" s="8"/>
      <c r="E183" s="60"/>
      <c r="F183" s="6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60"/>
      <c r="B184" s="60"/>
      <c r="C184" s="8"/>
      <c r="D184" s="8"/>
      <c r="E184" s="60"/>
      <c r="F184" s="6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60"/>
      <c r="B185" s="60"/>
      <c r="C185" s="8"/>
      <c r="D185" s="8"/>
      <c r="E185" s="60"/>
      <c r="F185" s="6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60"/>
      <c r="B186" s="60"/>
      <c r="C186" s="8"/>
      <c r="D186" s="8"/>
      <c r="E186" s="60"/>
      <c r="F186" s="6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60"/>
      <c r="B187" s="60"/>
      <c r="C187" s="8"/>
      <c r="D187" s="8"/>
      <c r="E187" s="60"/>
      <c r="F187" s="6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60"/>
      <c r="B188" s="60"/>
      <c r="C188" s="8"/>
      <c r="D188" s="8"/>
      <c r="E188" s="60"/>
      <c r="F188" s="6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60"/>
      <c r="B189" s="60"/>
      <c r="C189" s="8"/>
      <c r="D189" s="8"/>
      <c r="E189" s="60"/>
      <c r="F189" s="6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60"/>
      <c r="B190" s="60"/>
      <c r="C190" s="8"/>
      <c r="D190" s="8"/>
      <c r="E190" s="60"/>
      <c r="F190" s="6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60"/>
      <c r="B191" s="60"/>
      <c r="C191" s="8"/>
      <c r="D191" s="8"/>
      <c r="E191" s="60"/>
      <c r="F191" s="6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60"/>
      <c r="B192" s="60"/>
      <c r="C192" s="8"/>
      <c r="D192" s="8"/>
      <c r="E192" s="60"/>
      <c r="F192" s="6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60"/>
      <c r="B193" s="60"/>
      <c r="C193" s="8"/>
      <c r="D193" s="8"/>
      <c r="E193" s="60"/>
      <c r="F193" s="6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60"/>
      <c r="B194" s="60"/>
      <c r="C194" s="8"/>
      <c r="D194" s="8"/>
      <c r="E194" s="60"/>
      <c r="F194" s="6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60"/>
      <c r="B195" s="60"/>
      <c r="C195" s="8"/>
      <c r="D195" s="8"/>
      <c r="E195" s="60"/>
      <c r="F195" s="6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60"/>
      <c r="B196" s="60"/>
      <c r="C196" s="8"/>
      <c r="D196" s="8"/>
      <c r="E196" s="60"/>
      <c r="F196" s="6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60"/>
      <c r="B197" s="60"/>
      <c r="C197" s="8"/>
      <c r="D197" s="8"/>
      <c r="E197" s="60"/>
      <c r="F197" s="6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60"/>
      <c r="B198" s="60"/>
      <c r="C198" s="8"/>
      <c r="D198" s="8"/>
      <c r="E198" s="60"/>
      <c r="F198" s="6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60"/>
      <c r="B199" s="60"/>
      <c r="C199" s="8"/>
      <c r="D199" s="8"/>
      <c r="E199" s="60"/>
      <c r="F199" s="6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60"/>
      <c r="B200" s="60"/>
      <c r="C200" s="8"/>
      <c r="D200" s="8"/>
      <c r="E200" s="60"/>
      <c r="F200" s="6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60"/>
      <c r="B201" s="60"/>
      <c r="C201" s="8"/>
      <c r="D201" s="8"/>
      <c r="E201" s="60"/>
      <c r="F201" s="6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60"/>
      <c r="B202" s="60"/>
      <c r="C202" s="8"/>
      <c r="D202" s="8"/>
      <c r="E202" s="60"/>
      <c r="F202" s="6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60"/>
      <c r="B203" s="60"/>
      <c r="C203" s="8"/>
      <c r="D203" s="8"/>
      <c r="E203" s="60"/>
      <c r="F203" s="6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60"/>
      <c r="B204" s="60"/>
      <c r="C204" s="8"/>
      <c r="D204" s="8"/>
      <c r="E204" s="60"/>
      <c r="F204" s="6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60"/>
      <c r="B205" s="60"/>
      <c r="C205" s="8"/>
      <c r="D205" s="8"/>
      <c r="E205" s="60"/>
      <c r="F205" s="6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60"/>
      <c r="B206" s="60"/>
      <c r="C206" s="8"/>
      <c r="D206" s="8"/>
      <c r="E206" s="60"/>
      <c r="F206" s="6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60"/>
      <c r="B207" s="60"/>
      <c r="C207" s="8"/>
      <c r="D207" s="8"/>
      <c r="E207" s="60"/>
      <c r="F207" s="6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60"/>
      <c r="B208" s="60"/>
      <c r="C208" s="8"/>
      <c r="D208" s="8"/>
      <c r="E208" s="60"/>
      <c r="F208" s="6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60"/>
      <c r="B209" s="60"/>
      <c r="C209" s="8"/>
      <c r="D209" s="8"/>
      <c r="E209" s="60"/>
      <c r="F209" s="6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60"/>
      <c r="B210" s="60"/>
      <c r="C210" s="8"/>
      <c r="D210" s="8"/>
      <c r="E210" s="60"/>
      <c r="F210" s="6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60"/>
      <c r="B211" s="60"/>
      <c r="C211" s="8"/>
      <c r="D211" s="8"/>
      <c r="E211" s="60"/>
      <c r="F211" s="6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60"/>
      <c r="B212" s="60"/>
      <c r="C212" s="8"/>
      <c r="D212" s="8"/>
      <c r="E212" s="60"/>
      <c r="F212" s="6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60"/>
      <c r="B213" s="60"/>
      <c r="C213" s="8"/>
      <c r="D213" s="8"/>
      <c r="E213" s="60"/>
      <c r="F213" s="6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60"/>
      <c r="B214" s="60"/>
      <c r="C214" s="8"/>
      <c r="D214" s="8"/>
      <c r="E214" s="60"/>
      <c r="F214" s="6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60"/>
      <c r="B215" s="60"/>
      <c r="C215" s="8"/>
      <c r="D215" s="8"/>
      <c r="E215" s="60"/>
      <c r="F215" s="6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60"/>
      <c r="B216" s="60"/>
      <c r="C216" s="8"/>
      <c r="D216" s="8"/>
      <c r="E216" s="60"/>
      <c r="F216" s="6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60"/>
      <c r="B217" s="60"/>
      <c r="C217" s="8"/>
      <c r="D217" s="8"/>
      <c r="E217" s="60"/>
      <c r="F217" s="6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60"/>
      <c r="B218" s="60"/>
      <c r="C218" s="8"/>
      <c r="D218" s="8"/>
      <c r="E218" s="60"/>
      <c r="F218" s="6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60"/>
      <c r="B219" s="60"/>
      <c r="C219" s="8"/>
      <c r="D219" s="8"/>
      <c r="E219" s="60"/>
      <c r="F219" s="6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60"/>
      <c r="B220" s="60"/>
      <c r="C220" s="8"/>
      <c r="D220" s="8"/>
      <c r="E220" s="60"/>
      <c r="F220" s="6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60"/>
      <c r="B221" s="60"/>
      <c r="C221" s="8"/>
      <c r="D221" s="8"/>
      <c r="E221" s="60"/>
      <c r="F221" s="6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60"/>
      <c r="B222" s="60"/>
      <c r="C222" s="8"/>
      <c r="D222" s="8"/>
      <c r="E222" s="60"/>
      <c r="F222" s="6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60"/>
      <c r="B223" s="60"/>
      <c r="C223" s="8"/>
      <c r="D223" s="8"/>
      <c r="E223" s="60"/>
      <c r="F223" s="60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60"/>
      <c r="B224" s="60"/>
      <c r="C224" s="8"/>
      <c r="D224" s="8"/>
      <c r="E224" s="60"/>
      <c r="F224" s="6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60"/>
      <c r="B225" s="60"/>
      <c r="C225" s="8"/>
      <c r="D225" s="8"/>
      <c r="E225" s="60"/>
      <c r="F225" s="60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60"/>
      <c r="B226" s="60"/>
      <c r="C226" s="8"/>
      <c r="D226" s="8"/>
      <c r="E226" s="60"/>
      <c r="F226" s="60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60"/>
      <c r="B227" s="60"/>
      <c r="C227" s="8"/>
      <c r="D227" s="8"/>
      <c r="E227" s="60"/>
      <c r="F227" s="60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60"/>
      <c r="B228" s="60"/>
      <c r="C228" s="8"/>
      <c r="D228" s="8"/>
      <c r="E228" s="60"/>
      <c r="F228" s="60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60"/>
      <c r="B229" s="60"/>
      <c r="C229" s="8"/>
      <c r="D229" s="8"/>
      <c r="E229" s="60"/>
      <c r="F229" s="6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60"/>
      <c r="B230" s="60"/>
      <c r="C230" s="8"/>
      <c r="D230" s="8"/>
      <c r="E230" s="60"/>
      <c r="F230" s="60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60"/>
      <c r="B231" s="60"/>
      <c r="C231" s="8"/>
      <c r="D231" s="8"/>
      <c r="E231" s="60"/>
      <c r="F231" s="60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60"/>
      <c r="B232" s="60"/>
      <c r="C232" s="8"/>
      <c r="D232" s="8"/>
      <c r="E232" s="60"/>
      <c r="F232" s="60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60"/>
      <c r="B233" s="60"/>
      <c r="C233" s="8"/>
      <c r="D233" s="8"/>
      <c r="E233" s="60"/>
      <c r="F233" s="60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60"/>
      <c r="B234" s="60"/>
      <c r="C234" s="8"/>
      <c r="D234" s="8"/>
      <c r="E234" s="60"/>
      <c r="F234" s="60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60"/>
      <c r="B235" s="60"/>
      <c r="C235" s="8"/>
      <c r="D235" s="8"/>
      <c r="E235" s="60"/>
      <c r="F235" s="6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60"/>
      <c r="B236" s="60"/>
      <c r="C236" s="8"/>
      <c r="D236" s="8"/>
      <c r="E236" s="60"/>
      <c r="F236" s="60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60"/>
      <c r="B237" s="60"/>
      <c r="C237" s="8"/>
      <c r="D237" s="8"/>
      <c r="E237" s="60"/>
      <c r="F237" s="60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60"/>
      <c r="B238" s="60"/>
      <c r="C238" s="8"/>
      <c r="D238" s="8"/>
      <c r="E238" s="60"/>
      <c r="F238" s="60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60"/>
      <c r="B239" s="60"/>
      <c r="C239" s="8"/>
      <c r="D239" s="8"/>
      <c r="E239" s="60"/>
      <c r="F239" s="60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60"/>
      <c r="B240" s="60"/>
      <c r="C240" s="8"/>
      <c r="D240" s="8"/>
      <c r="E240" s="60"/>
      <c r="F240" s="60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60"/>
      <c r="B241" s="60"/>
      <c r="C241" s="8"/>
      <c r="D241" s="8"/>
      <c r="E241" s="60"/>
      <c r="F241" s="6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60"/>
      <c r="B242" s="60"/>
      <c r="C242" s="8"/>
      <c r="D242" s="8"/>
      <c r="E242" s="60"/>
      <c r="F242" s="60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60"/>
      <c r="B243" s="60"/>
      <c r="C243" s="8"/>
      <c r="D243" s="8"/>
      <c r="E243" s="60"/>
      <c r="F243" s="60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60"/>
      <c r="B244" s="60"/>
      <c r="C244" s="8"/>
      <c r="D244" s="8"/>
      <c r="E244" s="60"/>
      <c r="F244" s="60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60"/>
      <c r="B245" s="60"/>
      <c r="C245" s="8"/>
      <c r="D245" s="8"/>
      <c r="E245" s="60"/>
      <c r="F245" s="60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60"/>
      <c r="B246" s="60"/>
      <c r="C246" s="8"/>
      <c r="D246" s="8"/>
      <c r="E246" s="60"/>
      <c r="F246" s="60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60"/>
      <c r="B247" s="60"/>
      <c r="C247" s="8"/>
      <c r="D247" s="8"/>
      <c r="E247" s="60"/>
      <c r="F247" s="60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60"/>
      <c r="B248" s="60"/>
      <c r="C248" s="8"/>
      <c r="D248" s="8"/>
      <c r="E248" s="60"/>
      <c r="F248" s="60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60"/>
      <c r="B249" s="60"/>
      <c r="C249" s="8"/>
      <c r="D249" s="8"/>
      <c r="E249" s="60"/>
      <c r="F249" s="60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60"/>
      <c r="B250" s="60"/>
      <c r="C250" s="8"/>
      <c r="D250" s="8"/>
      <c r="E250" s="60"/>
      <c r="F250" s="60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60"/>
      <c r="B251" s="60"/>
      <c r="C251" s="8"/>
      <c r="D251" s="8"/>
      <c r="E251" s="60"/>
      <c r="F251" s="60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60"/>
      <c r="B252" s="60"/>
      <c r="C252" s="8"/>
      <c r="D252" s="8"/>
      <c r="E252" s="60"/>
      <c r="F252" s="60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60"/>
      <c r="B253" s="60"/>
      <c r="C253" s="8"/>
      <c r="D253" s="8"/>
      <c r="E253" s="60"/>
      <c r="F253" s="60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60"/>
      <c r="B254" s="60"/>
      <c r="C254" s="8"/>
      <c r="D254" s="8"/>
      <c r="E254" s="60"/>
      <c r="F254" s="60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60"/>
      <c r="B255" s="60"/>
      <c r="C255" s="8"/>
      <c r="D255" s="8"/>
      <c r="E255" s="60"/>
      <c r="F255" s="60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60"/>
      <c r="B256" s="60"/>
      <c r="C256" s="8"/>
      <c r="D256" s="8"/>
      <c r="E256" s="60"/>
      <c r="F256" s="60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60"/>
      <c r="B257" s="60"/>
      <c r="C257" s="8"/>
      <c r="D257" s="8"/>
      <c r="E257" s="60"/>
      <c r="F257" s="60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60"/>
      <c r="B258" s="60"/>
      <c r="C258" s="8"/>
      <c r="D258" s="8"/>
      <c r="E258" s="60"/>
      <c r="F258" s="60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60"/>
      <c r="B259" s="60"/>
      <c r="C259" s="8"/>
      <c r="D259" s="8"/>
      <c r="E259" s="60"/>
      <c r="F259" s="60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60"/>
      <c r="B260" s="60"/>
      <c r="C260" s="8"/>
      <c r="D260" s="8"/>
      <c r="E260" s="60"/>
      <c r="F260" s="60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60"/>
      <c r="B261" s="60"/>
      <c r="C261" s="8"/>
      <c r="D261" s="8"/>
      <c r="E261" s="60"/>
      <c r="F261" s="60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60"/>
      <c r="B262" s="60"/>
      <c r="C262" s="8"/>
      <c r="D262" s="8"/>
      <c r="E262" s="60"/>
      <c r="F262" s="6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60"/>
      <c r="B263" s="60"/>
      <c r="C263" s="8"/>
      <c r="D263" s="8"/>
      <c r="E263" s="60"/>
      <c r="F263" s="60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60"/>
      <c r="B264" s="60"/>
      <c r="C264" s="8"/>
      <c r="D264" s="8"/>
      <c r="E264" s="60"/>
      <c r="F264" s="60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60"/>
      <c r="B265" s="60"/>
      <c r="C265" s="8"/>
      <c r="D265" s="8"/>
      <c r="E265" s="60"/>
      <c r="F265" s="60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60"/>
      <c r="B266" s="60"/>
      <c r="C266" s="8"/>
      <c r="D266" s="8"/>
      <c r="E266" s="60"/>
      <c r="F266" s="60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60"/>
      <c r="B267" s="60"/>
      <c r="C267" s="8"/>
      <c r="D267" s="8"/>
      <c r="E267" s="60"/>
      <c r="F267" s="60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60"/>
      <c r="B268" s="60"/>
      <c r="C268" s="8"/>
      <c r="D268" s="8"/>
      <c r="E268" s="60"/>
      <c r="F268" s="60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60"/>
      <c r="B269" s="60"/>
      <c r="C269" s="8"/>
      <c r="D269" s="8"/>
      <c r="E269" s="60"/>
      <c r="F269" s="60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60"/>
      <c r="B270" s="60"/>
      <c r="C270" s="8"/>
      <c r="D270" s="8"/>
      <c r="E270" s="60"/>
      <c r="F270" s="60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60"/>
      <c r="B271" s="60"/>
      <c r="C271" s="8"/>
      <c r="D271" s="8"/>
      <c r="E271" s="60"/>
      <c r="F271" s="60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60"/>
      <c r="B272" s="60"/>
      <c r="C272" s="8"/>
      <c r="D272" s="8"/>
      <c r="E272" s="60"/>
      <c r="F272" s="60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60"/>
      <c r="B273" s="60"/>
      <c r="C273" s="8"/>
      <c r="D273" s="8"/>
      <c r="E273" s="60"/>
      <c r="F273" s="60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60"/>
      <c r="B274" s="60"/>
      <c r="C274" s="8"/>
      <c r="D274" s="8"/>
      <c r="E274" s="60"/>
      <c r="F274" s="60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60"/>
      <c r="B275" s="60"/>
      <c r="C275" s="8"/>
      <c r="D275" s="8"/>
      <c r="E275" s="60"/>
      <c r="F275" s="60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60"/>
      <c r="B276" s="60"/>
      <c r="C276" s="8"/>
      <c r="D276" s="8"/>
      <c r="E276" s="60"/>
      <c r="F276" s="60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60"/>
      <c r="B277" s="60"/>
      <c r="C277" s="8"/>
      <c r="D277" s="8"/>
      <c r="E277" s="60"/>
      <c r="F277" s="60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60"/>
      <c r="B278" s="60"/>
      <c r="C278" s="8"/>
      <c r="D278" s="8"/>
      <c r="E278" s="60"/>
      <c r="F278" s="60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60"/>
      <c r="B279" s="60"/>
      <c r="C279" s="8"/>
      <c r="D279" s="8"/>
      <c r="E279" s="60"/>
      <c r="F279" s="60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60"/>
      <c r="B280" s="60"/>
      <c r="C280" s="8"/>
      <c r="D280" s="8"/>
      <c r="E280" s="60"/>
      <c r="F280" s="60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60"/>
      <c r="B281" s="60"/>
      <c r="C281" s="8"/>
      <c r="D281" s="8"/>
      <c r="E281" s="60"/>
      <c r="F281" s="60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60"/>
      <c r="B282" s="60"/>
      <c r="C282" s="8"/>
      <c r="D282" s="8"/>
      <c r="E282" s="60"/>
      <c r="F282" s="60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60"/>
      <c r="B283" s="60"/>
      <c r="C283" s="8"/>
      <c r="D283" s="8"/>
      <c r="E283" s="60"/>
      <c r="F283" s="60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60"/>
      <c r="B284" s="60"/>
      <c r="C284" s="8"/>
      <c r="D284" s="8"/>
      <c r="E284" s="60"/>
      <c r="F284" s="60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60"/>
      <c r="B285" s="60"/>
      <c r="C285" s="8"/>
      <c r="D285" s="8"/>
      <c r="E285" s="60"/>
      <c r="F285" s="60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60"/>
      <c r="B286" s="60"/>
      <c r="C286" s="8"/>
      <c r="D286" s="8"/>
      <c r="E286" s="60"/>
      <c r="F286" s="60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60"/>
      <c r="B287" s="60"/>
      <c r="C287" s="8"/>
      <c r="D287" s="8"/>
      <c r="E287" s="60"/>
      <c r="F287" s="60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60"/>
      <c r="B288" s="60"/>
      <c r="C288" s="8"/>
      <c r="D288" s="8"/>
      <c r="E288" s="60"/>
      <c r="F288" s="60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60"/>
      <c r="B289" s="60"/>
      <c r="C289" s="8"/>
      <c r="D289" s="8"/>
      <c r="E289" s="60"/>
      <c r="F289" s="60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60"/>
      <c r="B290" s="60"/>
      <c r="C290" s="8"/>
      <c r="D290" s="8"/>
      <c r="E290" s="60"/>
      <c r="F290" s="60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60"/>
      <c r="B291" s="60"/>
      <c r="C291" s="8"/>
      <c r="D291" s="8"/>
      <c r="E291" s="60"/>
      <c r="F291" s="60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60"/>
      <c r="B292" s="60"/>
      <c r="C292" s="8"/>
      <c r="D292" s="8"/>
      <c r="E292" s="60"/>
      <c r="F292" s="60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60"/>
      <c r="B293" s="60"/>
      <c r="C293" s="8"/>
      <c r="D293" s="8"/>
      <c r="E293" s="60"/>
      <c r="F293" s="60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60"/>
      <c r="B294" s="60"/>
      <c r="C294" s="8"/>
      <c r="D294" s="8"/>
      <c r="E294" s="60"/>
      <c r="F294" s="60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60"/>
      <c r="B295" s="60"/>
      <c r="C295" s="8"/>
      <c r="D295" s="8"/>
      <c r="E295" s="60"/>
      <c r="F295" s="60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60"/>
      <c r="B296" s="60"/>
      <c r="C296" s="8"/>
      <c r="D296" s="8"/>
      <c r="E296" s="60"/>
      <c r="F296" s="60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60"/>
      <c r="B297" s="60"/>
      <c r="C297" s="8"/>
      <c r="D297" s="8"/>
      <c r="E297" s="60"/>
      <c r="F297" s="60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60"/>
      <c r="B298" s="60"/>
      <c r="C298" s="8"/>
      <c r="D298" s="8"/>
      <c r="E298" s="60"/>
      <c r="F298" s="60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60"/>
      <c r="B299" s="60"/>
      <c r="C299" s="8"/>
      <c r="D299" s="8"/>
      <c r="E299" s="60"/>
      <c r="F299" s="60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60"/>
      <c r="B300" s="60"/>
      <c r="C300" s="8"/>
      <c r="D300" s="8"/>
      <c r="E300" s="60"/>
      <c r="F300" s="60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60"/>
      <c r="B301" s="60"/>
      <c r="C301" s="8"/>
      <c r="D301" s="8"/>
      <c r="E301" s="60"/>
      <c r="F301" s="60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60"/>
      <c r="B302" s="60"/>
      <c r="C302" s="8"/>
      <c r="D302" s="8"/>
      <c r="E302" s="60"/>
      <c r="F302" s="60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60"/>
      <c r="B303" s="60"/>
      <c r="C303" s="8"/>
      <c r="D303" s="8"/>
      <c r="E303" s="60"/>
      <c r="F303" s="6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60"/>
      <c r="B304" s="60"/>
      <c r="C304" s="8"/>
      <c r="D304" s="8"/>
      <c r="E304" s="60"/>
      <c r="F304" s="60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60"/>
      <c r="B305" s="60"/>
      <c r="C305" s="8"/>
      <c r="D305" s="8"/>
      <c r="E305" s="60"/>
      <c r="F305" s="60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60"/>
      <c r="B306" s="60"/>
      <c r="C306" s="8"/>
      <c r="D306" s="8"/>
      <c r="E306" s="60"/>
      <c r="F306" s="60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60"/>
      <c r="B307" s="60"/>
      <c r="C307" s="8"/>
      <c r="D307" s="8"/>
      <c r="E307" s="60"/>
      <c r="F307" s="60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60"/>
      <c r="B308" s="60"/>
      <c r="C308" s="8"/>
      <c r="D308" s="8"/>
      <c r="E308" s="60"/>
      <c r="F308" s="60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60"/>
      <c r="B309" s="60"/>
      <c r="C309" s="8"/>
      <c r="D309" s="8"/>
      <c r="E309" s="60"/>
      <c r="F309" s="60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60"/>
      <c r="B310" s="60"/>
      <c r="C310" s="8"/>
      <c r="D310" s="8"/>
      <c r="E310" s="60"/>
      <c r="F310" s="60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60"/>
      <c r="B311" s="60"/>
      <c r="C311" s="8"/>
      <c r="D311" s="8"/>
      <c r="E311" s="60"/>
      <c r="F311" s="60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60"/>
      <c r="B312" s="60"/>
      <c r="C312" s="8"/>
      <c r="D312" s="8"/>
      <c r="E312" s="60"/>
      <c r="F312" s="60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60"/>
      <c r="B313" s="60"/>
      <c r="C313" s="8"/>
      <c r="D313" s="8"/>
      <c r="E313" s="60"/>
      <c r="F313" s="60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60"/>
      <c r="B314" s="60"/>
      <c r="C314" s="8"/>
      <c r="D314" s="8"/>
      <c r="E314" s="60"/>
      <c r="F314" s="60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60"/>
      <c r="B315" s="60"/>
      <c r="C315" s="8"/>
      <c r="D315" s="8"/>
      <c r="E315" s="60"/>
      <c r="F315" s="60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60"/>
      <c r="B316" s="60"/>
      <c r="C316" s="8"/>
      <c r="D316" s="8"/>
      <c r="E316" s="60"/>
      <c r="F316" s="60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60"/>
      <c r="B317" s="60"/>
      <c r="C317" s="8"/>
      <c r="D317" s="8"/>
      <c r="E317" s="60"/>
      <c r="F317" s="60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60"/>
      <c r="B318" s="60"/>
      <c r="C318" s="8"/>
      <c r="D318" s="8"/>
      <c r="E318" s="60"/>
      <c r="F318" s="60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60"/>
      <c r="B319" s="60"/>
      <c r="C319" s="8"/>
      <c r="D319" s="8"/>
      <c r="E319" s="60"/>
      <c r="F319" s="60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60"/>
      <c r="B320" s="60"/>
      <c r="C320" s="8"/>
      <c r="D320" s="8"/>
      <c r="E320" s="60"/>
      <c r="F320" s="60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60"/>
      <c r="B321" s="60"/>
      <c r="C321" s="8"/>
      <c r="D321" s="8"/>
      <c r="E321" s="60"/>
      <c r="F321" s="60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60"/>
      <c r="B322" s="60"/>
      <c r="C322" s="8"/>
      <c r="D322" s="8"/>
      <c r="E322" s="60"/>
      <c r="F322" s="60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60"/>
      <c r="B323" s="60"/>
      <c r="C323" s="8"/>
      <c r="D323" s="8"/>
      <c r="E323" s="60"/>
      <c r="F323" s="60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60"/>
      <c r="B324" s="60"/>
      <c r="C324" s="8"/>
      <c r="D324" s="8"/>
      <c r="E324" s="60"/>
      <c r="F324" s="60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60"/>
      <c r="B325" s="60"/>
      <c r="C325" s="8"/>
      <c r="D325" s="8"/>
      <c r="E325" s="60"/>
      <c r="F325" s="60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60"/>
      <c r="B326" s="60"/>
      <c r="C326" s="8"/>
      <c r="D326" s="8"/>
      <c r="E326" s="60"/>
      <c r="F326" s="60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60"/>
      <c r="B327" s="60"/>
      <c r="C327" s="8"/>
      <c r="D327" s="8"/>
      <c r="E327" s="60"/>
      <c r="F327" s="60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60"/>
      <c r="B328" s="60"/>
      <c r="C328" s="8"/>
      <c r="D328" s="8"/>
      <c r="E328" s="60"/>
      <c r="F328" s="60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60"/>
      <c r="B329" s="60"/>
      <c r="C329" s="8"/>
      <c r="D329" s="8"/>
      <c r="E329" s="60"/>
      <c r="F329" s="60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60"/>
      <c r="B330" s="60"/>
      <c r="C330" s="8"/>
      <c r="D330" s="8"/>
      <c r="E330" s="60"/>
      <c r="F330" s="60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60"/>
      <c r="B331" s="60"/>
      <c r="C331" s="8"/>
      <c r="D331" s="8"/>
      <c r="E331" s="60"/>
      <c r="F331" s="60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60"/>
      <c r="B332" s="60"/>
      <c r="C332" s="8"/>
      <c r="D332" s="8"/>
      <c r="E332" s="60"/>
      <c r="F332" s="60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60"/>
      <c r="B333" s="60"/>
      <c r="C333" s="8"/>
      <c r="D333" s="8"/>
      <c r="E333" s="60"/>
      <c r="F333" s="60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60"/>
      <c r="B334" s="60"/>
      <c r="C334" s="8"/>
      <c r="D334" s="8"/>
      <c r="E334" s="60"/>
      <c r="F334" s="60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60"/>
      <c r="B335" s="60"/>
      <c r="C335" s="8"/>
      <c r="D335" s="8"/>
      <c r="E335" s="60"/>
      <c r="F335" s="60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60"/>
      <c r="B336" s="60"/>
      <c r="C336" s="8"/>
      <c r="D336" s="8"/>
      <c r="E336" s="60"/>
      <c r="F336" s="60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60"/>
      <c r="B337" s="60"/>
      <c r="C337" s="8"/>
      <c r="D337" s="8"/>
      <c r="E337" s="60"/>
      <c r="F337" s="60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60"/>
      <c r="B338" s="60"/>
      <c r="C338" s="8"/>
      <c r="D338" s="8"/>
      <c r="E338" s="60"/>
      <c r="F338" s="60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60"/>
      <c r="B339" s="60"/>
      <c r="C339" s="8"/>
      <c r="D339" s="8"/>
      <c r="E339" s="60"/>
      <c r="F339" s="60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60"/>
      <c r="B340" s="60"/>
      <c r="C340" s="8"/>
      <c r="D340" s="8"/>
      <c r="E340" s="60"/>
      <c r="F340" s="60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60"/>
      <c r="B341" s="60"/>
      <c r="C341" s="8"/>
      <c r="D341" s="8"/>
      <c r="E341" s="60"/>
      <c r="F341" s="60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60"/>
      <c r="B342" s="60"/>
      <c r="C342" s="8"/>
      <c r="D342" s="8"/>
      <c r="E342" s="60"/>
      <c r="F342" s="60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60"/>
      <c r="B343" s="60"/>
      <c r="C343" s="8"/>
      <c r="D343" s="8"/>
      <c r="E343" s="60"/>
      <c r="F343" s="60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60"/>
      <c r="B344" s="60"/>
      <c r="C344" s="8"/>
      <c r="D344" s="8"/>
      <c r="E344" s="60"/>
      <c r="F344" s="60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60"/>
      <c r="B345" s="60"/>
      <c r="C345" s="8"/>
      <c r="D345" s="8"/>
      <c r="E345" s="60"/>
      <c r="F345" s="60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60"/>
      <c r="B346" s="60"/>
      <c r="C346" s="8"/>
      <c r="D346" s="8"/>
      <c r="E346" s="60"/>
      <c r="F346" s="60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60"/>
      <c r="B347" s="60"/>
      <c r="C347" s="8"/>
      <c r="D347" s="8"/>
      <c r="E347" s="60"/>
      <c r="F347" s="60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60"/>
      <c r="B348" s="60"/>
      <c r="C348" s="8"/>
      <c r="D348" s="8"/>
      <c r="E348" s="60"/>
      <c r="F348" s="60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60"/>
      <c r="B349" s="60"/>
      <c r="C349" s="8"/>
      <c r="D349" s="8"/>
      <c r="E349" s="60"/>
      <c r="F349" s="60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60"/>
      <c r="B350" s="60"/>
      <c r="C350" s="8"/>
      <c r="D350" s="8"/>
      <c r="E350" s="60"/>
      <c r="F350" s="60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60"/>
      <c r="B351" s="60"/>
      <c r="C351" s="8"/>
      <c r="D351" s="8"/>
      <c r="E351" s="60"/>
      <c r="F351" s="60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60"/>
      <c r="B352" s="60"/>
      <c r="C352" s="8"/>
      <c r="D352" s="8"/>
      <c r="E352" s="60"/>
      <c r="F352" s="60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60"/>
      <c r="B353" s="60"/>
      <c r="C353" s="8"/>
      <c r="D353" s="8"/>
      <c r="E353" s="60"/>
      <c r="F353" s="60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60"/>
      <c r="B354" s="60"/>
      <c r="C354" s="8"/>
      <c r="D354" s="8"/>
      <c r="E354" s="60"/>
      <c r="F354" s="60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60"/>
      <c r="B355" s="60"/>
      <c r="C355" s="8"/>
      <c r="D355" s="8"/>
      <c r="E355" s="60"/>
      <c r="F355" s="60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60"/>
      <c r="B356" s="60"/>
      <c r="C356" s="8"/>
      <c r="D356" s="8"/>
      <c r="E356" s="60"/>
      <c r="F356" s="60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60"/>
      <c r="B357" s="60"/>
      <c r="C357" s="8"/>
      <c r="D357" s="8"/>
      <c r="E357" s="60"/>
      <c r="F357" s="60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60"/>
      <c r="B358" s="60"/>
      <c r="C358" s="8"/>
      <c r="D358" s="8"/>
      <c r="E358" s="60"/>
      <c r="F358" s="60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60"/>
      <c r="B359" s="60"/>
      <c r="C359" s="8"/>
      <c r="D359" s="8"/>
      <c r="E359" s="60"/>
      <c r="F359" s="60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60"/>
      <c r="B360" s="60"/>
      <c r="C360" s="8"/>
      <c r="D360" s="8"/>
      <c r="E360" s="60"/>
      <c r="F360" s="60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60"/>
      <c r="B361" s="60"/>
      <c r="C361" s="8"/>
      <c r="D361" s="8"/>
      <c r="E361" s="60"/>
      <c r="F361" s="60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60"/>
      <c r="B362" s="60"/>
      <c r="C362" s="8"/>
      <c r="D362" s="8"/>
      <c r="E362" s="60"/>
      <c r="F362" s="60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60"/>
      <c r="B363" s="60"/>
      <c r="C363" s="8"/>
      <c r="D363" s="8"/>
      <c r="E363" s="60"/>
      <c r="F363" s="60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60"/>
      <c r="B364" s="60"/>
      <c r="C364" s="8"/>
      <c r="D364" s="8"/>
      <c r="E364" s="60"/>
      <c r="F364" s="60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60"/>
      <c r="B365" s="60"/>
      <c r="C365" s="8"/>
      <c r="D365" s="8"/>
      <c r="E365" s="60"/>
      <c r="F365" s="60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60"/>
      <c r="B366" s="60"/>
      <c r="C366" s="8"/>
      <c r="D366" s="8"/>
      <c r="E366" s="60"/>
      <c r="F366" s="60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60"/>
      <c r="B367" s="60"/>
      <c r="C367" s="8"/>
      <c r="D367" s="8"/>
      <c r="E367" s="60"/>
      <c r="F367" s="60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60"/>
      <c r="B368" s="60"/>
      <c r="C368" s="8"/>
      <c r="D368" s="8"/>
      <c r="E368" s="60"/>
      <c r="F368" s="60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60"/>
      <c r="B369" s="60"/>
      <c r="C369" s="8"/>
      <c r="D369" s="8"/>
      <c r="E369" s="60"/>
      <c r="F369" s="60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60"/>
      <c r="B370" s="60"/>
      <c r="C370" s="8"/>
      <c r="D370" s="8"/>
      <c r="E370" s="60"/>
      <c r="F370" s="60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60"/>
      <c r="B371" s="60"/>
      <c r="C371" s="8"/>
      <c r="D371" s="8"/>
      <c r="E371" s="60"/>
      <c r="F371" s="60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60"/>
      <c r="B372" s="60"/>
      <c r="C372" s="8"/>
      <c r="D372" s="8"/>
      <c r="E372" s="60"/>
      <c r="F372" s="60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60"/>
      <c r="B373" s="60"/>
      <c r="C373" s="8"/>
      <c r="D373" s="8"/>
      <c r="E373" s="60"/>
      <c r="F373" s="60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60"/>
      <c r="B374" s="60"/>
      <c r="C374" s="8"/>
      <c r="D374" s="8"/>
      <c r="E374" s="60"/>
      <c r="F374" s="60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60"/>
      <c r="B375" s="60"/>
      <c r="C375" s="8"/>
      <c r="D375" s="8"/>
      <c r="E375" s="60"/>
      <c r="F375" s="6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60"/>
      <c r="B376" s="60"/>
      <c r="C376" s="8"/>
      <c r="D376" s="8"/>
      <c r="E376" s="60"/>
      <c r="F376" s="60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60"/>
      <c r="B377" s="60"/>
      <c r="C377" s="8"/>
      <c r="D377" s="8"/>
      <c r="E377" s="60"/>
      <c r="F377" s="60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60"/>
      <c r="B378" s="60"/>
      <c r="C378" s="8"/>
      <c r="D378" s="8"/>
      <c r="E378" s="60"/>
      <c r="F378" s="60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60"/>
      <c r="B379" s="60"/>
      <c r="C379" s="8"/>
      <c r="D379" s="8"/>
      <c r="E379" s="60"/>
      <c r="F379" s="60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60"/>
      <c r="B380" s="60"/>
      <c r="C380" s="8"/>
      <c r="D380" s="8"/>
      <c r="E380" s="60"/>
      <c r="F380" s="60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60"/>
      <c r="B381" s="60"/>
      <c r="C381" s="8"/>
      <c r="D381" s="8"/>
      <c r="E381" s="60"/>
      <c r="F381" s="60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60"/>
      <c r="B382" s="60"/>
      <c r="C382" s="8"/>
      <c r="D382" s="8"/>
      <c r="E382" s="60"/>
      <c r="F382" s="60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60"/>
      <c r="B383" s="60"/>
      <c r="C383" s="8"/>
      <c r="D383" s="8"/>
      <c r="E383" s="60"/>
      <c r="F383" s="60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60"/>
      <c r="B384" s="60"/>
      <c r="C384" s="8"/>
      <c r="D384" s="8"/>
      <c r="E384" s="60"/>
      <c r="F384" s="60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60"/>
      <c r="B385" s="60"/>
      <c r="C385" s="8"/>
      <c r="D385" s="8"/>
      <c r="E385" s="60"/>
      <c r="F385" s="60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60"/>
      <c r="B386" s="60"/>
      <c r="C386" s="8"/>
      <c r="D386" s="8"/>
      <c r="E386" s="60"/>
      <c r="F386" s="60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60"/>
      <c r="B387" s="60"/>
      <c r="C387" s="8"/>
      <c r="D387" s="8"/>
      <c r="E387" s="60"/>
      <c r="F387" s="60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60"/>
      <c r="B388" s="60"/>
      <c r="C388" s="8"/>
      <c r="D388" s="8"/>
      <c r="E388" s="60"/>
      <c r="F388" s="60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60"/>
      <c r="B389" s="60"/>
      <c r="C389" s="8"/>
      <c r="D389" s="8"/>
      <c r="E389" s="60"/>
      <c r="F389" s="60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60"/>
      <c r="B390" s="60"/>
      <c r="C390" s="8"/>
      <c r="D390" s="8"/>
      <c r="E390" s="60"/>
      <c r="F390" s="60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60"/>
      <c r="B391" s="60"/>
      <c r="C391" s="8"/>
      <c r="D391" s="8"/>
      <c r="E391" s="60"/>
      <c r="F391" s="60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60"/>
      <c r="B392" s="60"/>
      <c r="C392" s="8"/>
      <c r="D392" s="8"/>
      <c r="E392" s="60"/>
      <c r="F392" s="60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60"/>
      <c r="B393" s="60"/>
      <c r="C393" s="8"/>
      <c r="D393" s="8"/>
      <c r="E393" s="60"/>
      <c r="F393" s="60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60"/>
      <c r="B394" s="60"/>
      <c r="C394" s="8"/>
      <c r="D394" s="8"/>
      <c r="E394" s="60"/>
      <c r="F394" s="60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60"/>
      <c r="B395" s="60"/>
      <c r="C395" s="8"/>
      <c r="D395" s="8"/>
      <c r="E395" s="60"/>
      <c r="F395" s="60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60"/>
      <c r="B396" s="60"/>
      <c r="C396" s="8"/>
      <c r="D396" s="8"/>
      <c r="E396" s="60"/>
      <c r="F396" s="60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60"/>
      <c r="B397" s="60"/>
      <c r="C397" s="8"/>
      <c r="D397" s="8"/>
      <c r="E397" s="60"/>
      <c r="F397" s="60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60"/>
      <c r="B398" s="60"/>
      <c r="C398" s="8"/>
      <c r="D398" s="8"/>
      <c r="E398" s="60"/>
      <c r="F398" s="60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60"/>
      <c r="B399" s="60"/>
      <c r="C399" s="8"/>
      <c r="D399" s="8"/>
      <c r="E399" s="60"/>
      <c r="F399" s="60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60"/>
      <c r="B400" s="60"/>
      <c r="C400" s="8"/>
      <c r="D400" s="8"/>
      <c r="E400" s="60"/>
      <c r="F400" s="60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60"/>
      <c r="B401" s="60"/>
      <c r="C401" s="8"/>
      <c r="D401" s="8"/>
      <c r="E401" s="60"/>
      <c r="F401" s="60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60"/>
      <c r="B402" s="60"/>
      <c r="C402" s="8"/>
      <c r="D402" s="8"/>
      <c r="E402" s="60"/>
      <c r="F402" s="60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60"/>
      <c r="B403" s="60"/>
      <c r="C403" s="8"/>
      <c r="D403" s="8"/>
      <c r="E403" s="60"/>
      <c r="F403" s="60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60"/>
      <c r="B404" s="60"/>
      <c r="C404" s="8"/>
      <c r="D404" s="8"/>
      <c r="E404" s="60"/>
      <c r="F404" s="60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60"/>
      <c r="B405" s="60"/>
      <c r="C405" s="8"/>
      <c r="D405" s="8"/>
      <c r="E405" s="60"/>
      <c r="F405" s="60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60"/>
      <c r="B406" s="60"/>
      <c r="C406" s="8"/>
      <c r="D406" s="8"/>
      <c r="E406" s="60"/>
      <c r="F406" s="60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60"/>
      <c r="B407" s="60"/>
      <c r="C407" s="8"/>
      <c r="D407" s="8"/>
      <c r="E407" s="60"/>
      <c r="F407" s="60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60"/>
      <c r="B408" s="60"/>
      <c r="C408" s="8"/>
      <c r="D408" s="8"/>
      <c r="E408" s="60"/>
      <c r="F408" s="60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60"/>
      <c r="B409" s="60"/>
      <c r="C409" s="8"/>
      <c r="D409" s="8"/>
      <c r="E409" s="60"/>
      <c r="F409" s="60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60"/>
      <c r="B410" s="60"/>
      <c r="C410" s="8"/>
      <c r="D410" s="8"/>
      <c r="E410" s="60"/>
      <c r="F410" s="60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60"/>
      <c r="B411" s="60"/>
      <c r="C411" s="8"/>
      <c r="D411" s="8"/>
      <c r="E411" s="60"/>
      <c r="F411" s="60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60"/>
      <c r="B412" s="60"/>
      <c r="C412" s="8"/>
      <c r="D412" s="8"/>
      <c r="E412" s="60"/>
      <c r="F412" s="60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60"/>
      <c r="B413" s="60"/>
      <c r="C413" s="8"/>
      <c r="D413" s="8"/>
      <c r="E413" s="60"/>
      <c r="F413" s="60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60"/>
      <c r="B414" s="60"/>
      <c r="C414" s="8"/>
      <c r="D414" s="8"/>
      <c r="E414" s="60"/>
      <c r="F414" s="60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60"/>
      <c r="B415" s="60"/>
      <c r="C415" s="8"/>
      <c r="D415" s="8"/>
      <c r="E415" s="60"/>
      <c r="F415" s="60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60"/>
      <c r="B416" s="60"/>
      <c r="C416" s="8"/>
      <c r="D416" s="8"/>
      <c r="E416" s="60"/>
      <c r="F416" s="60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60"/>
      <c r="B417" s="60"/>
      <c r="C417" s="8"/>
      <c r="D417" s="8"/>
      <c r="E417" s="60"/>
      <c r="F417" s="60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60"/>
      <c r="B418" s="60"/>
      <c r="C418" s="8"/>
      <c r="D418" s="8"/>
      <c r="E418" s="60"/>
      <c r="F418" s="60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60"/>
      <c r="B419" s="60"/>
      <c r="C419" s="8"/>
      <c r="D419" s="8"/>
      <c r="E419" s="60"/>
      <c r="F419" s="60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60"/>
      <c r="B420" s="60"/>
      <c r="C420" s="8"/>
      <c r="D420" s="8"/>
      <c r="E420" s="60"/>
      <c r="F420" s="60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60"/>
      <c r="B421" s="60"/>
      <c r="C421" s="8"/>
      <c r="D421" s="8"/>
      <c r="E421" s="60"/>
      <c r="F421" s="60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60"/>
      <c r="B422" s="60"/>
      <c r="C422" s="8"/>
      <c r="D422" s="8"/>
      <c r="E422" s="60"/>
      <c r="F422" s="60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60"/>
      <c r="B423" s="60"/>
      <c r="C423" s="8"/>
      <c r="D423" s="8"/>
      <c r="E423" s="60"/>
      <c r="F423" s="60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60"/>
      <c r="B424" s="60"/>
      <c r="C424" s="8"/>
      <c r="D424" s="8"/>
      <c r="E424" s="60"/>
      <c r="F424" s="60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60"/>
      <c r="B425" s="60"/>
      <c r="C425" s="8"/>
      <c r="D425" s="8"/>
      <c r="E425" s="60"/>
      <c r="F425" s="60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60"/>
      <c r="B426" s="60"/>
      <c r="C426" s="8"/>
      <c r="D426" s="8"/>
      <c r="E426" s="60"/>
      <c r="F426" s="60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60"/>
      <c r="B427" s="60"/>
      <c r="C427" s="8"/>
      <c r="D427" s="8"/>
      <c r="E427" s="60"/>
      <c r="F427" s="60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60"/>
      <c r="B428" s="60"/>
      <c r="C428" s="8"/>
      <c r="D428" s="8"/>
      <c r="E428" s="60"/>
      <c r="F428" s="60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60"/>
      <c r="B429" s="60"/>
      <c r="C429" s="8"/>
      <c r="D429" s="8"/>
      <c r="E429" s="60"/>
      <c r="F429" s="60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60"/>
      <c r="B430" s="60"/>
      <c r="C430" s="8"/>
      <c r="D430" s="8"/>
      <c r="E430" s="60"/>
      <c r="F430" s="60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60"/>
      <c r="B431" s="60"/>
      <c r="C431" s="8"/>
      <c r="D431" s="8"/>
      <c r="E431" s="60"/>
      <c r="F431" s="60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60"/>
      <c r="B432" s="60"/>
      <c r="C432" s="8"/>
      <c r="D432" s="8"/>
      <c r="E432" s="60"/>
      <c r="F432" s="60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60"/>
      <c r="B433" s="60"/>
      <c r="C433" s="8"/>
      <c r="D433" s="8"/>
      <c r="E433" s="60"/>
      <c r="F433" s="60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60"/>
      <c r="B434" s="60"/>
      <c r="C434" s="8"/>
      <c r="D434" s="8"/>
      <c r="E434" s="60"/>
      <c r="F434" s="60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60"/>
      <c r="B435" s="60"/>
      <c r="C435" s="8"/>
      <c r="D435" s="8"/>
      <c r="E435" s="60"/>
      <c r="F435" s="60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60"/>
      <c r="B436" s="60"/>
      <c r="C436" s="8"/>
      <c r="D436" s="8"/>
      <c r="E436" s="60"/>
      <c r="F436" s="60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60"/>
      <c r="B437" s="60"/>
      <c r="C437" s="8"/>
      <c r="D437" s="8"/>
      <c r="E437" s="60"/>
      <c r="F437" s="60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60"/>
      <c r="B438" s="60"/>
      <c r="C438" s="8"/>
      <c r="D438" s="8"/>
      <c r="E438" s="60"/>
      <c r="F438" s="60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60"/>
      <c r="B439" s="60"/>
      <c r="C439" s="8"/>
      <c r="D439" s="8"/>
      <c r="E439" s="60"/>
      <c r="F439" s="60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60"/>
      <c r="B440" s="60"/>
      <c r="C440" s="8"/>
      <c r="D440" s="8"/>
      <c r="E440" s="60"/>
      <c r="F440" s="60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60"/>
      <c r="B441" s="60"/>
      <c r="C441" s="8"/>
      <c r="D441" s="8"/>
      <c r="E441" s="60"/>
      <c r="F441" s="60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60"/>
      <c r="B442" s="60"/>
      <c r="C442" s="8"/>
      <c r="D442" s="8"/>
      <c r="E442" s="60"/>
      <c r="F442" s="60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60"/>
      <c r="B443" s="60"/>
      <c r="C443" s="8"/>
      <c r="D443" s="8"/>
      <c r="E443" s="60"/>
      <c r="F443" s="60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60"/>
      <c r="B444" s="60"/>
      <c r="C444" s="8"/>
      <c r="D444" s="8"/>
      <c r="E444" s="60"/>
      <c r="F444" s="60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60"/>
      <c r="B445" s="60"/>
      <c r="C445" s="8"/>
      <c r="D445" s="8"/>
      <c r="E445" s="60"/>
      <c r="F445" s="60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60"/>
      <c r="B446" s="60"/>
      <c r="C446" s="8"/>
      <c r="D446" s="8"/>
      <c r="E446" s="60"/>
      <c r="F446" s="60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60"/>
      <c r="B447" s="60"/>
      <c r="C447" s="8"/>
      <c r="D447" s="8"/>
      <c r="E447" s="60"/>
      <c r="F447" s="60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60"/>
      <c r="B448" s="60"/>
      <c r="C448" s="8"/>
      <c r="D448" s="8"/>
      <c r="E448" s="60"/>
      <c r="F448" s="60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60"/>
      <c r="B449" s="60"/>
      <c r="C449" s="8"/>
      <c r="D449" s="8"/>
      <c r="E449" s="60"/>
      <c r="F449" s="60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60"/>
      <c r="B450" s="60"/>
      <c r="C450" s="8"/>
      <c r="D450" s="8"/>
      <c r="E450" s="60"/>
      <c r="F450" s="60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60"/>
      <c r="B451" s="60"/>
      <c r="C451" s="8"/>
      <c r="D451" s="8"/>
      <c r="E451" s="60"/>
      <c r="F451" s="60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60"/>
      <c r="B452" s="60"/>
      <c r="C452" s="8"/>
      <c r="D452" s="8"/>
      <c r="E452" s="60"/>
      <c r="F452" s="60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60"/>
      <c r="B453" s="60"/>
      <c r="C453" s="8"/>
      <c r="D453" s="8"/>
      <c r="E453" s="60"/>
      <c r="F453" s="60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60"/>
      <c r="B454" s="60"/>
      <c r="C454" s="8"/>
      <c r="D454" s="8"/>
      <c r="E454" s="60"/>
      <c r="F454" s="60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60"/>
      <c r="B455" s="60"/>
      <c r="C455" s="8"/>
      <c r="D455" s="8"/>
      <c r="E455" s="60"/>
      <c r="F455" s="60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60"/>
      <c r="B456" s="60"/>
      <c r="C456" s="8"/>
      <c r="D456" s="8"/>
      <c r="E456" s="60"/>
      <c r="F456" s="60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60"/>
      <c r="B457" s="60"/>
      <c r="C457" s="8"/>
      <c r="D457" s="8"/>
      <c r="E457" s="60"/>
      <c r="F457" s="60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60"/>
      <c r="B458" s="60"/>
      <c r="C458" s="8"/>
      <c r="D458" s="8"/>
      <c r="E458" s="60"/>
      <c r="F458" s="60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60"/>
      <c r="B459" s="60"/>
      <c r="C459" s="8"/>
      <c r="D459" s="8"/>
      <c r="E459" s="60"/>
      <c r="F459" s="60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60"/>
      <c r="B460" s="60"/>
      <c r="C460" s="8"/>
      <c r="D460" s="8"/>
      <c r="E460" s="60"/>
      <c r="F460" s="60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60"/>
      <c r="B461" s="60"/>
      <c r="C461" s="8"/>
      <c r="D461" s="8"/>
      <c r="E461" s="60"/>
      <c r="F461" s="60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60"/>
      <c r="B462" s="60"/>
      <c r="C462" s="8"/>
      <c r="D462" s="8"/>
      <c r="E462" s="60"/>
      <c r="F462" s="60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60"/>
      <c r="B463" s="60"/>
      <c r="C463" s="8"/>
      <c r="D463" s="8"/>
      <c r="E463" s="60"/>
      <c r="F463" s="60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60"/>
      <c r="B464" s="60"/>
      <c r="C464" s="8"/>
      <c r="D464" s="8"/>
      <c r="E464" s="60"/>
      <c r="F464" s="60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60"/>
      <c r="B465" s="60"/>
      <c r="C465" s="8"/>
      <c r="D465" s="8"/>
      <c r="E465" s="60"/>
      <c r="F465" s="60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60"/>
      <c r="B466" s="60"/>
      <c r="C466" s="8"/>
      <c r="D466" s="8"/>
      <c r="E466" s="60"/>
      <c r="F466" s="60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60"/>
      <c r="B467" s="60"/>
      <c r="C467" s="8"/>
      <c r="D467" s="8"/>
      <c r="E467" s="60"/>
      <c r="F467" s="60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60"/>
      <c r="B468" s="60"/>
      <c r="C468" s="8"/>
      <c r="D468" s="8"/>
      <c r="E468" s="60"/>
      <c r="F468" s="60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60"/>
      <c r="B469" s="60"/>
      <c r="C469" s="8"/>
      <c r="D469" s="8"/>
      <c r="E469" s="60"/>
      <c r="F469" s="60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60"/>
      <c r="B470" s="60"/>
      <c r="C470" s="8"/>
      <c r="D470" s="8"/>
      <c r="E470" s="60"/>
      <c r="F470" s="60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60"/>
      <c r="B471" s="60"/>
      <c r="C471" s="8"/>
      <c r="D471" s="8"/>
      <c r="E471" s="60"/>
      <c r="F471" s="60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60"/>
      <c r="B472" s="60"/>
      <c r="C472" s="8"/>
      <c r="D472" s="8"/>
      <c r="E472" s="60"/>
      <c r="F472" s="60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60"/>
      <c r="B473" s="60"/>
      <c r="C473" s="8"/>
      <c r="D473" s="8"/>
      <c r="E473" s="60"/>
      <c r="F473" s="60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60"/>
      <c r="B474" s="60"/>
      <c r="C474" s="8"/>
      <c r="D474" s="8"/>
      <c r="E474" s="60"/>
      <c r="F474" s="60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60"/>
      <c r="B475" s="60"/>
      <c r="C475" s="8"/>
      <c r="D475" s="8"/>
      <c r="E475" s="60"/>
      <c r="F475" s="60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60"/>
      <c r="B476" s="60"/>
      <c r="C476" s="8"/>
      <c r="D476" s="8"/>
      <c r="E476" s="60"/>
      <c r="F476" s="60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60"/>
      <c r="B477" s="60"/>
      <c r="C477" s="8"/>
      <c r="D477" s="8"/>
      <c r="E477" s="60"/>
      <c r="F477" s="60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60"/>
      <c r="B478" s="60"/>
      <c r="C478" s="8"/>
      <c r="D478" s="8"/>
      <c r="E478" s="60"/>
      <c r="F478" s="60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60"/>
      <c r="B479" s="60"/>
      <c r="C479" s="8"/>
      <c r="D479" s="8"/>
      <c r="E479" s="60"/>
      <c r="F479" s="60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60"/>
      <c r="B480" s="60"/>
      <c r="C480" s="8"/>
      <c r="D480" s="8"/>
      <c r="E480" s="60"/>
      <c r="F480" s="60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60"/>
      <c r="B481" s="60"/>
      <c r="C481" s="8"/>
      <c r="D481" s="8"/>
      <c r="E481" s="60"/>
      <c r="F481" s="60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60"/>
      <c r="B482" s="60"/>
      <c r="C482" s="8"/>
      <c r="D482" s="8"/>
      <c r="E482" s="60"/>
      <c r="F482" s="60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60"/>
      <c r="B483" s="60"/>
      <c r="C483" s="8"/>
      <c r="D483" s="8"/>
      <c r="E483" s="60"/>
      <c r="F483" s="60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60"/>
      <c r="B484" s="60"/>
      <c r="C484" s="8"/>
      <c r="D484" s="8"/>
      <c r="E484" s="60"/>
      <c r="F484" s="60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60"/>
      <c r="B485" s="60"/>
      <c r="C485" s="8"/>
      <c r="D485" s="8"/>
      <c r="E485" s="60"/>
      <c r="F485" s="60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60"/>
      <c r="B486" s="60"/>
      <c r="C486" s="8"/>
      <c r="D486" s="8"/>
      <c r="E486" s="60"/>
      <c r="F486" s="60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60"/>
      <c r="B487" s="60"/>
      <c r="C487" s="8"/>
      <c r="D487" s="8"/>
      <c r="E487" s="60"/>
      <c r="F487" s="60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60"/>
      <c r="B488" s="60"/>
      <c r="C488" s="8"/>
      <c r="D488" s="8"/>
      <c r="E488" s="60"/>
      <c r="F488" s="60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60"/>
      <c r="B489" s="60"/>
      <c r="C489" s="8"/>
      <c r="D489" s="8"/>
      <c r="E489" s="60"/>
      <c r="F489" s="60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60"/>
      <c r="B490" s="60"/>
      <c r="C490" s="8"/>
      <c r="D490" s="8"/>
      <c r="E490" s="60"/>
      <c r="F490" s="60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60"/>
      <c r="B491" s="60"/>
      <c r="C491" s="8"/>
      <c r="D491" s="8"/>
      <c r="E491" s="60"/>
      <c r="F491" s="60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60"/>
      <c r="B492" s="60"/>
      <c r="C492" s="8"/>
      <c r="D492" s="8"/>
      <c r="E492" s="60"/>
      <c r="F492" s="60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60"/>
      <c r="B493" s="60"/>
      <c r="C493" s="8"/>
      <c r="D493" s="8"/>
      <c r="E493" s="60"/>
      <c r="F493" s="60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60"/>
      <c r="B494" s="60"/>
      <c r="C494" s="8"/>
      <c r="D494" s="8"/>
      <c r="E494" s="60"/>
      <c r="F494" s="60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60"/>
      <c r="B495" s="60"/>
      <c r="C495" s="8"/>
      <c r="D495" s="8"/>
      <c r="E495" s="60"/>
      <c r="F495" s="60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60"/>
      <c r="B496" s="60"/>
      <c r="C496" s="8"/>
      <c r="D496" s="8"/>
      <c r="E496" s="60"/>
      <c r="F496" s="60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60"/>
      <c r="B497" s="60"/>
      <c r="C497" s="8"/>
      <c r="D497" s="8"/>
      <c r="E497" s="60"/>
      <c r="F497" s="60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60"/>
      <c r="B498" s="60"/>
      <c r="C498" s="8"/>
      <c r="D498" s="8"/>
      <c r="E498" s="60"/>
      <c r="F498" s="60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60"/>
      <c r="B499" s="60"/>
      <c r="C499" s="8"/>
      <c r="D499" s="8"/>
      <c r="E499" s="60"/>
      <c r="F499" s="60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60"/>
      <c r="B500" s="60"/>
      <c r="C500" s="8"/>
      <c r="D500" s="8"/>
      <c r="E500" s="60"/>
      <c r="F500" s="60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60"/>
      <c r="B501" s="60"/>
      <c r="C501" s="8"/>
      <c r="D501" s="8"/>
      <c r="E501" s="60"/>
      <c r="F501" s="60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60"/>
      <c r="B502" s="60"/>
      <c r="C502" s="8"/>
      <c r="D502" s="8"/>
      <c r="E502" s="60"/>
      <c r="F502" s="60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60"/>
      <c r="B503" s="60"/>
      <c r="C503" s="8"/>
      <c r="D503" s="8"/>
      <c r="E503" s="60"/>
      <c r="F503" s="60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60"/>
      <c r="B504" s="60"/>
      <c r="C504" s="8"/>
      <c r="D504" s="8"/>
      <c r="E504" s="60"/>
      <c r="F504" s="60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60"/>
      <c r="B505" s="60"/>
      <c r="C505" s="8"/>
      <c r="D505" s="8"/>
      <c r="E505" s="60"/>
      <c r="F505" s="60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60"/>
      <c r="B506" s="60"/>
      <c r="C506" s="8"/>
      <c r="D506" s="8"/>
      <c r="E506" s="60"/>
      <c r="F506" s="60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60"/>
      <c r="B507" s="60"/>
      <c r="C507" s="8"/>
      <c r="D507" s="8"/>
      <c r="E507" s="60"/>
      <c r="F507" s="60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60"/>
      <c r="B508" s="60"/>
      <c r="C508" s="8"/>
      <c r="D508" s="8"/>
      <c r="E508" s="60"/>
      <c r="F508" s="60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60"/>
      <c r="B509" s="60"/>
      <c r="C509" s="8"/>
      <c r="D509" s="8"/>
      <c r="E509" s="60"/>
      <c r="F509" s="60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60"/>
      <c r="B510" s="60"/>
      <c r="C510" s="8"/>
      <c r="D510" s="8"/>
      <c r="E510" s="60"/>
      <c r="F510" s="60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60"/>
      <c r="B511" s="60"/>
      <c r="C511" s="8"/>
      <c r="D511" s="8"/>
      <c r="E511" s="60"/>
      <c r="F511" s="60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60"/>
      <c r="B512" s="60"/>
      <c r="C512" s="8"/>
      <c r="D512" s="8"/>
      <c r="E512" s="60"/>
      <c r="F512" s="60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60"/>
      <c r="B513" s="60"/>
      <c r="C513" s="8"/>
      <c r="D513" s="8"/>
      <c r="E513" s="60"/>
      <c r="F513" s="60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60"/>
      <c r="B514" s="60"/>
      <c r="C514" s="8"/>
      <c r="D514" s="8"/>
      <c r="E514" s="60"/>
      <c r="F514" s="60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60"/>
      <c r="B515" s="60"/>
      <c r="C515" s="8"/>
      <c r="D515" s="8"/>
      <c r="E515" s="60"/>
      <c r="F515" s="60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60"/>
      <c r="B516" s="60"/>
      <c r="C516" s="8"/>
      <c r="D516" s="8"/>
      <c r="E516" s="60"/>
      <c r="F516" s="60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60"/>
      <c r="B517" s="60"/>
      <c r="C517" s="8"/>
      <c r="D517" s="8"/>
      <c r="E517" s="60"/>
      <c r="F517" s="60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60"/>
      <c r="B518" s="60"/>
      <c r="C518" s="8"/>
      <c r="D518" s="8"/>
      <c r="E518" s="60"/>
      <c r="F518" s="60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60"/>
      <c r="B519" s="60"/>
      <c r="C519" s="8"/>
      <c r="D519" s="8"/>
      <c r="E519" s="60"/>
      <c r="F519" s="60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60"/>
      <c r="B520" s="60"/>
      <c r="C520" s="8"/>
      <c r="D520" s="8"/>
      <c r="E520" s="60"/>
      <c r="F520" s="60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60"/>
      <c r="B521" s="60"/>
      <c r="C521" s="8"/>
      <c r="D521" s="8"/>
      <c r="E521" s="60"/>
      <c r="F521" s="60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60"/>
      <c r="B522" s="60"/>
      <c r="C522" s="8"/>
      <c r="D522" s="8"/>
      <c r="E522" s="60"/>
      <c r="F522" s="60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60"/>
      <c r="B523" s="60"/>
      <c r="C523" s="8"/>
      <c r="D523" s="8"/>
      <c r="E523" s="60"/>
      <c r="F523" s="60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60"/>
      <c r="B524" s="60"/>
      <c r="C524" s="8"/>
      <c r="D524" s="8"/>
      <c r="E524" s="60"/>
      <c r="F524" s="60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60"/>
      <c r="B525" s="60"/>
      <c r="C525" s="8"/>
      <c r="D525" s="8"/>
      <c r="E525" s="60"/>
      <c r="F525" s="60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60"/>
      <c r="B526" s="60"/>
      <c r="C526" s="8"/>
      <c r="D526" s="8"/>
      <c r="E526" s="60"/>
      <c r="F526" s="60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60"/>
      <c r="B527" s="60"/>
      <c r="C527" s="8"/>
      <c r="D527" s="8"/>
      <c r="E527" s="60"/>
      <c r="F527" s="60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60"/>
      <c r="B528" s="60"/>
      <c r="C528" s="8"/>
      <c r="D528" s="8"/>
      <c r="E528" s="60"/>
      <c r="F528" s="60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60"/>
      <c r="B529" s="60"/>
      <c r="C529" s="8"/>
      <c r="D529" s="8"/>
      <c r="E529" s="60"/>
      <c r="F529" s="60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60"/>
      <c r="B530" s="60"/>
      <c r="C530" s="8"/>
      <c r="D530" s="8"/>
      <c r="E530" s="60"/>
      <c r="F530" s="60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60"/>
      <c r="B531" s="60"/>
      <c r="C531" s="8"/>
      <c r="D531" s="8"/>
      <c r="E531" s="60"/>
      <c r="F531" s="60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60"/>
      <c r="B532" s="60"/>
      <c r="C532" s="8"/>
      <c r="D532" s="8"/>
      <c r="E532" s="60"/>
      <c r="F532" s="60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60"/>
      <c r="B533" s="60"/>
      <c r="C533" s="8"/>
      <c r="D533" s="8"/>
      <c r="E533" s="60"/>
      <c r="F533" s="60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60"/>
      <c r="B534" s="60"/>
      <c r="C534" s="8"/>
      <c r="D534" s="8"/>
      <c r="E534" s="60"/>
      <c r="F534" s="60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60"/>
      <c r="B535" s="60"/>
      <c r="C535" s="8"/>
      <c r="D535" s="8"/>
      <c r="E535" s="60"/>
      <c r="F535" s="60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60"/>
      <c r="B536" s="60"/>
      <c r="C536" s="8"/>
      <c r="D536" s="8"/>
      <c r="E536" s="60"/>
      <c r="F536" s="60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60"/>
      <c r="B537" s="60"/>
      <c r="C537" s="8"/>
      <c r="D537" s="8"/>
      <c r="E537" s="60"/>
      <c r="F537" s="60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60"/>
      <c r="B538" s="60"/>
      <c r="C538" s="8"/>
      <c r="D538" s="8"/>
      <c r="E538" s="60"/>
      <c r="F538" s="60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60"/>
      <c r="B539" s="60"/>
      <c r="C539" s="8"/>
      <c r="D539" s="8"/>
      <c r="E539" s="60"/>
      <c r="F539" s="60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60"/>
      <c r="B540" s="60"/>
      <c r="C540" s="8"/>
      <c r="D540" s="8"/>
      <c r="E540" s="60"/>
      <c r="F540" s="60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60"/>
      <c r="B541" s="60"/>
      <c r="C541" s="8"/>
      <c r="D541" s="8"/>
      <c r="E541" s="60"/>
      <c r="F541" s="60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60"/>
      <c r="B542" s="60"/>
      <c r="C542" s="8"/>
      <c r="D542" s="8"/>
      <c r="E542" s="60"/>
      <c r="F542" s="60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60"/>
      <c r="B543" s="60"/>
      <c r="C543" s="8"/>
      <c r="D543" s="8"/>
      <c r="E543" s="60"/>
      <c r="F543" s="60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60"/>
      <c r="B544" s="60"/>
      <c r="C544" s="8"/>
      <c r="D544" s="8"/>
      <c r="E544" s="60"/>
      <c r="F544" s="60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60"/>
      <c r="B545" s="60"/>
      <c r="C545" s="8"/>
      <c r="D545" s="8"/>
      <c r="E545" s="60"/>
      <c r="F545" s="60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60"/>
      <c r="B546" s="60"/>
      <c r="C546" s="8"/>
      <c r="D546" s="8"/>
      <c r="E546" s="60"/>
      <c r="F546" s="60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60"/>
      <c r="B547" s="60"/>
      <c r="C547" s="8"/>
      <c r="D547" s="8"/>
      <c r="E547" s="60"/>
      <c r="F547" s="60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60"/>
      <c r="B548" s="60"/>
      <c r="C548" s="8"/>
      <c r="D548" s="8"/>
      <c r="E548" s="60"/>
      <c r="F548" s="60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60"/>
      <c r="B549" s="60"/>
      <c r="C549" s="8"/>
      <c r="D549" s="8"/>
      <c r="E549" s="60"/>
      <c r="F549" s="60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60"/>
      <c r="B550" s="60"/>
      <c r="C550" s="8"/>
      <c r="D550" s="8"/>
      <c r="E550" s="60"/>
      <c r="F550" s="60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60"/>
      <c r="B551" s="60"/>
      <c r="C551" s="8"/>
      <c r="D551" s="8"/>
      <c r="E551" s="60"/>
      <c r="F551" s="60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60"/>
      <c r="B552" s="60"/>
      <c r="C552" s="8"/>
      <c r="D552" s="8"/>
      <c r="E552" s="60"/>
      <c r="F552" s="60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60"/>
      <c r="B553" s="60"/>
      <c r="C553" s="8"/>
      <c r="D553" s="8"/>
      <c r="E553" s="60"/>
      <c r="F553" s="60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60"/>
      <c r="B554" s="60"/>
      <c r="C554" s="8"/>
      <c r="D554" s="8"/>
      <c r="E554" s="60"/>
      <c r="F554" s="60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60"/>
      <c r="B555" s="60"/>
      <c r="C555" s="8"/>
      <c r="D555" s="8"/>
      <c r="E555" s="60"/>
      <c r="F555" s="60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60"/>
      <c r="B556" s="60"/>
      <c r="C556" s="8"/>
      <c r="D556" s="8"/>
      <c r="E556" s="60"/>
      <c r="F556" s="60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60"/>
      <c r="B557" s="60"/>
      <c r="C557" s="8"/>
      <c r="D557" s="8"/>
      <c r="E557" s="60"/>
      <c r="F557" s="60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60"/>
      <c r="B558" s="60"/>
      <c r="C558" s="8"/>
      <c r="D558" s="8"/>
      <c r="E558" s="60"/>
      <c r="F558" s="60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60"/>
      <c r="B559" s="60"/>
      <c r="C559" s="8"/>
      <c r="D559" s="8"/>
      <c r="E559" s="60"/>
      <c r="F559" s="60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60"/>
      <c r="B560" s="60"/>
      <c r="C560" s="8"/>
      <c r="D560" s="8"/>
      <c r="E560" s="60"/>
      <c r="F560" s="60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60"/>
      <c r="B561" s="60"/>
      <c r="C561" s="8"/>
      <c r="D561" s="8"/>
      <c r="E561" s="60"/>
      <c r="F561" s="60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60"/>
      <c r="B562" s="60"/>
      <c r="C562" s="8"/>
      <c r="D562" s="8"/>
      <c r="E562" s="60"/>
      <c r="F562" s="60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60"/>
      <c r="B563" s="60"/>
      <c r="C563" s="8"/>
      <c r="D563" s="8"/>
      <c r="E563" s="60"/>
      <c r="F563" s="60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60"/>
      <c r="B564" s="60"/>
      <c r="C564" s="8"/>
      <c r="D564" s="8"/>
      <c r="E564" s="60"/>
      <c r="F564" s="60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60"/>
      <c r="B565" s="60"/>
      <c r="C565" s="8"/>
      <c r="D565" s="8"/>
      <c r="E565" s="60"/>
      <c r="F565" s="60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60"/>
      <c r="B566" s="60"/>
      <c r="C566" s="8"/>
      <c r="D566" s="8"/>
      <c r="E566" s="60"/>
      <c r="F566" s="60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60"/>
      <c r="B567" s="60"/>
      <c r="C567" s="8"/>
      <c r="D567" s="8"/>
      <c r="E567" s="60"/>
      <c r="F567" s="60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60"/>
      <c r="B568" s="60"/>
      <c r="C568" s="8"/>
      <c r="D568" s="8"/>
      <c r="E568" s="60"/>
      <c r="F568" s="60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60"/>
      <c r="B569" s="60"/>
      <c r="C569" s="8"/>
      <c r="D569" s="8"/>
      <c r="E569" s="60"/>
      <c r="F569" s="60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60"/>
      <c r="B570" s="60"/>
      <c r="C570" s="8"/>
      <c r="D570" s="8"/>
      <c r="E570" s="60"/>
      <c r="F570" s="60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60"/>
      <c r="B571" s="60"/>
      <c r="C571" s="8"/>
      <c r="D571" s="8"/>
      <c r="E571" s="60"/>
      <c r="F571" s="60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60"/>
      <c r="B572" s="60"/>
      <c r="C572" s="8"/>
      <c r="D572" s="8"/>
      <c r="E572" s="60"/>
      <c r="F572" s="60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60"/>
      <c r="B573" s="60"/>
      <c r="C573" s="8"/>
      <c r="D573" s="8"/>
      <c r="E573" s="60"/>
      <c r="F573" s="60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60"/>
      <c r="B574" s="60"/>
      <c r="C574" s="8"/>
      <c r="D574" s="8"/>
      <c r="E574" s="60"/>
      <c r="F574" s="60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60"/>
      <c r="B575" s="60"/>
      <c r="C575" s="8"/>
      <c r="D575" s="8"/>
      <c r="E575" s="60"/>
      <c r="F575" s="60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60"/>
      <c r="B576" s="60"/>
      <c r="C576" s="8"/>
      <c r="D576" s="8"/>
      <c r="E576" s="60"/>
      <c r="F576" s="60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60"/>
      <c r="B577" s="60"/>
      <c r="C577" s="8"/>
      <c r="D577" s="8"/>
      <c r="E577" s="60"/>
      <c r="F577" s="60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60"/>
      <c r="B578" s="60"/>
      <c r="C578" s="8"/>
      <c r="D578" s="8"/>
      <c r="E578" s="60"/>
      <c r="F578" s="60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60"/>
      <c r="B579" s="60"/>
      <c r="C579" s="8"/>
      <c r="D579" s="8"/>
      <c r="E579" s="60"/>
      <c r="F579" s="60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60"/>
      <c r="B580" s="60"/>
      <c r="C580" s="8"/>
      <c r="D580" s="8"/>
      <c r="E580" s="60"/>
      <c r="F580" s="60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60"/>
      <c r="B581" s="60"/>
      <c r="C581" s="8"/>
      <c r="D581" s="8"/>
      <c r="E581" s="60"/>
      <c r="F581" s="60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60"/>
      <c r="B582" s="60"/>
      <c r="C582" s="8"/>
      <c r="D582" s="8"/>
      <c r="E582" s="60"/>
      <c r="F582" s="60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60"/>
      <c r="B583" s="60"/>
      <c r="C583" s="8"/>
      <c r="D583" s="8"/>
      <c r="E583" s="60"/>
      <c r="F583" s="60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60"/>
      <c r="B584" s="60"/>
      <c r="C584" s="8"/>
      <c r="D584" s="8"/>
      <c r="E584" s="60"/>
      <c r="F584" s="60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60"/>
      <c r="B585" s="60"/>
      <c r="C585" s="8"/>
      <c r="D585" s="8"/>
      <c r="E585" s="60"/>
      <c r="F585" s="60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60"/>
      <c r="B586" s="60"/>
      <c r="C586" s="8"/>
      <c r="D586" s="8"/>
      <c r="E586" s="60"/>
      <c r="F586" s="60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60"/>
      <c r="B587" s="60"/>
      <c r="C587" s="8"/>
      <c r="D587" s="8"/>
      <c r="E587" s="60"/>
      <c r="F587" s="60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60"/>
      <c r="B588" s="60"/>
      <c r="C588" s="8"/>
      <c r="D588" s="8"/>
      <c r="E588" s="60"/>
      <c r="F588" s="60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60"/>
      <c r="B589" s="60"/>
      <c r="C589" s="8"/>
      <c r="D589" s="8"/>
      <c r="E589" s="60"/>
      <c r="F589" s="60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60"/>
      <c r="B590" s="60"/>
      <c r="C590" s="8"/>
      <c r="D590" s="8"/>
      <c r="E590" s="60"/>
      <c r="F590" s="60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60"/>
      <c r="B591" s="60"/>
      <c r="C591" s="8"/>
      <c r="D591" s="8"/>
      <c r="E591" s="60"/>
      <c r="F591" s="60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60"/>
      <c r="B592" s="60"/>
      <c r="C592" s="8"/>
      <c r="D592" s="8"/>
      <c r="E592" s="60"/>
      <c r="F592" s="60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60"/>
      <c r="B593" s="60"/>
      <c r="C593" s="8"/>
      <c r="D593" s="8"/>
      <c r="E593" s="60"/>
      <c r="F593" s="60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60"/>
      <c r="B594" s="60"/>
      <c r="C594" s="8"/>
      <c r="D594" s="8"/>
      <c r="E594" s="60"/>
      <c r="F594" s="60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60"/>
      <c r="B595" s="60"/>
      <c r="C595" s="8"/>
      <c r="D595" s="8"/>
      <c r="E595" s="60"/>
      <c r="F595" s="60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60"/>
      <c r="B596" s="60"/>
      <c r="C596" s="8"/>
      <c r="D596" s="8"/>
      <c r="E596" s="60"/>
      <c r="F596" s="60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60"/>
      <c r="B597" s="60"/>
      <c r="C597" s="8"/>
      <c r="D597" s="8"/>
      <c r="E597" s="60"/>
      <c r="F597" s="60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60"/>
      <c r="B598" s="60"/>
      <c r="C598" s="8"/>
      <c r="D598" s="8"/>
      <c r="E598" s="60"/>
      <c r="F598" s="60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60"/>
      <c r="B599" s="60"/>
      <c r="C599" s="8"/>
      <c r="D599" s="8"/>
      <c r="E599" s="60"/>
      <c r="F599" s="60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60"/>
      <c r="B600" s="60"/>
      <c r="C600" s="8"/>
      <c r="D600" s="8"/>
      <c r="E600" s="60"/>
      <c r="F600" s="60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60"/>
      <c r="B601" s="60"/>
      <c r="C601" s="8"/>
      <c r="D601" s="8"/>
      <c r="E601" s="60"/>
      <c r="F601" s="60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60"/>
      <c r="B602" s="60"/>
      <c r="C602" s="8"/>
      <c r="D602" s="8"/>
      <c r="E602" s="60"/>
      <c r="F602" s="60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60"/>
      <c r="B603" s="60"/>
      <c r="C603" s="8"/>
      <c r="D603" s="8"/>
      <c r="E603" s="60"/>
      <c r="F603" s="60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60"/>
      <c r="B604" s="60"/>
      <c r="C604" s="8"/>
      <c r="D604" s="8"/>
      <c r="E604" s="60"/>
      <c r="F604" s="60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60"/>
      <c r="B605" s="60"/>
      <c r="C605" s="8"/>
      <c r="D605" s="8"/>
      <c r="E605" s="60"/>
      <c r="F605" s="60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60"/>
      <c r="B606" s="60"/>
      <c r="C606" s="8"/>
      <c r="D606" s="8"/>
      <c r="E606" s="60"/>
      <c r="F606" s="60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60"/>
      <c r="B607" s="60"/>
      <c r="C607" s="8"/>
      <c r="D607" s="8"/>
      <c r="E607" s="60"/>
      <c r="F607" s="60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60"/>
      <c r="B608" s="60"/>
      <c r="C608" s="8"/>
      <c r="D608" s="8"/>
      <c r="E608" s="60"/>
      <c r="F608" s="60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60"/>
      <c r="B609" s="60"/>
      <c r="C609" s="8"/>
      <c r="D609" s="8"/>
      <c r="E609" s="60"/>
      <c r="F609" s="60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60"/>
      <c r="B610" s="60"/>
      <c r="C610" s="8"/>
      <c r="D610" s="8"/>
      <c r="E610" s="60"/>
      <c r="F610" s="60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60"/>
      <c r="B611" s="60"/>
      <c r="C611" s="8"/>
      <c r="D611" s="8"/>
      <c r="E611" s="60"/>
      <c r="F611" s="60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60"/>
      <c r="B612" s="60"/>
      <c r="C612" s="8"/>
      <c r="D612" s="8"/>
      <c r="E612" s="60"/>
      <c r="F612" s="60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60"/>
      <c r="B613" s="60"/>
      <c r="C613" s="8"/>
      <c r="D613" s="8"/>
      <c r="E613" s="60"/>
      <c r="F613" s="60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60"/>
      <c r="B614" s="60"/>
      <c r="C614" s="8"/>
      <c r="D614" s="8"/>
      <c r="E614" s="60"/>
      <c r="F614" s="60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60"/>
      <c r="B615" s="60"/>
      <c r="C615" s="8"/>
      <c r="D615" s="8"/>
      <c r="E615" s="60"/>
      <c r="F615" s="60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60"/>
      <c r="B616" s="60"/>
      <c r="C616" s="8"/>
      <c r="D616" s="8"/>
      <c r="E616" s="60"/>
      <c r="F616" s="60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60"/>
      <c r="B617" s="60"/>
      <c r="C617" s="8"/>
      <c r="D617" s="8"/>
      <c r="E617" s="60"/>
      <c r="F617" s="60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60"/>
      <c r="B618" s="60"/>
      <c r="C618" s="8"/>
      <c r="D618" s="8"/>
      <c r="E618" s="60"/>
      <c r="F618" s="60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60"/>
      <c r="B619" s="60"/>
      <c r="C619" s="8"/>
      <c r="D619" s="8"/>
      <c r="E619" s="60"/>
      <c r="F619" s="60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60"/>
      <c r="B620" s="60"/>
      <c r="C620" s="8"/>
      <c r="D620" s="8"/>
      <c r="E620" s="60"/>
      <c r="F620" s="60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60"/>
      <c r="B621" s="60"/>
      <c r="C621" s="8"/>
      <c r="D621" s="8"/>
      <c r="E621" s="60"/>
      <c r="F621" s="60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60"/>
      <c r="B622" s="60"/>
      <c r="C622" s="8"/>
      <c r="D622" s="8"/>
      <c r="E622" s="60"/>
      <c r="F622" s="60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60"/>
      <c r="B623" s="60"/>
      <c r="C623" s="8"/>
      <c r="D623" s="8"/>
      <c r="E623" s="60"/>
      <c r="F623" s="60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60"/>
      <c r="B624" s="60"/>
      <c r="C624" s="8"/>
      <c r="D624" s="8"/>
      <c r="E624" s="60"/>
      <c r="F624" s="60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60"/>
      <c r="B625" s="60"/>
      <c r="C625" s="8"/>
      <c r="D625" s="8"/>
      <c r="E625" s="60"/>
      <c r="F625" s="60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60"/>
      <c r="B626" s="60"/>
      <c r="C626" s="8"/>
      <c r="D626" s="8"/>
      <c r="E626" s="60"/>
      <c r="F626" s="60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60"/>
      <c r="B627" s="60"/>
      <c r="C627" s="8"/>
      <c r="D627" s="8"/>
      <c r="E627" s="60"/>
      <c r="F627" s="60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60"/>
      <c r="B628" s="60"/>
      <c r="C628" s="8"/>
      <c r="D628" s="8"/>
      <c r="E628" s="60"/>
      <c r="F628" s="60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60"/>
      <c r="B629" s="60"/>
      <c r="C629" s="8"/>
      <c r="D629" s="8"/>
      <c r="E629" s="60"/>
      <c r="F629" s="60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60"/>
      <c r="B630" s="60"/>
      <c r="C630" s="8"/>
      <c r="D630" s="8"/>
      <c r="E630" s="60"/>
      <c r="F630" s="60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60"/>
      <c r="B631" s="60"/>
      <c r="C631" s="8"/>
      <c r="D631" s="8"/>
      <c r="E631" s="60"/>
      <c r="F631" s="60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60"/>
      <c r="B632" s="60"/>
      <c r="C632" s="8"/>
      <c r="D632" s="8"/>
      <c r="E632" s="60"/>
      <c r="F632" s="60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60"/>
      <c r="B633" s="60"/>
      <c r="C633" s="8"/>
      <c r="D633" s="8"/>
      <c r="E633" s="60"/>
      <c r="F633" s="60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60"/>
      <c r="B634" s="60"/>
      <c r="C634" s="8"/>
      <c r="D634" s="8"/>
      <c r="E634" s="60"/>
      <c r="F634" s="60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60"/>
      <c r="B635" s="60"/>
      <c r="C635" s="8"/>
      <c r="D635" s="8"/>
      <c r="E635" s="60"/>
      <c r="F635" s="60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60"/>
      <c r="B636" s="60"/>
      <c r="C636" s="8"/>
      <c r="D636" s="8"/>
      <c r="E636" s="60"/>
      <c r="F636" s="60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60"/>
      <c r="B637" s="60"/>
      <c r="C637" s="8"/>
      <c r="D637" s="8"/>
      <c r="E637" s="60"/>
      <c r="F637" s="60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60"/>
      <c r="B638" s="60"/>
      <c r="C638" s="8"/>
      <c r="D638" s="8"/>
      <c r="E638" s="60"/>
      <c r="F638" s="60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60"/>
      <c r="B639" s="60"/>
      <c r="C639" s="8"/>
      <c r="D639" s="8"/>
      <c r="E639" s="60"/>
      <c r="F639" s="60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60"/>
      <c r="B640" s="60"/>
      <c r="C640" s="8"/>
      <c r="D640" s="8"/>
      <c r="E640" s="60"/>
      <c r="F640" s="60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60"/>
      <c r="B641" s="60"/>
      <c r="C641" s="8"/>
      <c r="D641" s="8"/>
      <c r="E641" s="60"/>
      <c r="F641" s="60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60"/>
      <c r="B642" s="60"/>
      <c r="C642" s="8"/>
      <c r="D642" s="8"/>
      <c r="E642" s="60"/>
      <c r="F642" s="60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60"/>
      <c r="B643" s="60"/>
      <c r="C643" s="8"/>
      <c r="D643" s="8"/>
      <c r="E643" s="60"/>
      <c r="F643" s="60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60"/>
      <c r="B644" s="60"/>
      <c r="C644" s="8"/>
      <c r="D644" s="8"/>
      <c r="E644" s="60"/>
      <c r="F644" s="60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60"/>
      <c r="B645" s="60"/>
      <c r="C645" s="8"/>
      <c r="D645" s="8"/>
      <c r="E645" s="60"/>
      <c r="F645" s="60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60"/>
      <c r="B646" s="60"/>
      <c r="C646" s="8"/>
      <c r="D646" s="8"/>
      <c r="E646" s="60"/>
      <c r="F646" s="60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60"/>
      <c r="B647" s="60"/>
      <c r="C647" s="8"/>
      <c r="D647" s="8"/>
      <c r="E647" s="60"/>
      <c r="F647" s="60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60"/>
      <c r="B648" s="60"/>
      <c r="C648" s="8"/>
      <c r="D648" s="8"/>
      <c r="E648" s="60"/>
      <c r="F648" s="60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60"/>
      <c r="B649" s="60"/>
      <c r="C649" s="8"/>
      <c r="D649" s="8"/>
      <c r="E649" s="60"/>
      <c r="F649" s="60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60"/>
      <c r="B650" s="60"/>
      <c r="C650" s="8"/>
      <c r="D650" s="8"/>
      <c r="E650" s="60"/>
      <c r="F650" s="60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60"/>
      <c r="B651" s="60"/>
      <c r="C651" s="8"/>
      <c r="D651" s="8"/>
      <c r="E651" s="60"/>
      <c r="F651" s="60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60"/>
      <c r="B652" s="60"/>
      <c r="C652" s="8"/>
      <c r="D652" s="8"/>
      <c r="E652" s="60"/>
      <c r="F652" s="60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60"/>
      <c r="B653" s="60"/>
      <c r="C653" s="8"/>
      <c r="D653" s="8"/>
      <c r="E653" s="60"/>
      <c r="F653" s="60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60"/>
      <c r="B654" s="60"/>
      <c r="C654" s="8"/>
      <c r="D654" s="8"/>
      <c r="E654" s="60"/>
      <c r="F654" s="60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60"/>
      <c r="B655" s="60"/>
      <c r="C655" s="8"/>
      <c r="D655" s="8"/>
      <c r="E655" s="60"/>
      <c r="F655" s="60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60"/>
      <c r="B656" s="60"/>
      <c r="C656" s="8"/>
      <c r="D656" s="8"/>
      <c r="E656" s="60"/>
      <c r="F656" s="60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60"/>
      <c r="B657" s="60"/>
      <c r="C657" s="8"/>
      <c r="D657" s="8"/>
      <c r="E657" s="60"/>
      <c r="F657" s="60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60"/>
      <c r="B658" s="60"/>
      <c r="C658" s="8"/>
      <c r="D658" s="8"/>
      <c r="E658" s="60"/>
      <c r="F658" s="60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60"/>
      <c r="B659" s="60"/>
      <c r="C659" s="8"/>
      <c r="D659" s="8"/>
      <c r="E659" s="60"/>
      <c r="F659" s="60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60"/>
      <c r="B660" s="60"/>
      <c r="C660" s="8"/>
      <c r="D660" s="8"/>
      <c r="E660" s="60"/>
      <c r="F660" s="60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60"/>
      <c r="B661" s="60"/>
      <c r="C661" s="8"/>
      <c r="D661" s="8"/>
      <c r="E661" s="60"/>
      <c r="F661" s="60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60"/>
      <c r="B662" s="60"/>
      <c r="C662" s="8"/>
      <c r="D662" s="8"/>
      <c r="E662" s="60"/>
      <c r="F662" s="60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60"/>
      <c r="B663" s="60"/>
      <c r="C663" s="8"/>
      <c r="D663" s="8"/>
      <c r="E663" s="60"/>
      <c r="F663" s="60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60"/>
      <c r="B664" s="60"/>
      <c r="C664" s="8"/>
      <c r="D664" s="8"/>
      <c r="E664" s="60"/>
      <c r="F664" s="60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60"/>
      <c r="B665" s="60"/>
      <c r="C665" s="8"/>
      <c r="D665" s="8"/>
      <c r="E665" s="60"/>
      <c r="F665" s="60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60"/>
      <c r="B666" s="60"/>
      <c r="C666" s="8"/>
      <c r="D666" s="8"/>
      <c r="E666" s="60"/>
      <c r="F666" s="60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60"/>
      <c r="B667" s="60"/>
      <c r="C667" s="8"/>
      <c r="D667" s="8"/>
      <c r="E667" s="60"/>
      <c r="F667" s="60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60"/>
      <c r="B668" s="60"/>
      <c r="C668" s="8"/>
      <c r="D668" s="8"/>
      <c r="E668" s="60"/>
      <c r="F668" s="60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60"/>
      <c r="B669" s="60"/>
      <c r="C669" s="8"/>
      <c r="D669" s="8"/>
      <c r="E669" s="60"/>
      <c r="F669" s="60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60"/>
      <c r="B670" s="60"/>
      <c r="C670" s="8"/>
      <c r="D670" s="8"/>
      <c r="E670" s="60"/>
      <c r="F670" s="60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60"/>
      <c r="B671" s="60"/>
      <c r="C671" s="8"/>
      <c r="D671" s="8"/>
      <c r="E671" s="60"/>
      <c r="F671" s="60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60"/>
      <c r="B672" s="60"/>
      <c r="C672" s="8"/>
      <c r="D672" s="8"/>
      <c r="E672" s="60"/>
      <c r="F672" s="60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60"/>
      <c r="B673" s="60"/>
      <c r="C673" s="8"/>
      <c r="D673" s="8"/>
      <c r="E673" s="60"/>
      <c r="F673" s="60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60"/>
      <c r="B674" s="60"/>
      <c r="C674" s="8"/>
      <c r="D674" s="8"/>
      <c r="E674" s="60"/>
      <c r="F674" s="60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60"/>
      <c r="B675" s="60"/>
      <c r="C675" s="8"/>
      <c r="D675" s="8"/>
      <c r="E675" s="60"/>
      <c r="F675" s="60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60"/>
      <c r="B676" s="60"/>
      <c r="C676" s="8"/>
      <c r="D676" s="8"/>
      <c r="E676" s="60"/>
      <c r="F676" s="60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60"/>
      <c r="B677" s="60"/>
      <c r="C677" s="8"/>
      <c r="D677" s="8"/>
      <c r="E677" s="60"/>
      <c r="F677" s="60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60"/>
      <c r="B678" s="60"/>
      <c r="C678" s="8"/>
      <c r="D678" s="8"/>
      <c r="E678" s="60"/>
      <c r="F678" s="60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60"/>
      <c r="B679" s="60"/>
      <c r="C679" s="8"/>
      <c r="D679" s="8"/>
      <c r="E679" s="60"/>
      <c r="F679" s="60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60"/>
      <c r="B680" s="60"/>
      <c r="C680" s="8"/>
      <c r="D680" s="8"/>
      <c r="E680" s="60"/>
      <c r="F680" s="60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60"/>
      <c r="B681" s="60"/>
      <c r="C681" s="8"/>
      <c r="D681" s="8"/>
      <c r="E681" s="60"/>
      <c r="F681" s="60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60"/>
      <c r="B682" s="60"/>
      <c r="C682" s="8"/>
      <c r="D682" s="8"/>
      <c r="E682" s="60"/>
      <c r="F682" s="60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60"/>
      <c r="B683" s="60"/>
      <c r="C683" s="8"/>
      <c r="D683" s="8"/>
      <c r="E683" s="60"/>
      <c r="F683" s="60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60"/>
      <c r="B684" s="60"/>
      <c r="C684" s="8"/>
      <c r="D684" s="8"/>
      <c r="E684" s="60"/>
      <c r="F684" s="60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60"/>
      <c r="B685" s="60"/>
      <c r="C685" s="8"/>
      <c r="D685" s="8"/>
      <c r="E685" s="60"/>
      <c r="F685" s="60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60"/>
      <c r="B686" s="60"/>
      <c r="C686" s="8"/>
      <c r="D686" s="8"/>
      <c r="E686" s="60"/>
      <c r="F686" s="60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60"/>
      <c r="B687" s="60"/>
      <c r="C687" s="8"/>
      <c r="D687" s="8"/>
      <c r="E687" s="60"/>
      <c r="F687" s="60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60"/>
      <c r="B688" s="60"/>
      <c r="C688" s="8"/>
      <c r="D688" s="8"/>
      <c r="E688" s="60"/>
      <c r="F688" s="60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60"/>
      <c r="B689" s="60"/>
      <c r="C689" s="8"/>
      <c r="D689" s="8"/>
      <c r="E689" s="60"/>
      <c r="F689" s="60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60"/>
      <c r="B690" s="60"/>
      <c r="C690" s="8"/>
      <c r="D690" s="8"/>
      <c r="E690" s="60"/>
      <c r="F690" s="60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60"/>
      <c r="B691" s="60"/>
      <c r="C691" s="8"/>
      <c r="D691" s="8"/>
      <c r="E691" s="60"/>
      <c r="F691" s="60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60"/>
      <c r="B692" s="60"/>
      <c r="C692" s="8"/>
      <c r="D692" s="8"/>
      <c r="E692" s="60"/>
      <c r="F692" s="60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60"/>
      <c r="B693" s="60"/>
      <c r="C693" s="8"/>
      <c r="D693" s="8"/>
      <c r="E693" s="60"/>
      <c r="F693" s="60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60"/>
      <c r="B694" s="60"/>
      <c r="C694" s="8"/>
      <c r="D694" s="8"/>
      <c r="E694" s="60"/>
      <c r="F694" s="60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60"/>
      <c r="B695" s="60"/>
      <c r="C695" s="8"/>
      <c r="D695" s="8"/>
      <c r="E695" s="60"/>
      <c r="F695" s="60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60"/>
      <c r="B696" s="60"/>
      <c r="C696" s="8"/>
      <c r="D696" s="8"/>
      <c r="E696" s="60"/>
      <c r="F696" s="60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60"/>
      <c r="B697" s="60"/>
      <c r="C697" s="8"/>
      <c r="D697" s="8"/>
      <c r="E697" s="60"/>
      <c r="F697" s="60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60"/>
      <c r="B698" s="60"/>
      <c r="C698" s="8"/>
      <c r="D698" s="8"/>
      <c r="E698" s="60"/>
      <c r="F698" s="60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60"/>
      <c r="B699" s="60"/>
      <c r="C699" s="8"/>
      <c r="D699" s="8"/>
      <c r="E699" s="60"/>
      <c r="F699" s="60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60"/>
      <c r="B700" s="60"/>
      <c r="C700" s="8"/>
      <c r="D700" s="8"/>
      <c r="E700" s="60"/>
      <c r="F700" s="60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60"/>
      <c r="B701" s="60"/>
      <c r="C701" s="8"/>
      <c r="D701" s="8"/>
      <c r="E701" s="60"/>
      <c r="F701" s="60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60"/>
      <c r="B702" s="60"/>
      <c r="C702" s="8"/>
      <c r="D702" s="8"/>
      <c r="E702" s="60"/>
      <c r="F702" s="60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60"/>
      <c r="B703" s="60"/>
      <c r="C703" s="8"/>
      <c r="D703" s="8"/>
      <c r="E703" s="60"/>
      <c r="F703" s="60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60"/>
      <c r="B704" s="60"/>
      <c r="C704" s="8"/>
      <c r="D704" s="8"/>
      <c r="E704" s="60"/>
      <c r="F704" s="60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60"/>
      <c r="B705" s="60"/>
      <c r="C705" s="8"/>
      <c r="D705" s="8"/>
      <c r="E705" s="60"/>
      <c r="F705" s="60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60"/>
      <c r="B706" s="60"/>
      <c r="C706" s="8"/>
      <c r="D706" s="8"/>
      <c r="E706" s="60"/>
      <c r="F706" s="60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60"/>
      <c r="B707" s="60"/>
      <c r="C707" s="8"/>
      <c r="D707" s="8"/>
      <c r="E707" s="60"/>
      <c r="F707" s="60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60"/>
      <c r="B708" s="60"/>
      <c r="C708" s="8"/>
      <c r="D708" s="8"/>
      <c r="E708" s="60"/>
      <c r="F708" s="60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60"/>
      <c r="B709" s="60"/>
      <c r="C709" s="8"/>
      <c r="D709" s="8"/>
      <c r="E709" s="60"/>
      <c r="F709" s="60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60"/>
      <c r="B710" s="60"/>
      <c r="C710" s="8"/>
      <c r="D710" s="8"/>
      <c r="E710" s="60"/>
      <c r="F710" s="60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60"/>
      <c r="B711" s="60"/>
      <c r="C711" s="8"/>
      <c r="D711" s="8"/>
      <c r="E711" s="60"/>
      <c r="F711" s="60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60"/>
      <c r="B712" s="60"/>
      <c r="C712" s="8"/>
      <c r="D712" s="8"/>
      <c r="E712" s="60"/>
      <c r="F712" s="60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60"/>
      <c r="B713" s="60"/>
      <c r="C713" s="8"/>
      <c r="D713" s="8"/>
      <c r="E713" s="60"/>
      <c r="F713" s="60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60"/>
      <c r="B714" s="60"/>
      <c r="C714" s="8"/>
      <c r="D714" s="8"/>
      <c r="E714" s="60"/>
      <c r="F714" s="60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60"/>
      <c r="B715" s="60"/>
      <c r="C715" s="8"/>
      <c r="D715" s="8"/>
      <c r="E715" s="60"/>
      <c r="F715" s="60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60"/>
      <c r="B716" s="60"/>
      <c r="C716" s="8"/>
      <c r="D716" s="8"/>
      <c r="E716" s="60"/>
      <c r="F716" s="60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60"/>
      <c r="B717" s="60"/>
      <c r="C717" s="8"/>
      <c r="D717" s="8"/>
      <c r="E717" s="60"/>
      <c r="F717" s="60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60"/>
      <c r="B718" s="60"/>
      <c r="C718" s="8"/>
      <c r="D718" s="8"/>
      <c r="E718" s="60"/>
      <c r="F718" s="60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60"/>
      <c r="B719" s="60"/>
      <c r="C719" s="8"/>
      <c r="D719" s="8"/>
      <c r="E719" s="60"/>
      <c r="F719" s="60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60"/>
      <c r="B720" s="60"/>
      <c r="C720" s="8"/>
      <c r="D720" s="8"/>
      <c r="E720" s="60"/>
      <c r="F720" s="60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60"/>
      <c r="B721" s="60"/>
      <c r="C721" s="8"/>
      <c r="D721" s="8"/>
      <c r="E721" s="60"/>
      <c r="F721" s="60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60"/>
      <c r="B722" s="60"/>
      <c r="C722" s="8"/>
      <c r="D722" s="8"/>
      <c r="E722" s="60"/>
      <c r="F722" s="60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60"/>
      <c r="B723" s="60"/>
      <c r="C723" s="8"/>
      <c r="D723" s="8"/>
      <c r="E723" s="60"/>
      <c r="F723" s="60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60"/>
      <c r="B724" s="60"/>
      <c r="C724" s="8"/>
      <c r="D724" s="8"/>
      <c r="E724" s="60"/>
      <c r="F724" s="60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60"/>
      <c r="B725" s="60"/>
      <c r="C725" s="8"/>
      <c r="D725" s="8"/>
      <c r="E725" s="60"/>
      <c r="F725" s="60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60"/>
      <c r="B726" s="60"/>
      <c r="C726" s="8"/>
      <c r="D726" s="8"/>
      <c r="E726" s="60"/>
      <c r="F726" s="60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60"/>
      <c r="B727" s="60"/>
      <c r="C727" s="8"/>
      <c r="D727" s="8"/>
      <c r="E727" s="60"/>
      <c r="F727" s="60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60"/>
      <c r="B728" s="60"/>
      <c r="C728" s="8"/>
      <c r="D728" s="8"/>
      <c r="E728" s="60"/>
      <c r="F728" s="60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60"/>
      <c r="B729" s="60"/>
      <c r="C729" s="8"/>
      <c r="D729" s="8"/>
      <c r="E729" s="60"/>
      <c r="F729" s="60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60"/>
      <c r="B730" s="60"/>
      <c r="C730" s="8"/>
      <c r="D730" s="8"/>
      <c r="E730" s="60"/>
      <c r="F730" s="60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60"/>
      <c r="B731" s="60"/>
      <c r="C731" s="8"/>
      <c r="D731" s="8"/>
      <c r="E731" s="60"/>
      <c r="F731" s="60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60"/>
      <c r="B732" s="60"/>
      <c r="C732" s="8"/>
      <c r="D732" s="8"/>
      <c r="E732" s="60"/>
      <c r="F732" s="60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60"/>
      <c r="B733" s="60"/>
      <c r="C733" s="8"/>
      <c r="D733" s="8"/>
      <c r="E733" s="60"/>
      <c r="F733" s="60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60"/>
      <c r="B734" s="60"/>
      <c r="C734" s="8"/>
      <c r="D734" s="8"/>
      <c r="E734" s="60"/>
      <c r="F734" s="60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60"/>
      <c r="B735" s="60"/>
      <c r="C735" s="8"/>
      <c r="D735" s="8"/>
      <c r="E735" s="60"/>
      <c r="F735" s="60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60"/>
      <c r="B736" s="60"/>
      <c r="C736" s="8"/>
      <c r="D736" s="8"/>
      <c r="E736" s="60"/>
      <c r="F736" s="60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60"/>
      <c r="B737" s="60"/>
      <c r="C737" s="8"/>
      <c r="D737" s="8"/>
      <c r="E737" s="60"/>
      <c r="F737" s="60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60"/>
      <c r="B738" s="60"/>
      <c r="C738" s="8"/>
      <c r="D738" s="8"/>
      <c r="E738" s="60"/>
      <c r="F738" s="60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60"/>
      <c r="B739" s="60"/>
      <c r="C739" s="8"/>
      <c r="D739" s="8"/>
      <c r="E739" s="60"/>
      <c r="F739" s="60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60"/>
      <c r="B740" s="60"/>
      <c r="C740" s="8"/>
      <c r="D740" s="8"/>
      <c r="E740" s="60"/>
      <c r="F740" s="60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60"/>
      <c r="B741" s="60"/>
      <c r="C741" s="8"/>
      <c r="D741" s="8"/>
      <c r="E741" s="60"/>
      <c r="F741" s="60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60"/>
      <c r="B742" s="60"/>
      <c r="C742" s="8"/>
      <c r="D742" s="8"/>
      <c r="E742" s="60"/>
      <c r="F742" s="60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60"/>
      <c r="B743" s="60"/>
      <c r="C743" s="8"/>
      <c r="D743" s="8"/>
      <c r="E743" s="60"/>
      <c r="F743" s="60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60"/>
      <c r="B744" s="60"/>
      <c r="C744" s="8"/>
      <c r="D744" s="8"/>
      <c r="E744" s="60"/>
      <c r="F744" s="60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60"/>
      <c r="B745" s="60"/>
      <c r="C745" s="8"/>
      <c r="D745" s="8"/>
      <c r="E745" s="60"/>
      <c r="F745" s="60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60"/>
      <c r="B746" s="60"/>
      <c r="C746" s="8"/>
      <c r="D746" s="8"/>
      <c r="E746" s="60"/>
      <c r="F746" s="60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60"/>
      <c r="B747" s="60"/>
      <c r="C747" s="8"/>
      <c r="D747" s="8"/>
      <c r="E747" s="60"/>
      <c r="F747" s="60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60"/>
      <c r="B748" s="60"/>
      <c r="C748" s="8"/>
      <c r="D748" s="8"/>
      <c r="E748" s="60"/>
      <c r="F748" s="60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60"/>
      <c r="B749" s="60"/>
      <c r="C749" s="8"/>
      <c r="D749" s="8"/>
      <c r="E749" s="60"/>
      <c r="F749" s="60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60"/>
      <c r="B750" s="60"/>
      <c r="C750" s="8"/>
      <c r="D750" s="8"/>
      <c r="E750" s="60"/>
      <c r="F750" s="60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60"/>
      <c r="B751" s="60"/>
      <c r="C751" s="8"/>
      <c r="D751" s="8"/>
      <c r="E751" s="60"/>
      <c r="F751" s="60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60"/>
      <c r="B752" s="60"/>
      <c r="C752" s="8"/>
      <c r="D752" s="8"/>
      <c r="E752" s="60"/>
      <c r="F752" s="60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60"/>
      <c r="B753" s="60"/>
      <c r="C753" s="8"/>
      <c r="D753" s="8"/>
      <c r="E753" s="60"/>
      <c r="F753" s="60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60"/>
      <c r="B754" s="60"/>
      <c r="C754" s="8"/>
      <c r="D754" s="8"/>
      <c r="E754" s="60"/>
      <c r="F754" s="60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60"/>
      <c r="B755" s="60"/>
      <c r="C755" s="8"/>
      <c r="D755" s="8"/>
      <c r="E755" s="60"/>
      <c r="F755" s="60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60"/>
      <c r="B756" s="60"/>
      <c r="C756" s="8"/>
      <c r="D756" s="8"/>
      <c r="E756" s="60"/>
      <c r="F756" s="60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60"/>
      <c r="B757" s="60"/>
      <c r="C757" s="8"/>
      <c r="D757" s="8"/>
      <c r="E757" s="60"/>
      <c r="F757" s="60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60"/>
      <c r="B758" s="60"/>
      <c r="C758" s="8"/>
      <c r="D758" s="8"/>
      <c r="E758" s="60"/>
      <c r="F758" s="60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60"/>
      <c r="B759" s="60"/>
      <c r="C759" s="8"/>
      <c r="D759" s="8"/>
      <c r="E759" s="60"/>
      <c r="F759" s="60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60"/>
      <c r="B760" s="60"/>
      <c r="C760" s="8"/>
      <c r="D760" s="8"/>
      <c r="E760" s="60"/>
      <c r="F760" s="60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60"/>
      <c r="B761" s="60"/>
      <c r="C761" s="8"/>
      <c r="D761" s="8"/>
      <c r="E761" s="60"/>
      <c r="F761" s="60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60"/>
      <c r="B762" s="60"/>
      <c r="C762" s="8"/>
      <c r="D762" s="8"/>
      <c r="E762" s="60"/>
      <c r="F762" s="60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60"/>
      <c r="B763" s="60"/>
      <c r="C763" s="8"/>
      <c r="D763" s="8"/>
      <c r="E763" s="60"/>
      <c r="F763" s="60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60"/>
      <c r="B764" s="60"/>
      <c r="C764" s="8"/>
      <c r="D764" s="8"/>
      <c r="E764" s="60"/>
      <c r="F764" s="60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60"/>
      <c r="B765" s="60"/>
      <c r="C765" s="8"/>
      <c r="D765" s="8"/>
      <c r="E765" s="60"/>
      <c r="F765" s="60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60"/>
      <c r="B766" s="60"/>
      <c r="C766" s="8"/>
      <c r="D766" s="8"/>
      <c r="E766" s="60"/>
      <c r="F766" s="60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60"/>
      <c r="B767" s="60"/>
      <c r="C767" s="8"/>
      <c r="D767" s="8"/>
      <c r="E767" s="60"/>
      <c r="F767" s="60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60"/>
      <c r="B768" s="60"/>
      <c r="C768" s="8"/>
      <c r="D768" s="8"/>
      <c r="E768" s="60"/>
      <c r="F768" s="60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60"/>
      <c r="B769" s="60"/>
      <c r="C769" s="8"/>
      <c r="D769" s="8"/>
      <c r="E769" s="60"/>
      <c r="F769" s="60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60"/>
      <c r="B770" s="60"/>
      <c r="C770" s="8"/>
      <c r="D770" s="8"/>
      <c r="E770" s="60"/>
      <c r="F770" s="60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60"/>
      <c r="B771" s="60"/>
      <c r="C771" s="8"/>
      <c r="D771" s="8"/>
      <c r="E771" s="60"/>
      <c r="F771" s="60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60"/>
      <c r="B772" s="60"/>
      <c r="C772" s="8"/>
      <c r="D772" s="8"/>
      <c r="E772" s="60"/>
      <c r="F772" s="60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60"/>
      <c r="B773" s="60"/>
      <c r="C773" s="8"/>
      <c r="D773" s="8"/>
      <c r="E773" s="60"/>
      <c r="F773" s="60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60"/>
      <c r="B774" s="60"/>
      <c r="C774" s="8"/>
      <c r="D774" s="8"/>
      <c r="E774" s="60"/>
      <c r="F774" s="60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60"/>
      <c r="B775" s="60"/>
      <c r="C775" s="8"/>
      <c r="D775" s="8"/>
      <c r="E775" s="60"/>
      <c r="F775" s="60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60"/>
      <c r="B776" s="60"/>
      <c r="C776" s="8"/>
      <c r="D776" s="8"/>
      <c r="E776" s="60"/>
      <c r="F776" s="60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60"/>
      <c r="B777" s="60"/>
      <c r="C777" s="8"/>
      <c r="D777" s="8"/>
      <c r="E777" s="60"/>
      <c r="F777" s="60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60"/>
      <c r="B778" s="60"/>
      <c r="C778" s="8"/>
      <c r="D778" s="8"/>
      <c r="E778" s="60"/>
      <c r="F778" s="60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60"/>
      <c r="B779" s="60"/>
      <c r="C779" s="8"/>
      <c r="D779" s="8"/>
      <c r="E779" s="60"/>
      <c r="F779" s="60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60"/>
      <c r="B780" s="60"/>
      <c r="C780" s="8"/>
      <c r="D780" s="8"/>
      <c r="E780" s="60"/>
      <c r="F780" s="60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60"/>
      <c r="B781" s="60"/>
      <c r="C781" s="8"/>
      <c r="D781" s="8"/>
      <c r="E781" s="60"/>
      <c r="F781" s="60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60"/>
      <c r="B782" s="60"/>
      <c r="C782" s="8"/>
      <c r="D782" s="8"/>
      <c r="E782" s="60"/>
      <c r="F782" s="60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60"/>
      <c r="B783" s="60"/>
      <c r="C783" s="8"/>
      <c r="D783" s="8"/>
      <c r="E783" s="60"/>
      <c r="F783" s="60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60"/>
      <c r="B784" s="60"/>
      <c r="C784" s="8"/>
      <c r="D784" s="8"/>
      <c r="E784" s="60"/>
      <c r="F784" s="60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60"/>
      <c r="B785" s="60"/>
      <c r="C785" s="8"/>
      <c r="D785" s="8"/>
      <c r="E785" s="60"/>
      <c r="F785" s="60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60"/>
      <c r="B786" s="60"/>
      <c r="C786" s="8"/>
      <c r="D786" s="8"/>
      <c r="E786" s="60"/>
      <c r="F786" s="60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60"/>
      <c r="B787" s="60"/>
      <c r="C787" s="8"/>
      <c r="D787" s="8"/>
      <c r="E787" s="60"/>
      <c r="F787" s="60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60"/>
      <c r="B788" s="60"/>
      <c r="C788" s="8"/>
      <c r="D788" s="8"/>
      <c r="E788" s="60"/>
      <c r="F788" s="60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60"/>
      <c r="B789" s="60"/>
      <c r="C789" s="8"/>
      <c r="D789" s="8"/>
      <c r="E789" s="60"/>
      <c r="F789" s="60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60"/>
      <c r="B790" s="60"/>
      <c r="C790" s="8"/>
      <c r="D790" s="8"/>
      <c r="E790" s="60"/>
      <c r="F790" s="60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60"/>
      <c r="B791" s="60"/>
      <c r="C791" s="8"/>
      <c r="D791" s="8"/>
      <c r="E791" s="60"/>
      <c r="F791" s="60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60"/>
      <c r="B792" s="60"/>
      <c r="C792" s="8"/>
      <c r="D792" s="8"/>
      <c r="E792" s="60"/>
      <c r="F792" s="60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60"/>
      <c r="B793" s="60"/>
      <c r="C793" s="8"/>
      <c r="D793" s="8"/>
      <c r="E793" s="60"/>
      <c r="F793" s="60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60"/>
      <c r="B794" s="60"/>
      <c r="C794" s="8"/>
      <c r="D794" s="8"/>
      <c r="E794" s="60"/>
      <c r="F794" s="60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60"/>
      <c r="B795" s="60"/>
      <c r="C795" s="8"/>
      <c r="D795" s="8"/>
      <c r="E795" s="60"/>
      <c r="F795" s="60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60"/>
      <c r="B796" s="60"/>
      <c r="C796" s="8"/>
      <c r="D796" s="8"/>
      <c r="E796" s="60"/>
      <c r="F796" s="60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60"/>
      <c r="B797" s="60"/>
      <c r="C797" s="8"/>
      <c r="D797" s="8"/>
      <c r="E797" s="60"/>
      <c r="F797" s="60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60"/>
      <c r="B798" s="60"/>
      <c r="C798" s="8"/>
      <c r="D798" s="8"/>
      <c r="E798" s="60"/>
      <c r="F798" s="60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60"/>
      <c r="B799" s="60"/>
      <c r="C799" s="8"/>
      <c r="D799" s="8"/>
      <c r="E799" s="60"/>
      <c r="F799" s="60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60"/>
      <c r="B800" s="60"/>
      <c r="C800" s="8"/>
      <c r="D800" s="8"/>
      <c r="E800" s="60"/>
      <c r="F800" s="60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60"/>
      <c r="B801" s="60"/>
      <c r="C801" s="8"/>
      <c r="D801" s="8"/>
      <c r="E801" s="60"/>
      <c r="F801" s="60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60"/>
      <c r="B802" s="60"/>
      <c r="C802" s="8"/>
      <c r="D802" s="8"/>
      <c r="E802" s="60"/>
      <c r="F802" s="60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60"/>
      <c r="B803" s="60"/>
      <c r="C803" s="8"/>
      <c r="D803" s="8"/>
      <c r="E803" s="60"/>
      <c r="F803" s="60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60"/>
      <c r="B804" s="60"/>
      <c r="C804" s="8"/>
      <c r="D804" s="8"/>
      <c r="E804" s="60"/>
      <c r="F804" s="60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60"/>
      <c r="B805" s="60"/>
      <c r="C805" s="8"/>
      <c r="D805" s="8"/>
      <c r="E805" s="60"/>
      <c r="F805" s="60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60"/>
      <c r="B806" s="60"/>
      <c r="C806" s="8"/>
      <c r="D806" s="8"/>
      <c r="E806" s="60"/>
      <c r="F806" s="60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60"/>
      <c r="B807" s="60"/>
      <c r="C807" s="8"/>
      <c r="D807" s="8"/>
      <c r="E807" s="60"/>
      <c r="F807" s="60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60"/>
      <c r="B808" s="60"/>
      <c r="C808" s="8"/>
      <c r="D808" s="8"/>
      <c r="E808" s="60"/>
      <c r="F808" s="60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60"/>
      <c r="B809" s="60"/>
      <c r="C809" s="8"/>
      <c r="D809" s="8"/>
      <c r="E809" s="60"/>
      <c r="F809" s="60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60"/>
      <c r="B810" s="60"/>
      <c r="C810" s="8"/>
      <c r="D810" s="8"/>
      <c r="E810" s="60"/>
      <c r="F810" s="60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60"/>
      <c r="B811" s="60"/>
      <c r="C811" s="8"/>
      <c r="D811" s="8"/>
      <c r="E811" s="60"/>
      <c r="F811" s="60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60"/>
      <c r="B812" s="60"/>
      <c r="C812" s="8"/>
      <c r="D812" s="8"/>
      <c r="E812" s="60"/>
      <c r="F812" s="60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60"/>
      <c r="B813" s="60"/>
      <c r="C813" s="8"/>
      <c r="D813" s="8"/>
      <c r="E813" s="60"/>
      <c r="F813" s="60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60"/>
      <c r="B814" s="60"/>
      <c r="C814" s="8"/>
      <c r="D814" s="8"/>
      <c r="E814" s="60"/>
      <c r="F814" s="60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60"/>
      <c r="B815" s="60"/>
      <c r="C815" s="8"/>
      <c r="D815" s="8"/>
      <c r="E815" s="60"/>
      <c r="F815" s="60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60"/>
      <c r="B816" s="60"/>
      <c r="C816" s="8"/>
      <c r="D816" s="8"/>
      <c r="E816" s="60"/>
      <c r="F816" s="60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60"/>
      <c r="B817" s="60"/>
      <c r="C817" s="8"/>
      <c r="D817" s="8"/>
      <c r="E817" s="60"/>
      <c r="F817" s="60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60"/>
      <c r="B818" s="60"/>
      <c r="C818" s="8"/>
      <c r="D818" s="8"/>
      <c r="E818" s="60"/>
      <c r="F818" s="60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60"/>
      <c r="B819" s="60"/>
      <c r="C819" s="8"/>
      <c r="D819" s="8"/>
      <c r="E819" s="60"/>
      <c r="F819" s="60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60"/>
      <c r="B820" s="60"/>
      <c r="C820" s="8"/>
      <c r="D820" s="8"/>
      <c r="E820" s="60"/>
      <c r="F820" s="60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60"/>
      <c r="B821" s="60"/>
      <c r="C821" s="8"/>
      <c r="D821" s="8"/>
      <c r="E821" s="60"/>
      <c r="F821" s="60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60"/>
      <c r="B822" s="60"/>
      <c r="C822" s="8"/>
      <c r="D822" s="8"/>
      <c r="E822" s="60"/>
      <c r="F822" s="60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60"/>
      <c r="B823" s="60"/>
      <c r="C823" s="8"/>
      <c r="D823" s="8"/>
      <c r="E823" s="60"/>
      <c r="F823" s="60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60"/>
      <c r="B824" s="60"/>
      <c r="C824" s="8"/>
      <c r="D824" s="8"/>
      <c r="E824" s="60"/>
      <c r="F824" s="60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60"/>
      <c r="B825" s="60"/>
      <c r="C825" s="8"/>
      <c r="D825" s="8"/>
      <c r="E825" s="60"/>
      <c r="F825" s="60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60"/>
      <c r="B826" s="60"/>
      <c r="C826" s="8"/>
      <c r="D826" s="8"/>
      <c r="E826" s="60"/>
      <c r="F826" s="60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60"/>
      <c r="B827" s="60"/>
      <c r="C827" s="8"/>
      <c r="D827" s="8"/>
      <c r="E827" s="60"/>
      <c r="F827" s="60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60"/>
      <c r="B828" s="60"/>
      <c r="C828" s="8"/>
      <c r="D828" s="8"/>
      <c r="E828" s="60"/>
      <c r="F828" s="60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60"/>
      <c r="B829" s="60"/>
      <c r="C829" s="8"/>
      <c r="D829" s="8"/>
      <c r="E829" s="60"/>
      <c r="F829" s="60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60"/>
      <c r="B830" s="60"/>
      <c r="C830" s="8"/>
      <c r="D830" s="8"/>
      <c r="E830" s="60"/>
      <c r="F830" s="60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60"/>
      <c r="B831" s="60"/>
      <c r="C831" s="8"/>
      <c r="D831" s="8"/>
      <c r="E831" s="60"/>
      <c r="F831" s="60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60"/>
      <c r="B832" s="60"/>
      <c r="C832" s="8"/>
      <c r="D832" s="8"/>
      <c r="E832" s="60"/>
      <c r="F832" s="60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60"/>
      <c r="B833" s="60"/>
      <c r="C833" s="8"/>
      <c r="D833" s="8"/>
      <c r="E833" s="60"/>
      <c r="F833" s="60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60"/>
      <c r="B834" s="60"/>
      <c r="C834" s="8"/>
      <c r="D834" s="8"/>
      <c r="E834" s="60"/>
      <c r="F834" s="60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60"/>
      <c r="B835" s="60"/>
      <c r="C835" s="8"/>
      <c r="D835" s="8"/>
      <c r="E835" s="60"/>
      <c r="F835" s="60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60"/>
      <c r="B836" s="60"/>
      <c r="C836" s="8"/>
      <c r="D836" s="8"/>
      <c r="E836" s="60"/>
      <c r="F836" s="60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60"/>
      <c r="B837" s="60"/>
      <c r="C837" s="8"/>
      <c r="D837" s="8"/>
      <c r="E837" s="60"/>
      <c r="F837" s="60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60"/>
      <c r="B838" s="60"/>
      <c r="C838" s="8"/>
      <c r="D838" s="8"/>
      <c r="E838" s="60"/>
      <c r="F838" s="60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60"/>
      <c r="B839" s="60"/>
      <c r="C839" s="8"/>
      <c r="D839" s="8"/>
      <c r="E839" s="60"/>
      <c r="F839" s="60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60"/>
      <c r="B840" s="60"/>
      <c r="C840" s="8"/>
      <c r="D840" s="8"/>
      <c r="E840" s="60"/>
      <c r="F840" s="60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60"/>
      <c r="B841" s="60"/>
      <c r="C841" s="8"/>
      <c r="D841" s="8"/>
      <c r="E841" s="60"/>
      <c r="F841" s="60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60"/>
      <c r="B842" s="60"/>
      <c r="C842" s="8"/>
      <c r="D842" s="8"/>
      <c r="E842" s="60"/>
      <c r="F842" s="60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60"/>
      <c r="B843" s="60"/>
      <c r="C843" s="8"/>
      <c r="D843" s="8"/>
      <c r="E843" s="60"/>
      <c r="F843" s="60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60"/>
      <c r="B844" s="60"/>
      <c r="C844" s="8"/>
      <c r="D844" s="8"/>
      <c r="E844" s="60"/>
      <c r="F844" s="60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60"/>
      <c r="B845" s="60"/>
      <c r="C845" s="8"/>
      <c r="D845" s="8"/>
      <c r="E845" s="60"/>
      <c r="F845" s="60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60"/>
      <c r="B846" s="60"/>
      <c r="C846" s="8"/>
      <c r="D846" s="8"/>
      <c r="E846" s="60"/>
      <c r="F846" s="60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60"/>
      <c r="B847" s="60"/>
      <c r="C847" s="8"/>
      <c r="D847" s="8"/>
      <c r="E847" s="60"/>
      <c r="F847" s="60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60"/>
      <c r="B848" s="60"/>
      <c r="C848" s="8"/>
      <c r="D848" s="8"/>
      <c r="E848" s="60"/>
      <c r="F848" s="60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60"/>
      <c r="B849" s="60"/>
      <c r="C849" s="8"/>
      <c r="D849" s="8"/>
      <c r="E849" s="60"/>
      <c r="F849" s="60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60"/>
      <c r="B850" s="60"/>
      <c r="C850" s="8"/>
      <c r="D850" s="8"/>
      <c r="E850" s="60"/>
      <c r="F850" s="60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60"/>
      <c r="B851" s="60"/>
      <c r="C851" s="8"/>
      <c r="D851" s="8"/>
      <c r="E851" s="60"/>
      <c r="F851" s="60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60"/>
      <c r="B852" s="60"/>
      <c r="C852" s="8"/>
      <c r="D852" s="8"/>
      <c r="E852" s="60"/>
      <c r="F852" s="60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60"/>
      <c r="B853" s="60"/>
      <c r="C853" s="8"/>
      <c r="D853" s="8"/>
      <c r="E853" s="60"/>
      <c r="F853" s="60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60"/>
      <c r="B854" s="60"/>
      <c r="C854" s="8"/>
      <c r="D854" s="8"/>
      <c r="E854" s="60"/>
      <c r="F854" s="60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60"/>
      <c r="B855" s="60"/>
      <c r="C855" s="8"/>
      <c r="D855" s="8"/>
      <c r="E855" s="60"/>
      <c r="F855" s="60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60"/>
      <c r="B856" s="60"/>
      <c r="C856" s="8"/>
      <c r="D856" s="8"/>
      <c r="E856" s="60"/>
      <c r="F856" s="60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60"/>
      <c r="B857" s="60"/>
      <c r="C857" s="8"/>
      <c r="D857" s="8"/>
      <c r="E857" s="60"/>
      <c r="F857" s="60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60"/>
      <c r="B858" s="60"/>
      <c r="C858" s="8"/>
      <c r="D858" s="8"/>
      <c r="E858" s="60"/>
      <c r="F858" s="60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60"/>
      <c r="B859" s="60"/>
      <c r="C859" s="8"/>
      <c r="D859" s="8"/>
      <c r="E859" s="60"/>
      <c r="F859" s="60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60"/>
      <c r="B860" s="60"/>
      <c r="C860" s="8"/>
      <c r="D860" s="8"/>
      <c r="E860" s="60"/>
      <c r="F860" s="60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60"/>
      <c r="B861" s="60"/>
      <c r="C861" s="8"/>
      <c r="D861" s="8"/>
      <c r="E861" s="60"/>
      <c r="F861" s="60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60"/>
      <c r="B862" s="60"/>
      <c r="C862" s="8"/>
      <c r="D862" s="8"/>
      <c r="E862" s="60"/>
      <c r="F862" s="60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60"/>
      <c r="B863" s="60"/>
      <c r="C863" s="8"/>
      <c r="D863" s="8"/>
      <c r="E863" s="60"/>
      <c r="F863" s="60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60"/>
      <c r="B864" s="60"/>
      <c r="C864" s="8"/>
      <c r="D864" s="8"/>
      <c r="E864" s="60"/>
      <c r="F864" s="60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60"/>
      <c r="B865" s="60"/>
      <c r="C865" s="8"/>
      <c r="D865" s="8"/>
      <c r="E865" s="60"/>
      <c r="F865" s="60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60"/>
      <c r="B866" s="60"/>
      <c r="C866" s="8"/>
      <c r="D866" s="8"/>
      <c r="E866" s="60"/>
      <c r="F866" s="60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60"/>
      <c r="B867" s="60"/>
      <c r="C867" s="8"/>
      <c r="D867" s="8"/>
      <c r="E867" s="60"/>
      <c r="F867" s="60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60"/>
      <c r="B868" s="60"/>
      <c r="C868" s="8"/>
      <c r="D868" s="8"/>
      <c r="E868" s="60"/>
      <c r="F868" s="60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60"/>
      <c r="B869" s="60"/>
      <c r="C869" s="8"/>
      <c r="D869" s="8"/>
      <c r="E869" s="60"/>
      <c r="F869" s="60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60"/>
      <c r="B870" s="60"/>
      <c r="C870" s="8"/>
      <c r="D870" s="8"/>
      <c r="E870" s="60"/>
      <c r="F870" s="60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60"/>
      <c r="B871" s="60"/>
      <c r="C871" s="8"/>
      <c r="D871" s="8"/>
      <c r="E871" s="60"/>
      <c r="F871" s="60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60"/>
      <c r="B872" s="60"/>
      <c r="C872" s="8"/>
      <c r="D872" s="8"/>
      <c r="E872" s="60"/>
      <c r="F872" s="60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60"/>
      <c r="B873" s="60"/>
      <c r="C873" s="8"/>
      <c r="D873" s="8"/>
      <c r="E873" s="60"/>
      <c r="F873" s="60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60"/>
      <c r="B874" s="60"/>
      <c r="C874" s="8"/>
      <c r="D874" s="8"/>
      <c r="E874" s="60"/>
      <c r="F874" s="60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60"/>
      <c r="B875" s="60"/>
      <c r="C875" s="8"/>
      <c r="D875" s="8"/>
      <c r="E875" s="60"/>
      <c r="F875" s="60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60"/>
      <c r="B876" s="60"/>
      <c r="C876" s="8"/>
      <c r="D876" s="8"/>
      <c r="E876" s="60"/>
      <c r="F876" s="60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60"/>
      <c r="B877" s="60"/>
      <c r="C877" s="8"/>
      <c r="D877" s="8"/>
      <c r="E877" s="60"/>
      <c r="F877" s="60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60"/>
      <c r="B878" s="60"/>
      <c r="C878" s="8"/>
      <c r="D878" s="8"/>
      <c r="E878" s="60"/>
      <c r="F878" s="60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60"/>
      <c r="B879" s="60"/>
      <c r="C879" s="8"/>
      <c r="D879" s="8"/>
      <c r="E879" s="60"/>
      <c r="F879" s="60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60"/>
      <c r="B880" s="60"/>
      <c r="C880" s="8"/>
      <c r="D880" s="8"/>
      <c r="E880" s="60"/>
      <c r="F880" s="60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60"/>
      <c r="B881" s="60"/>
      <c r="C881" s="8"/>
      <c r="D881" s="8"/>
      <c r="E881" s="60"/>
      <c r="F881" s="60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60"/>
      <c r="B882" s="60"/>
      <c r="C882" s="8"/>
      <c r="D882" s="8"/>
      <c r="E882" s="60"/>
      <c r="F882" s="60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60"/>
      <c r="B883" s="60"/>
      <c r="C883" s="8"/>
      <c r="D883" s="8"/>
      <c r="E883" s="60"/>
      <c r="F883" s="60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60"/>
      <c r="B884" s="60"/>
      <c r="C884" s="8"/>
      <c r="D884" s="8"/>
      <c r="E884" s="60"/>
      <c r="F884" s="60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60"/>
      <c r="B885" s="60"/>
      <c r="C885" s="8"/>
      <c r="D885" s="8"/>
      <c r="E885" s="60"/>
      <c r="F885" s="60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60"/>
      <c r="B886" s="60"/>
      <c r="C886" s="8"/>
      <c r="D886" s="8"/>
      <c r="E886" s="60"/>
      <c r="F886" s="60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60"/>
      <c r="B887" s="60"/>
      <c r="C887" s="8"/>
      <c r="D887" s="8"/>
      <c r="E887" s="60"/>
      <c r="F887" s="60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60"/>
      <c r="B888" s="60"/>
      <c r="C888" s="8"/>
      <c r="D888" s="8"/>
      <c r="E888" s="60"/>
      <c r="F888" s="60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60"/>
      <c r="B889" s="60"/>
      <c r="C889" s="8"/>
      <c r="D889" s="8"/>
      <c r="E889" s="60"/>
      <c r="F889" s="60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60"/>
      <c r="B890" s="60"/>
      <c r="C890" s="8"/>
      <c r="D890" s="8"/>
      <c r="E890" s="60"/>
      <c r="F890" s="60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60"/>
      <c r="B891" s="60"/>
      <c r="C891" s="8"/>
      <c r="D891" s="8"/>
      <c r="E891" s="60"/>
      <c r="F891" s="60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60"/>
      <c r="B892" s="60"/>
      <c r="C892" s="8"/>
      <c r="D892" s="8"/>
      <c r="E892" s="60"/>
      <c r="F892" s="60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60"/>
      <c r="B893" s="60"/>
      <c r="C893" s="8"/>
      <c r="D893" s="8"/>
      <c r="E893" s="60"/>
      <c r="F893" s="60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60"/>
      <c r="B894" s="60"/>
      <c r="C894" s="8"/>
      <c r="D894" s="8"/>
      <c r="E894" s="60"/>
      <c r="F894" s="60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60"/>
      <c r="B895" s="60"/>
      <c r="C895" s="8"/>
      <c r="D895" s="8"/>
      <c r="E895" s="60"/>
      <c r="F895" s="60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60"/>
      <c r="B896" s="60"/>
      <c r="C896" s="8"/>
      <c r="D896" s="8"/>
      <c r="E896" s="60"/>
      <c r="F896" s="60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60"/>
      <c r="B897" s="60"/>
      <c r="C897" s="8"/>
      <c r="D897" s="8"/>
      <c r="E897" s="60"/>
      <c r="F897" s="60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60"/>
      <c r="B898" s="60"/>
      <c r="C898" s="8"/>
      <c r="D898" s="8"/>
      <c r="E898" s="60"/>
      <c r="F898" s="60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60"/>
      <c r="B899" s="60"/>
      <c r="C899" s="8"/>
      <c r="D899" s="8"/>
      <c r="E899" s="60"/>
      <c r="F899" s="60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60"/>
      <c r="B900" s="60"/>
      <c r="C900" s="8"/>
      <c r="D900" s="8"/>
      <c r="E900" s="60"/>
      <c r="F900" s="60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60"/>
      <c r="B901" s="60"/>
      <c r="C901" s="8"/>
      <c r="D901" s="8"/>
      <c r="E901" s="60"/>
      <c r="F901" s="60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60"/>
      <c r="B902" s="60"/>
      <c r="C902" s="8"/>
      <c r="D902" s="8"/>
      <c r="E902" s="60"/>
      <c r="F902" s="60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60"/>
      <c r="B903" s="60"/>
      <c r="C903" s="8"/>
      <c r="D903" s="8"/>
      <c r="E903" s="60"/>
      <c r="F903" s="60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60"/>
      <c r="B904" s="60"/>
      <c r="C904" s="8"/>
      <c r="D904" s="8"/>
      <c r="E904" s="60"/>
      <c r="F904" s="60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60"/>
      <c r="B905" s="60"/>
      <c r="C905" s="8"/>
      <c r="D905" s="8"/>
      <c r="E905" s="60"/>
      <c r="F905" s="60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60"/>
      <c r="B906" s="60"/>
      <c r="C906" s="8"/>
      <c r="D906" s="8"/>
      <c r="E906" s="60"/>
      <c r="F906" s="60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60"/>
      <c r="B907" s="60"/>
      <c r="C907" s="8"/>
      <c r="D907" s="8"/>
      <c r="E907" s="60"/>
      <c r="F907" s="60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60"/>
      <c r="B908" s="60"/>
      <c r="C908" s="8"/>
      <c r="D908" s="8"/>
      <c r="E908" s="60"/>
      <c r="F908" s="60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60"/>
      <c r="B909" s="60"/>
      <c r="C909" s="8"/>
      <c r="D909" s="8"/>
      <c r="E909" s="60"/>
      <c r="F909" s="60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60"/>
      <c r="B910" s="60"/>
      <c r="C910" s="8"/>
      <c r="D910" s="8"/>
      <c r="E910" s="60"/>
      <c r="F910" s="60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60"/>
      <c r="B911" s="60"/>
      <c r="C911" s="8"/>
      <c r="D911" s="8"/>
      <c r="E911" s="60"/>
      <c r="F911" s="60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60"/>
      <c r="B912" s="60"/>
      <c r="C912" s="8"/>
      <c r="D912" s="8"/>
      <c r="E912" s="60"/>
      <c r="F912" s="60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60"/>
      <c r="B913" s="60"/>
      <c r="C913" s="8"/>
      <c r="D913" s="8"/>
      <c r="E913" s="60"/>
      <c r="F913" s="60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60"/>
      <c r="B914" s="60"/>
      <c r="C914" s="8"/>
      <c r="D914" s="8"/>
      <c r="E914" s="60"/>
      <c r="F914" s="60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60"/>
      <c r="B915" s="60"/>
      <c r="C915" s="8"/>
      <c r="D915" s="8"/>
      <c r="E915" s="60"/>
      <c r="F915" s="60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60"/>
      <c r="B916" s="60"/>
      <c r="C916" s="8"/>
      <c r="D916" s="8"/>
      <c r="E916" s="60"/>
      <c r="F916" s="60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60"/>
      <c r="B917" s="60"/>
      <c r="C917" s="8"/>
      <c r="D917" s="8"/>
      <c r="E917" s="60"/>
      <c r="F917" s="60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60"/>
      <c r="B918" s="60"/>
      <c r="C918" s="8"/>
      <c r="D918" s="8"/>
      <c r="E918" s="60"/>
      <c r="F918" s="60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60"/>
      <c r="B919" s="60"/>
      <c r="C919" s="8"/>
      <c r="D919" s="8"/>
      <c r="E919" s="60"/>
      <c r="F919" s="60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60"/>
      <c r="B920" s="60"/>
      <c r="C920" s="8"/>
      <c r="D920" s="8"/>
      <c r="E920" s="60"/>
      <c r="F920" s="60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60"/>
      <c r="B921" s="60"/>
      <c r="C921" s="8"/>
      <c r="D921" s="8"/>
      <c r="E921" s="60"/>
      <c r="F921" s="60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60"/>
      <c r="B922" s="60"/>
      <c r="C922" s="8"/>
      <c r="D922" s="8"/>
      <c r="E922" s="60"/>
      <c r="F922" s="60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60"/>
      <c r="B923" s="60"/>
      <c r="C923" s="8"/>
      <c r="D923" s="8"/>
      <c r="E923" s="60"/>
      <c r="F923" s="60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60"/>
      <c r="B924" s="60"/>
      <c r="C924" s="8"/>
      <c r="D924" s="8"/>
      <c r="E924" s="60"/>
      <c r="F924" s="60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60"/>
      <c r="B925" s="60"/>
      <c r="C925" s="8"/>
      <c r="D925" s="8"/>
      <c r="E925" s="60"/>
      <c r="F925" s="60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60"/>
      <c r="B926" s="60"/>
      <c r="C926" s="8"/>
      <c r="D926" s="8"/>
      <c r="E926" s="60"/>
      <c r="F926" s="60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60"/>
      <c r="B927" s="60"/>
      <c r="C927" s="8"/>
      <c r="D927" s="8"/>
      <c r="E927" s="60"/>
      <c r="F927" s="60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60"/>
      <c r="B928" s="60"/>
      <c r="C928" s="8"/>
      <c r="D928" s="8"/>
      <c r="E928" s="60"/>
      <c r="F928" s="60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60"/>
      <c r="B929" s="60"/>
      <c r="C929" s="8"/>
      <c r="D929" s="8"/>
      <c r="E929" s="60"/>
      <c r="F929" s="60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60"/>
      <c r="B930" s="60"/>
      <c r="C930" s="8"/>
      <c r="D930" s="8"/>
      <c r="E930" s="60"/>
      <c r="F930" s="60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60"/>
      <c r="B931" s="60"/>
      <c r="C931" s="8"/>
      <c r="D931" s="8"/>
      <c r="E931" s="60"/>
      <c r="F931" s="60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60"/>
      <c r="B932" s="60"/>
      <c r="C932" s="8"/>
      <c r="D932" s="8"/>
      <c r="E932" s="60"/>
      <c r="F932" s="60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60"/>
      <c r="B933" s="60"/>
      <c r="C933" s="8"/>
      <c r="D933" s="8"/>
      <c r="E933" s="60"/>
      <c r="F933" s="60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60"/>
      <c r="B934" s="60"/>
      <c r="C934" s="8"/>
      <c r="D934" s="8"/>
      <c r="E934" s="60"/>
      <c r="F934" s="60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60"/>
      <c r="B935" s="60"/>
      <c r="C935" s="8"/>
      <c r="D935" s="8"/>
      <c r="E935" s="60"/>
      <c r="F935" s="60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60"/>
      <c r="B936" s="60"/>
      <c r="C936" s="8"/>
      <c r="D936" s="8"/>
      <c r="E936" s="60"/>
      <c r="F936" s="60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60"/>
      <c r="B937" s="60"/>
      <c r="C937" s="8"/>
      <c r="D937" s="8"/>
      <c r="E937" s="60"/>
      <c r="F937" s="60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60"/>
      <c r="B938" s="60"/>
      <c r="C938" s="8"/>
      <c r="D938" s="8"/>
      <c r="E938" s="60"/>
      <c r="F938" s="60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60"/>
      <c r="B939" s="60"/>
      <c r="C939" s="8"/>
      <c r="D939" s="8"/>
      <c r="E939" s="60"/>
      <c r="F939" s="60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60"/>
      <c r="B940" s="60"/>
      <c r="C940" s="8"/>
      <c r="D940" s="8"/>
      <c r="E940" s="60"/>
      <c r="F940" s="60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60"/>
      <c r="B941" s="60"/>
      <c r="C941" s="8"/>
      <c r="D941" s="8"/>
      <c r="E941" s="60"/>
      <c r="F941" s="60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60"/>
      <c r="B942" s="60"/>
      <c r="C942" s="8"/>
      <c r="D942" s="8"/>
      <c r="E942" s="60"/>
      <c r="F942" s="60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60"/>
      <c r="B943" s="60"/>
      <c r="C943" s="8"/>
      <c r="D943" s="8"/>
      <c r="E943" s="60"/>
      <c r="F943" s="60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60"/>
      <c r="B944" s="60"/>
      <c r="C944" s="8"/>
      <c r="D944" s="8"/>
      <c r="E944" s="60"/>
      <c r="F944" s="60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60"/>
      <c r="B945" s="60"/>
      <c r="C945" s="8"/>
      <c r="D945" s="8"/>
      <c r="E945" s="60"/>
      <c r="F945" s="60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60"/>
      <c r="B946" s="60"/>
      <c r="C946" s="8"/>
      <c r="D946" s="8"/>
      <c r="E946" s="60"/>
      <c r="F946" s="60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60"/>
      <c r="B947" s="60"/>
      <c r="C947" s="8"/>
      <c r="D947" s="8"/>
      <c r="E947" s="60"/>
      <c r="F947" s="60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60"/>
      <c r="B948" s="60"/>
      <c r="C948" s="8"/>
      <c r="D948" s="8"/>
      <c r="E948" s="60"/>
      <c r="F948" s="60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60"/>
      <c r="B949" s="60"/>
      <c r="C949" s="8"/>
      <c r="D949" s="8"/>
      <c r="E949" s="60"/>
      <c r="F949" s="60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60"/>
      <c r="B950" s="60"/>
      <c r="C950" s="8"/>
      <c r="D950" s="8"/>
      <c r="E950" s="60"/>
      <c r="F950" s="60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60"/>
      <c r="B951" s="60"/>
      <c r="C951" s="8"/>
      <c r="D951" s="8"/>
      <c r="E951" s="60"/>
      <c r="F951" s="60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60"/>
      <c r="B952" s="60"/>
      <c r="C952" s="8"/>
      <c r="D952" s="8"/>
      <c r="E952" s="60"/>
      <c r="F952" s="60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60"/>
      <c r="B953" s="60"/>
      <c r="C953" s="8"/>
      <c r="D953" s="8"/>
      <c r="E953" s="60"/>
      <c r="F953" s="60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60"/>
      <c r="B954" s="60"/>
      <c r="C954" s="8"/>
      <c r="D954" s="8"/>
      <c r="E954" s="60"/>
      <c r="F954" s="60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60"/>
      <c r="B955" s="60"/>
      <c r="C955" s="8"/>
      <c r="D955" s="8"/>
      <c r="E955" s="60"/>
      <c r="F955" s="60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60"/>
      <c r="B956" s="60"/>
      <c r="C956" s="8"/>
      <c r="D956" s="8"/>
      <c r="E956" s="60"/>
      <c r="F956" s="60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60"/>
      <c r="B957" s="60"/>
      <c r="C957" s="8"/>
      <c r="D957" s="8"/>
      <c r="E957" s="60"/>
      <c r="F957" s="60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60"/>
      <c r="B958" s="60"/>
      <c r="C958" s="8"/>
      <c r="D958" s="8"/>
      <c r="E958" s="60"/>
      <c r="F958" s="60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60"/>
      <c r="B959" s="60"/>
      <c r="C959" s="8"/>
      <c r="D959" s="8"/>
      <c r="E959" s="60"/>
      <c r="F959" s="60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60"/>
      <c r="B960" s="60"/>
      <c r="C960" s="8"/>
      <c r="D960" s="8"/>
      <c r="E960" s="60"/>
      <c r="F960" s="60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60"/>
      <c r="B961" s="60"/>
      <c r="C961" s="8"/>
      <c r="D961" s="8"/>
      <c r="E961" s="60"/>
      <c r="F961" s="60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60"/>
      <c r="B962" s="60"/>
      <c r="C962" s="8"/>
      <c r="D962" s="8"/>
      <c r="E962" s="60"/>
      <c r="F962" s="60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60"/>
      <c r="B963" s="60"/>
      <c r="C963" s="8"/>
      <c r="D963" s="8"/>
      <c r="E963" s="60"/>
      <c r="F963" s="60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60"/>
      <c r="B964" s="60"/>
      <c r="C964" s="8"/>
      <c r="D964" s="8"/>
      <c r="E964" s="60"/>
      <c r="F964" s="60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60"/>
      <c r="B965" s="60"/>
      <c r="C965" s="8"/>
      <c r="D965" s="8"/>
      <c r="E965" s="60"/>
      <c r="F965" s="60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60"/>
      <c r="B966" s="60"/>
      <c r="C966" s="8"/>
      <c r="D966" s="8"/>
      <c r="E966" s="60"/>
      <c r="F966" s="60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60"/>
      <c r="B967" s="60"/>
      <c r="C967" s="8"/>
      <c r="D967" s="8"/>
      <c r="E967" s="60"/>
      <c r="F967" s="60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60"/>
      <c r="B968" s="60"/>
      <c r="C968" s="8"/>
      <c r="D968" s="8"/>
      <c r="E968" s="60"/>
      <c r="F968" s="60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60"/>
      <c r="B969" s="60"/>
      <c r="C969" s="8"/>
      <c r="D969" s="8"/>
      <c r="E969" s="60"/>
      <c r="F969" s="60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60"/>
      <c r="B970" s="60"/>
      <c r="C970" s="8"/>
      <c r="D970" s="8"/>
      <c r="E970" s="60"/>
      <c r="F970" s="60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60"/>
      <c r="B971" s="60"/>
      <c r="C971" s="8"/>
      <c r="D971" s="8"/>
      <c r="E971" s="60"/>
      <c r="F971" s="60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60"/>
      <c r="B972" s="60"/>
      <c r="C972" s="8"/>
      <c r="D972" s="8"/>
      <c r="E972" s="60"/>
      <c r="F972" s="60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60"/>
      <c r="B973" s="60"/>
      <c r="C973" s="8"/>
      <c r="D973" s="8"/>
      <c r="E973" s="60"/>
      <c r="F973" s="60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60"/>
      <c r="B974" s="60"/>
      <c r="C974" s="8"/>
      <c r="D974" s="8"/>
      <c r="E974" s="60"/>
      <c r="F974" s="60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60"/>
      <c r="B975" s="60"/>
      <c r="C975" s="8"/>
      <c r="D975" s="8"/>
      <c r="E975" s="60"/>
      <c r="F975" s="60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60"/>
      <c r="B976" s="60"/>
      <c r="C976" s="8"/>
      <c r="D976" s="8"/>
      <c r="E976" s="60"/>
      <c r="F976" s="60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60"/>
      <c r="B977" s="60"/>
      <c r="C977" s="8"/>
      <c r="D977" s="8"/>
      <c r="E977" s="60"/>
      <c r="F977" s="60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60"/>
      <c r="B978" s="60"/>
      <c r="C978" s="8"/>
      <c r="D978" s="8"/>
      <c r="E978" s="60"/>
      <c r="F978" s="60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60"/>
      <c r="B979" s="60"/>
      <c r="C979" s="8"/>
      <c r="D979" s="8"/>
      <c r="E979" s="60"/>
      <c r="F979" s="60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60"/>
      <c r="B980" s="60"/>
      <c r="C980" s="8"/>
      <c r="D980" s="8"/>
      <c r="E980" s="60"/>
      <c r="F980" s="60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60"/>
      <c r="B981" s="60"/>
      <c r="C981" s="8"/>
      <c r="D981" s="8"/>
      <c r="E981" s="60"/>
      <c r="F981" s="60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60"/>
      <c r="B982" s="60"/>
      <c r="C982" s="8"/>
      <c r="D982" s="8"/>
      <c r="E982" s="60"/>
      <c r="F982" s="60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60"/>
      <c r="B983" s="60"/>
      <c r="C983" s="8"/>
      <c r="D983" s="8"/>
      <c r="E983" s="60"/>
      <c r="F983" s="60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60"/>
      <c r="B984" s="60"/>
      <c r="C984" s="8"/>
      <c r="D984" s="8"/>
      <c r="E984" s="60"/>
      <c r="F984" s="60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60"/>
      <c r="B985" s="60"/>
      <c r="C985" s="8"/>
      <c r="D985" s="8"/>
      <c r="E985" s="60"/>
      <c r="F985" s="60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60"/>
      <c r="B986" s="60"/>
      <c r="C986" s="8"/>
      <c r="D986" s="8"/>
      <c r="E986" s="60"/>
      <c r="F986" s="60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60"/>
      <c r="B987" s="60"/>
      <c r="C987" s="8"/>
      <c r="D987" s="8"/>
      <c r="E987" s="60"/>
      <c r="F987" s="60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60"/>
      <c r="B988" s="60"/>
      <c r="C988" s="8"/>
      <c r="D988" s="8"/>
      <c r="E988" s="60"/>
      <c r="F988" s="60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60"/>
      <c r="B989" s="60"/>
      <c r="C989" s="8"/>
      <c r="D989" s="8"/>
      <c r="E989" s="60"/>
      <c r="F989" s="60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60"/>
      <c r="B990" s="60"/>
      <c r="C990" s="8"/>
      <c r="D990" s="8"/>
      <c r="E990" s="60"/>
      <c r="F990" s="60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60"/>
      <c r="B991" s="60"/>
      <c r="C991" s="8"/>
      <c r="D991" s="8"/>
      <c r="E991" s="60"/>
      <c r="F991" s="60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60"/>
      <c r="B992" s="60"/>
      <c r="C992" s="8"/>
      <c r="D992" s="8"/>
      <c r="E992" s="60"/>
      <c r="F992" s="60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60"/>
      <c r="B993" s="60"/>
      <c r="C993" s="8"/>
      <c r="D993" s="8"/>
      <c r="E993" s="60"/>
      <c r="F993" s="60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60"/>
      <c r="B994" s="60"/>
      <c r="C994" s="8"/>
      <c r="D994" s="8"/>
      <c r="E994" s="60"/>
      <c r="F994" s="60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60"/>
      <c r="B995" s="60"/>
      <c r="C995" s="8"/>
      <c r="D995" s="8"/>
      <c r="E995" s="60"/>
      <c r="F995" s="60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60"/>
      <c r="B996" s="60"/>
      <c r="C996" s="8"/>
      <c r="D996" s="8"/>
      <c r="E996" s="60"/>
      <c r="F996" s="60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60"/>
      <c r="B997" s="60"/>
      <c r="C997" s="8"/>
      <c r="D997" s="8"/>
      <c r="E997" s="60"/>
      <c r="F997" s="60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60"/>
      <c r="B998" s="60"/>
      <c r="C998" s="8"/>
      <c r="D998" s="8"/>
      <c r="E998" s="60"/>
      <c r="F998" s="60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60"/>
      <c r="B999" s="60"/>
      <c r="C999" s="8"/>
      <c r="D999" s="8"/>
      <c r="E999" s="60"/>
      <c r="F999" s="60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60"/>
      <c r="B1000" s="60"/>
      <c r="C1000" s="8"/>
      <c r="D1000" s="8"/>
      <c r="E1000" s="60"/>
      <c r="F1000" s="60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60"/>
      <c r="B1001" s="60"/>
      <c r="C1001" s="8"/>
      <c r="D1001" s="8"/>
      <c r="E1001" s="60"/>
      <c r="F1001" s="60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60"/>
      <c r="B1002" s="60"/>
      <c r="C1002" s="8"/>
      <c r="D1002" s="8"/>
      <c r="E1002" s="60"/>
      <c r="F1002" s="60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60"/>
      <c r="B1003" s="60"/>
      <c r="C1003" s="8"/>
      <c r="D1003" s="8"/>
      <c r="E1003" s="60"/>
      <c r="F1003" s="60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60"/>
      <c r="B1004" s="60"/>
      <c r="C1004" s="8"/>
      <c r="D1004" s="8"/>
      <c r="E1004" s="60"/>
      <c r="F1004" s="60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60"/>
      <c r="B1005" s="60"/>
      <c r="C1005" s="8"/>
      <c r="D1005" s="8"/>
      <c r="E1005" s="60"/>
      <c r="F1005" s="60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60"/>
      <c r="B1006" s="60"/>
      <c r="C1006" s="8"/>
      <c r="D1006" s="8"/>
      <c r="E1006" s="60"/>
      <c r="F1006" s="60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60"/>
      <c r="B1007" s="60"/>
      <c r="C1007" s="8"/>
      <c r="D1007" s="8"/>
      <c r="E1007" s="60"/>
      <c r="F1007" s="60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60"/>
      <c r="B1008" s="60"/>
      <c r="C1008" s="8"/>
      <c r="D1008" s="8"/>
      <c r="E1008" s="60"/>
      <c r="F1008" s="60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</sheetData>
  <dataValidations>
    <dataValidation type="custom" allowBlank="1" showDropDown="1" sqref="F2:F118">
      <formula1>AND(ISNUMBER(F2),(NOT(OR(NOT(ISERROR(DATEVALUE(F2))), AND(ISNUMBER(F2), LEFT(CELL("format", F2))="D")))))</formula1>
    </dataValidation>
    <dataValidation allowBlank="1" showDropDown="1" sqref="C2:E118"/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31.63"/>
    <col customWidth="1" min="3" max="3" width="31.5"/>
    <col customWidth="1" min="4" max="4" width="42.5"/>
    <col customWidth="1" min="5" max="6" width="21.88"/>
    <col customWidth="1" min="7" max="7" width="20.38"/>
    <col customWidth="1" min="8" max="8" width="18.63"/>
  </cols>
  <sheetData>
    <row r="1" ht="22.5" customHeight="1">
      <c r="A1" s="161" t="s">
        <v>1703</v>
      </c>
      <c r="B1" s="161" t="s">
        <v>2</v>
      </c>
      <c r="C1" s="162" t="s">
        <v>1215</v>
      </c>
      <c r="D1" s="162" t="s">
        <v>1216</v>
      </c>
      <c r="E1" s="163" t="s">
        <v>1217</v>
      </c>
      <c r="F1" s="163" t="s">
        <v>1021</v>
      </c>
      <c r="G1" s="164"/>
      <c r="H1" s="165" t="s">
        <v>1706</v>
      </c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</row>
    <row r="2" ht="22.5" customHeight="1">
      <c r="A2" s="11" t="s">
        <v>1708</v>
      </c>
      <c r="B2" s="11" t="s">
        <v>28</v>
      </c>
      <c r="C2" s="167" t="s">
        <v>1709</v>
      </c>
      <c r="D2" s="167" t="s">
        <v>1710</v>
      </c>
      <c r="E2" s="167" t="s">
        <v>1711</v>
      </c>
      <c r="F2" s="168">
        <v>0.12</v>
      </c>
      <c r="G2" s="164"/>
      <c r="H2" s="164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</row>
    <row r="3" ht="22.5" customHeight="1">
      <c r="A3" s="11" t="s">
        <v>1713</v>
      </c>
      <c r="B3" s="11" t="s">
        <v>28</v>
      </c>
      <c r="C3" s="167" t="s">
        <v>1709</v>
      </c>
      <c r="D3" s="167" t="s">
        <v>1714</v>
      </c>
      <c r="E3" s="167" t="s">
        <v>1711</v>
      </c>
      <c r="F3" s="168">
        <v>0.12</v>
      </c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</row>
    <row r="4" ht="22.5" customHeight="1">
      <c r="A4" s="11" t="s">
        <v>1715</v>
      </c>
      <c r="B4" s="11" t="s">
        <v>28</v>
      </c>
      <c r="C4" s="167" t="s">
        <v>1709</v>
      </c>
      <c r="D4" s="167" t="s">
        <v>1716</v>
      </c>
      <c r="E4" s="167" t="s">
        <v>1711</v>
      </c>
      <c r="F4" s="168">
        <v>0.12</v>
      </c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22.5" customHeight="1">
      <c r="A5" s="11" t="s">
        <v>1718</v>
      </c>
      <c r="B5" s="11" t="s">
        <v>28</v>
      </c>
      <c r="C5" s="167" t="s">
        <v>1709</v>
      </c>
      <c r="D5" s="167" t="s">
        <v>1719</v>
      </c>
      <c r="E5" s="167" t="s">
        <v>1711</v>
      </c>
      <c r="F5" s="168">
        <v>0.12</v>
      </c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22.5" customHeight="1">
      <c r="A6" s="11" t="s">
        <v>1721</v>
      </c>
      <c r="B6" s="11" t="s">
        <v>28</v>
      </c>
      <c r="C6" s="167" t="s">
        <v>1709</v>
      </c>
      <c r="D6" s="167" t="s">
        <v>1722</v>
      </c>
      <c r="E6" s="167" t="s">
        <v>1711</v>
      </c>
      <c r="F6" s="168">
        <v>0.35</v>
      </c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22.5" customHeight="1">
      <c r="A7" s="11" t="s">
        <v>1724</v>
      </c>
      <c r="B7" s="11" t="s">
        <v>28</v>
      </c>
      <c r="C7" s="167" t="s">
        <v>1709</v>
      </c>
      <c r="D7" s="167" t="s">
        <v>1725</v>
      </c>
      <c r="E7" s="167" t="s">
        <v>1726</v>
      </c>
      <c r="F7" s="168">
        <v>0.65</v>
      </c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22.5" customHeight="1">
      <c r="A8" s="11" t="s">
        <v>1728</v>
      </c>
      <c r="B8" s="11" t="s">
        <v>28</v>
      </c>
      <c r="C8" s="167" t="s">
        <v>1729</v>
      </c>
      <c r="D8" s="167" t="s">
        <v>1730</v>
      </c>
      <c r="E8" s="167" t="s">
        <v>1731</v>
      </c>
      <c r="F8" s="168">
        <v>5.0</v>
      </c>
      <c r="G8" s="166"/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22.5" customHeight="1">
      <c r="A9" s="11" t="s">
        <v>1733</v>
      </c>
      <c r="B9" s="11" t="s">
        <v>28</v>
      </c>
      <c r="C9" s="167" t="s">
        <v>1729</v>
      </c>
      <c r="D9" s="167" t="s">
        <v>1734</v>
      </c>
      <c r="E9" s="167" t="s">
        <v>1735</v>
      </c>
      <c r="F9" s="168">
        <v>1.5</v>
      </c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22.5" customHeight="1">
      <c r="A10" s="11" t="s">
        <v>1737</v>
      </c>
      <c r="B10" s="11" t="s">
        <v>28</v>
      </c>
      <c r="C10" s="167" t="s">
        <v>1738</v>
      </c>
      <c r="D10" s="167" t="s">
        <v>1739</v>
      </c>
      <c r="E10" s="167" t="s">
        <v>1740</v>
      </c>
      <c r="F10" s="168">
        <v>2.5</v>
      </c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ht="22.5" customHeight="1">
      <c r="A11" s="11" t="s">
        <v>1741</v>
      </c>
      <c r="B11" s="11" t="s">
        <v>28</v>
      </c>
      <c r="C11" s="167" t="s">
        <v>1738</v>
      </c>
      <c r="D11" s="167" t="s">
        <v>1743</v>
      </c>
      <c r="E11" s="167"/>
      <c r="F11" s="168">
        <v>0.0</v>
      </c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ht="22.5" customHeight="1">
      <c r="A12" s="11" t="s">
        <v>1744</v>
      </c>
      <c r="B12" s="11" t="s">
        <v>28</v>
      </c>
      <c r="C12" s="167" t="s">
        <v>1745</v>
      </c>
      <c r="D12" s="167" t="s">
        <v>1747</v>
      </c>
      <c r="E12" s="167" t="s">
        <v>1740</v>
      </c>
      <c r="F12" s="168">
        <v>3.5</v>
      </c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ht="22.5" customHeight="1">
      <c r="A13" s="11" t="s">
        <v>1748</v>
      </c>
      <c r="B13" s="11" t="s">
        <v>28</v>
      </c>
      <c r="C13" s="167" t="s">
        <v>1749</v>
      </c>
      <c r="D13" s="167" t="s">
        <v>1750</v>
      </c>
      <c r="E13" s="167" t="s">
        <v>1751</v>
      </c>
      <c r="F13" s="168">
        <v>60.0</v>
      </c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 ht="22.5" customHeight="1">
      <c r="A14" s="11" t="s">
        <v>1753</v>
      </c>
      <c r="B14" s="11" t="s">
        <v>28</v>
      </c>
      <c r="C14" s="167" t="s">
        <v>1754</v>
      </c>
      <c r="D14" s="167" t="s">
        <v>1755</v>
      </c>
      <c r="E14" s="167" t="s">
        <v>1756</v>
      </c>
      <c r="F14" s="168">
        <v>900.0</v>
      </c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</row>
    <row r="15" ht="22.5" customHeight="1">
      <c r="A15" s="11" t="s">
        <v>1757</v>
      </c>
      <c r="B15" s="11" t="s">
        <v>28</v>
      </c>
      <c r="C15" s="167" t="s">
        <v>1758</v>
      </c>
      <c r="D15" s="167" t="s">
        <v>1759</v>
      </c>
      <c r="E15" s="167" t="s">
        <v>1761</v>
      </c>
      <c r="F15" s="168">
        <v>100.0</v>
      </c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</row>
    <row r="16" ht="22.5" customHeight="1">
      <c r="A16" s="11" t="s">
        <v>1762</v>
      </c>
      <c r="B16" s="11" t="s">
        <v>28</v>
      </c>
      <c r="C16" s="167" t="s">
        <v>1763</v>
      </c>
      <c r="D16" s="167" t="s">
        <v>1764</v>
      </c>
      <c r="E16" s="167" t="s">
        <v>1761</v>
      </c>
      <c r="F16" s="168">
        <v>700.0</v>
      </c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</row>
    <row r="17" ht="22.5" customHeight="1">
      <c r="A17" s="11" t="s">
        <v>1766</v>
      </c>
      <c r="B17" s="11" t="s">
        <v>28</v>
      </c>
      <c r="C17" s="167" t="s">
        <v>1337</v>
      </c>
      <c r="D17" s="167" t="s">
        <v>1767</v>
      </c>
      <c r="E17" s="167" t="s">
        <v>1264</v>
      </c>
      <c r="F17" s="168">
        <v>200.0</v>
      </c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</row>
    <row r="18" ht="22.5" customHeight="1">
      <c r="A18" s="11" t="s">
        <v>1768</v>
      </c>
      <c r="B18" s="11" t="s">
        <v>67</v>
      </c>
      <c r="C18" s="167" t="s">
        <v>1709</v>
      </c>
      <c r="D18" s="167" t="s">
        <v>1710</v>
      </c>
      <c r="E18" s="167" t="s">
        <v>1711</v>
      </c>
      <c r="F18" s="168">
        <v>0.12</v>
      </c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</row>
    <row r="19" ht="22.5" customHeight="1">
      <c r="A19" s="11" t="s">
        <v>1770</v>
      </c>
      <c r="B19" s="11" t="s">
        <v>67</v>
      </c>
      <c r="C19" s="167" t="s">
        <v>1709</v>
      </c>
      <c r="D19" s="167" t="s">
        <v>1714</v>
      </c>
      <c r="E19" s="167" t="s">
        <v>1711</v>
      </c>
      <c r="F19" s="168">
        <v>0.12</v>
      </c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</row>
    <row r="20" ht="22.5" customHeight="1">
      <c r="A20" s="11" t="s">
        <v>1771</v>
      </c>
      <c r="B20" s="11" t="s">
        <v>67</v>
      </c>
      <c r="C20" s="167" t="s">
        <v>1709</v>
      </c>
      <c r="D20" s="167" t="s">
        <v>1716</v>
      </c>
      <c r="E20" s="167" t="s">
        <v>1711</v>
      </c>
      <c r="F20" s="168">
        <v>0.12</v>
      </c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</row>
    <row r="21" ht="22.5" customHeight="1">
      <c r="A21" s="11" t="s">
        <v>1773</v>
      </c>
      <c r="B21" s="11" t="s">
        <v>67</v>
      </c>
      <c r="C21" s="167" t="s">
        <v>1709</v>
      </c>
      <c r="D21" s="167" t="s">
        <v>1719</v>
      </c>
      <c r="E21" s="167" t="s">
        <v>1711</v>
      </c>
      <c r="F21" s="168">
        <v>0.12</v>
      </c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</row>
    <row r="22" ht="22.5" customHeight="1">
      <c r="A22" s="11" t="s">
        <v>1775</v>
      </c>
      <c r="B22" s="11" t="s">
        <v>67</v>
      </c>
      <c r="C22" s="167" t="s">
        <v>1709</v>
      </c>
      <c r="D22" s="167" t="s">
        <v>1722</v>
      </c>
      <c r="E22" s="167" t="s">
        <v>1711</v>
      </c>
      <c r="F22" s="168">
        <v>0.35</v>
      </c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</row>
    <row r="23" ht="22.5" customHeight="1">
      <c r="A23" s="11" t="s">
        <v>1776</v>
      </c>
      <c r="B23" s="11" t="s">
        <v>67</v>
      </c>
      <c r="C23" s="167" t="s">
        <v>1709</v>
      </c>
      <c r="D23" s="167" t="s">
        <v>1725</v>
      </c>
      <c r="E23" s="167" t="s">
        <v>1726</v>
      </c>
      <c r="F23" s="168">
        <v>0.65</v>
      </c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</row>
    <row r="24" ht="22.5" customHeight="1">
      <c r="A24" s="11" t="s">
        <v>1778</v>
      </c>
      <c r="B24" s="11" t="s">
        <v>67</v>
      </c>
      <c r="C24" s="167" t="s">
        <v>1729</v>
      </c>
      <c r="D24" s="167" t="s">
        <v>1730</v>
      </c>
      <c r="E24" s="167" t="s">
        <v>1731</v>
      </c>
      <c r="F24" s="168">
        <v>5.0</v>
      </c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</row>
    <row r="25" ht="22.5" customHeight="1">
      <c r="A25" s="11" t="s">
        <v>1779</v>
      </c>
      <c r="B25" s="11" t="s">
        <v>67</v>
      </c>
      <c r="C25" s="167" t="s">
        <v>1729</v>
      </c>
      <c r="D25" s="167" t="s">
        <v>1734</v>
      </c>
      <c r="E25" s="167" t="s">
        <v>1735</v>
      </c>
      <c r="F25" s="168">
        <v>1.5</v>
      </c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</row>
    <row r="26" ht="22.5" customHeight="1">
      <c r="A26" s="11" t="s">
        <v>1781</v>
      </c>
      <c r="B26" s="11" t="s">
        <v>67</v>
      </c>
      <c r="C26" s="167" t="s">
        <v>1738</v>
      </c>
      <c r="D26" s="167" t="s">
        <v>1739</v>
      </c>
      <c r="E26" s="167" t="s">
        <v>1740</v>
      </c>
      <c r="F26" s="168">
        <v>2.5</v>
      </c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</row>
    <row r="27" ht="22.5" customHeight="1">
      <c r="A27" s="11" t="s">
        <v>1783</v>
      </c>
      <c r="B27" s="11" t="s">
        <v>67</v>
      </c>
      <c r="C27" s="167" t="s">
        <v>1738</v>
      </c>
      <c r="D27" s="167" t="s">
        <v>1743</v>
      </c>
      <c r="E27" s="167" t="s">
        <v>1740</v>
      </c>
      <c r="F27" s="168">
        <v>2.5</v>
      </c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</row>
    <row r="28" ht="22.5" customHeight="1">
      <c r="A28" s="11" t="s">
        <v>1785</v>
      </c>
      <c r="B28" s="11" t="s">
        <v>67</v>
      </c>
      <c r="C28" s="167" t="s">
        <v>1745</v>
      </c>
      <c r="D28" s="167" t="s">
        <v>1747</v>
      </c>
      <c r="E28" s="167" t="s">
        <v>1740</v>
      </c>
      <c r="F28" s="168">
        <v>3.5</v>
      </c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</row>
    <row r="29" ht="22.5" customHeight="1">
      <c r="A29" s="11" t="s">
        <v>1786</v>
      </c>
      <c r="B29" s="11" t="s">
        <v>67</v>
      </c>
      <c r="C29" s="167" t="s">
        <v>1749</v>
      </c>
      <c r="D29" s="167" t="s">
        <v>1787</v>
      </c>
      <c r="E29" s="167" t="s">
        <v>1751</v>
      </c>
      <c r="F29" s="168">
        <v>60.0</v>
      </c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</row>
    <row r="30" ht="22.5" customHeight="1">
      <c r="A30" s="11" t="s">
        <v>1789</v>
      </c>
      <c r="B30" s="11" t="s">
        <v>67</v>
      </c>
      <c r="C30" s="167" t="s">
        <v>1754</v>
      </c>
      <c r="D30" s="167" t="s">
        <v>1755</v>
      </c>
      <c r="E30" s="167" t="s">
        <v>1756</v>
      </c>
      <c r="F30" s="168">
        <v>900.0</v>
      </c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</row>
    <row r="31" ht="22.5" customHeight="1">
      <c r="A31" s="11" t="s">
        <v>1791</v>
      </c>
      <c r="B31" s="11" t="s">
        <v>67</v>
      </c>
      <c r="C31" s="167" t="s">
        <v>1758</v>
      </c>
      <c r="D31" s="167" t="s">
        <v>1759</v>
      </c>
      <c r="E31" s="167" t="s">
        <v>1761</v>
      </c>
      <c r="F31" s="168">
        <v>100.0</v>
      </c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</row>
    <row r="32" ht="22.5" customHeight="1">
      <c r="A32" s="11" t="s">
        <v>1792</v>
      </c>
      <c r="B32" s="11" t="s">
        <v>67</v>
      </c>
      <c r="C32" s="167" t="s">
        <v>1763</v>
      </c>
      <c r="D32" s="167" t="s">
        <v>1764</v>
      </c>
      <c r="E32" s="167" t="s">
        <v>1761</v>
      </c>
      <c r="F32" s="168">
        <v>700.0</v>
      </c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</row>
    <row r="33" ht="22.5" customHeight="1">
      <c r="A33" s="11" t="s">
        <v>1793</v>
      </c>
      <c r="B33" s="11" t="s">
        <v>67</v>
      </c>
      <c r="C33" s="167" t="s">
        <v>1337</v>
      </c>
      <c r="D33" s="167" t="s">
        <v>1767</v>
      </c>
      <c r="E33" s="167" t="s">
        <v>1264</v>
      </c>
      <c r="F33" s="168">
        <v>200.0</v>
      </c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</row>
    <row r="34" ht="22.5" customHeight="1">
      <c r="A34" s="11" t="s">
        <v>1794</v>
      </c>
      <c r="B34" s="11" t="s">
        <v>133</v>
      </c>
      <c r="C34" s="167" t="s">
        <v>1709</v>
      </c>
      <c r="D34" s="167" t="s">
        <v>1795</v>
      </c>
      <c r="E34" s="167" t="s">
        <v>1711</v>
      </c>
      <c r="F34" s="168">
        <v>0.3</v>
      </c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</row>
    <row r="35" ht="22.5" customHeight="1">
      <c r="A35" s="11" t="s">
        <v>1796</v>
      </c>
      <c r="B35" s="11" t="s">
        <v>133</v>
      </c>
      <c r="C35" s="167" t="s">
        <v>1709</v>
      </c>
      <c r="D35" s="167" t="s">
        <v>1797</v>
      </c>
      <c r="E35" s="167" t="s">
        <v>1711</v>
      </c>
      <c r="F35" s="168">
        <v>0.3</v>
      </c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</row>
    <row r="36" ht="22.5" customHeight="1">
      <c r="A36" s="11" t="s">
        <v>1798</v>
      </c>
      <c r="B36" s="11" t="s">
        <v>133</v>
      </c>
      <c r="C36" s="167" t="s">
        <v>1709</v>
      </c>
      <c r="D36" s="167" t="s">
        <v>1799</v>
      </c>
      <c r="E36" s="167" t="s">
        <v>1711</v>
      </c>
      <c r="F36" s="168">
        <v>0.3</v>
      </c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</row>
    <row r="37" ht="22.5" customHeight="1">
      <c r="A37" s="11" t="s">
        <v>1800</v>
      </c>
      <c r="B37" s="11" t="s">
        <v>133</v>
      </c>
      <c r="C37" s="167" t="s">
        <v>1709</v>
      </c>
      <c r="D37" s="167" t="s">
        <v>1801</v>
      </c>
      <c r="E37" s="167" t="s">
        <v>1711</v>
      </c>
      <c r="F37" s="168">
        <v>0.3</v>
      </c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</row>
    <row r="38" ht="22.5" customHeight="1">
      <c r="A38" s="11" t="s">
        <v>1802</v>
      </c>
      <c r="B38" s="11" t="s">
        <v>133</v>
      </c>
      <c r="C38" s="167" t="s">
        <v>1709</v>
      </c>
      <c r="D38" s="167" t="s">
        <v>1803</v>
      </c>
      <c r="E38" s="167" t="s">
        <v>1711</v>
      </c>
      <c r="F38" s="168">
        <v>0.35</v>
      </c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</row>
    <row r="39" ht="22.5" customHeight="1">
      <c r="A39" s="11" t="s">
        <v>1804</v>
      </c>
      <c r="B39" s="11" t="s">
        <v>133</v>
      </c>
      <c r="C39" s="167" t="s">
        <v>1709</v>
      </c>
      <c r="D39" s="167" t="s">
        <v>1805</v>
      </c>
      <c r="E39" s="167" t="s">
        <v>1726</v>
      </c>
      <c r="F39" s="168">
        <v>0.62</v>
      </c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</row>
    <row r="40" ht="22.5" customHeight="1">
      <c r="A40" s="11" t="s">
        <v>1806</v>
      </c>
      <c r="B40" s="11" t="s">
        <v>133</v>
      </c>
      <c r="C40" s="167" t="s">
        <v>1729</v>
      </c>
      <c r="D40" s="167" t="s">
        <v>1807</v>
      </c>
      <c r="E40" s="167" t="s">
        <v>1731</v>
      </c>
      <c r="F40" s="168">
        <v>5.0</v>
      </c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</row>
    <row r="41" ht="22.5" customHeight="1">
      <c r="A41" s="11" t="s">
        <v>1808</v>
      </c>
      <c r="B41" s="11" t="s">
        <v>133</v>
      </c>
      <c r="C41" s="167" t="s">
        <v>1729</v>
      </c>
      <c r="D41" s="167" t="s">
        <v>1734</v>
      </c>
      <c r="E41" s="167" t="s">
        <v>1735</v>
      </c>
      <c r="F41" s="168">
        <v>1.5</v>
      </c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</row>
    <row r="42" ht="22.5" customHeight="1">
      <c r="A42" s="11" t="s">
        <v>1809</v>
      </c>
      <c r="B42" s="11" t="s">
        <v>133</v>
      </c>
      <c r="C42" s="167" t="s">
        <v>1738</v>
      </c>
      <c r="D42" s="167" t="s">
        <v>1810</v>
      </c>
      <c r="E42" s="167" t="s">
        <v>1740</v>
      </c>
      <c r="F42" s="168">
        <v>2.5</v>
      </c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</row>
    <row r="43" ht="22.5" customHeight="1">
      <c r="A43" s="11" t="s">
        <v>1811</v>
      </c>
      <c r="B43" s="11" t="s">
        <v>133</v>
      </c>
      <c r="C43" s="167" t="s">
        <v>1738</v>
      </c>
      <c r="D43" s="167" t="s">
        <v>1812</v>
      </c>
      <c r="E43" s="167" t="s">
        <v>1740</v>
      </c>
      <c r="F43" s="168">
        <v>2.5</v>
      </c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</row>
    <row r="44" ht="22.5" customHeight="1">
      <c r="A44" s="11" t="s">
        <v>1813</v>
      </c>
      <c r="B44" s="11" t="s">
        <v>133</v>
      </c>
      <c r="C44" s="167" t="s">
        <v>1745</v>
      </c>
      <c r="D44" s="167" t="s">
        <v>1747</v>
      </c>
      <c r="E44" s="167" t="s">
        <v>1740</v>
      </c>
      <c r="F44" s="168">
        <v>3.5</v>
      </c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</row>
    <row r="45" ht="22.5" customHeight="1">
      <c r="A45" s="11" t="s">
        <v>1814</v>
      </c>
      <c r="B45" s="11" t="s">
        <v>133</v>
      </c>
      <c r="C45" s="167" t="s">
        <v>1749</v>
      </c>
      <c r="D45" s="167" t="s">
        <v>1815</v>
      </c>
      <c r="E45" s="167" t="s">
        <v>1751</v>
      </c>
      <c r="F45" s="168">
        <v>60.0</v>
      </c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</row>
    <row r="46" ht="22.5" customHeight="1">
      <c r="A46" s="11" t="s">
        <v>1816</v>
      </c>
      <c r="B46" s="11" t="s">
        <v>133</v>
      </c>
      <c r="C46" s="167" t="s">
        <v>1754</v>
      </c>
      <c r="D46" s="167" t="s">
        <v>1817</v>
      </c>
      <c r="E46" s="167" t="s">
        <v>1756</v>
      </c>
      <c r="F46" s="168">
        <v>900.0</v>
      </c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</row>
    <row r="47" ht="22.5" customHeight="1">
      <c r="A47" s="11" t="s">
        <v>1818</v>
      </c>
      <c r="B47" s="11" t="s">
        <v>133</v>
      </c>
      <c r="C47" s="167" t="s">
        <v>1758</v>
      </c>
      <c r="D47" s="167" t="s">
        <v>1819</v>
      </c>
      <c r="E47" s="167" t="s">
        <v>1761</v>
      </c>
      <c r="F47" s="168">
        <v>100.0</v>
      </c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</row>
    <row r="48" ht="22.5" customHeight="1">
      <c r="A48" s="11" t="s">
        <v>1820</v>
      </c>
      <c r="B48" s="11" t="s">
        <v>133</v>
      </c>
      <c r="C48" s="167" t="s">
        <v>1763</v>
      </c>
      <c r="D48" s="167" t="s">
        <v>1821</v>
      </c>
      <c r="E48" s="167" t="s">
        <v>1761</v>
      </c>
      <c r="F48" s="168">
        <v>700.0</v>
      </c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</row>
    <row r="49" ht="22.5" customHeight="1">
      <c r="A49" s="11" t="s">
        <v>1822</v>
      </c>
      <c r="B49" s="11" t="s">
        <v>103</v>
      </c>
      <c r="C49" s="167" t="s">
        <v>1709</v>
      </c>
      <c r="D49" s="167" t="s">
        <v>1795</v>
      </c>
      <c r="E49" s="167" t="s">
        <v>1711</v>
      </c>
      <c r="F49" s="168">
        <v>0.3</v>
      </c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</row>
    <row r="50" ht="22.5" customHeight="1">
      <c r="A50" s="11" t="s">
        <v>1823</v>
      </c>
      <c r="B50" s="11" t="s">
        <v>103</v>
      </c>
      <c r="C50" s="167" t="s">
        <v>1709</v>
      </c>
      <c r="D50" s="167" t="s">
        <v>1797</v>
      </c>
      <c r="E50" s="167" t="s">
        <v>1711</v>
      </c>
      <c r="F50" s="168">
        <v>0.3</v>
      </c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</row>
    <row r="51" ht="22.5" customHeight="1">
      <c r="A51" s="11" t="s">
        <v>1824</v>
      </c>
      <c r="B51" s="11" t="s">
        <v>103</v>
      </c>
      <c r="C51" s="167" t="s">
        <v>1709</v>
      </c>
      <c r="D51" s="167" t="s">
        <v>1799</v>
      </c>
      <c r="E51" s="167" t="s">
        <v>1711</v>
      </c>
      <c r="F51" s="168">
        <v>0.3</v>
      </c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</row>
    <row r="52" ht="22.5" customHeight="1">
      <c r="A52" s="11" t="s">
        <v>1825</v>
      </c>
      <c r="B52" s="11" t="s">
        <v>103</v>
      </c>
      <c r="C52" s="167" t="s">
        <v>1709</v>
      </c>
      <c r="D52" s="167" t="s">
        <v>1801</v>
      </c>
      <c r="E52" s="167" t="s">
        <v>1711</v>
      </c>
      <c r="F52" s="168">
        <v>0.3</v>
      </c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</row>
    <row r="53" ht="22.5" customHeight="1">
      <c r="A53" s="11" t="s">
        <v>1826</v>
      </c>
      <c r="B53" s="11" t="s">
        <v>103</v>
      </c>
      <c r="C53" s="167" t="s">
        <v>1709</v>
      </c>
      <c r="D53" s="167" t="s">
        <v>1803</v>
      </c>
      <c r="E53" s="167" t="s">
        <v>1711</v>
      </c>
      <c r="F53" s="168">
        <v>0.35</v>
      </c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</row>
    <row r="54" ht="22.5" customHeight="1">
      <c r="A54" s="11" t="s">
        <v>1827</v>
      </c>
      <c r="B54" s="11" t="s">
        <v>103</v>
      </c>
      <c r="C54" s="167" t="s">
        <v>1709</v>
      </c>
      <c r="D54" s="167" t="s">
        <v>1805</v>
      </c>
      <c r="E54" s="167" t="s">
        <v>1726</v>
      </c>
      <c r="F54" s="168">
        <v>0.62</v>
      </c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</row>
    <row r="55" ht="22.5" customHeight="1">
      <c r="A55" s="11" t="s">
        <v>1828</v>
      </c>
      <c r="B55" s="11" t="s">
        <v>103</v>
      </c>
      <c r="C55" s="167" t="s">
        <v>1729</v>
      </c>
      <c r="D55" s="167" t="s">
        <v>1807</v>
      </c>
      <c r="E55" s="167" t="s">
        <v>1731</v>
      </c>
      <c r="F55" s="168">
        <v>5.0</v>
      </c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</row>
    <row r="56" ht="22.5" customHeight="1">
      <c r="A56" s="11" t="s">
        <v>1829</v>
      </c>
      <c r="B56" s="11" t="s">
        <v>103</v>
      </c>
      <c r="C56" s="167" t="s">
        <v>1729</v>
      </c>
      <c r="D56" s="167" t="s">
        <v>1734</v>
      </c>
      <c r="E56" s="167" t="s">
        <v>1735</v>
      </c>
      <c r="F56" s="168">
        <v>1.5</v>
      </c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</row>
    <row r="57" ht="22.5" customHeight="1">
      <c r="A57" s="11" t="s">
        <v>1830</v>
      </c>
      <c r="B57" s="11" t="s">
        <v>103</v>
      </c>
      <c r="C57" s="167" t="s">
        <v>1738</v>
      </c>
      <c r="D57" s="167" t="s">
        <v>1810</v>
      </c>
      <c r="E57" s="167" t="s">
        <v>1740</v>
      </c>
      <c r="F57" s="168">
        <v>2.5</v>
      </c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</row>
    <row r="58" ht="22.5" customHeight="1">
      <c r="A58" s="11" t="s">
        <v>1831</v>
      </c>
      <c r="B58" s="11" t="s">
        <v>103</v>
      </c>
      <c r="C58" s="167" t="s">
        <v>1738</v>
      </c>
      <c r="D58" s="167" t="s">
        <v>1812</v>
      </c>
      <c r="E58" s="167" t="s">
        <v>1740</v>
      </c>
      <c r="F58" s="168">
        <v>2.5</v>
      </c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</row>
    <row r="59" ht="22.5" customHeight="1">
      <c r="A59" s="11" t="s">
        <v>1832</v>
      </c>
      <c r="B59" s="11" t="s">
        <v>103</v>
      </c>
      <c r="C59" s="167" t="s">
        <v>1745</v>
      </c>
      <c r="D59" s="167" t="s">
        <v>1747</v>
      </c>
      <c r="E59" s="167" t="s">
        <v>1740</v>
      </c>
      <c r="F59" s="168">
        <v>3.5</v>
      </c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</row>
    <row r="60" ht="22.5" customHeight="1">
      <c r="A60" s="11" t="s">
        <v>1833</v>
      </c>
      <c r="B60" s="11" t="s">
        <v>103</v>
      </c>
      <c r="C60" s="167" t="s">
        <v>1749</v>
      </c>
      <c r="D60" s="167" t="s">
        <v>1815</v>
      </c>
      <c r="E60" s="167" t="s">
        <v>1751</v>
      </c>
      <c r="F60" s="168">
        <v>60.0</v>
      </c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</row>
    <row r="61" ht="22.5" customHeight="1">
      <c r="A61" s="11" t="s">
        <v>1834</v>
      </c>
      <c r="B61" s="11" t="s">
        <v>103</v>
      </c>
      <c r="C61" s="167" t="s">
        <v>1754</v>
      </c>
      <c r="D61" s="167" t="s">
        <v>1817</v>
      </c>
      <c r="E61" s="167" t="s">
        <v>1756</v>
      </c>
      <c r="F61" s="168">
        <v>900.0</v>
      </c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</row>
    <row r="62" ht="22.5" customHeight="1">
      <c r="A62" s="11" t="s">
        <v>1835</v>
      </c>
      <c r="B62" s="11" t="s">
        <v>103</v>
      </c>
      <c r="C62" s="167" t="s">
        <v>1758</v>
      </c>
      <c r="D62" s="167" t="s">
        <v>1819</v>
      </c>
      <c r="E62" s="167" t="s">
        <v>1761</v>
      </c>
      <c r="F62" s="168">
        <v>100.0</v>
      </c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</row>
    <row r="63" ht="22.5" customHeight="1">
      <c r="A63" s="11" t="s">
        <v>1836</v>
      </c>
      <c r="B63" s="11" t="s">
        <v>103</v>
      </c>
      <c r="C63" s="167" t="s">
        <v>1763</v>
      </c>
      <c r="D63" s="167" t="s">
        <v>1821</v>
      </c>
      <c r="E63" s="167" t="s">
        <v>1761</v>
      </c>
      <c r="F63" s="168">
        <v>700.0</v>
      </c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</row>
    <row r="64" ht="22.5" customHeight="1">
      <c r="A64" s="11" t="s">
        <v>1837</v>
      </c>
      <c r="B64" s="11" t="s">
        <v>142</v>
      </c>
      <c r="C64" s="167" t="s">
        <v>1709</v>
      </c>
      <c r="D64" s="167" t="s">
        <v>1838</v>
      </c>
      <c r="E64" s="167" t="s">
        <v>1711</v>
      </c>
      <c r="F64" s="168">
        <v>0.12</v>
      </c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</row>
    <row r="65" ht="22.5" customHeight="1">
      <c r="A65" s="11" t="s">
        <v>1839</v>
      </c>
      <c r="B65" s="11" t="s">
        <v>142</v>
      </c>
      <c r="C65" s="167" t="s">
        <v>1709</v>
      </c>
      <c r="D65" s="167" t="s">
        <v>1840</v>
      </c>
      <c r="E65" s="167" t="s">
        <v>1711</v>
      </c>
      <c r="F65" s="168">
        <v>0.12</v>
      </c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</row>
    <row r="66" ht="22.5" customHeight="1">
      <c r="A66" s="11" t="s">
        <v>1841</v>
      </c>
      <c r="B66" s="11" t="s">
        <v>142</v>
      </c>
      <c r="C66" s="167" t="s">
        <v>1709</v>
      </c>
      <c r="D66" s="167" t="s">
        <v>1799</v>
      </c>
      <c r="E66" s="167" t="s">
        <v>1711</v>
      </c>
      <c r="F66" s="168">
        <v>0.12</v>
      </c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</row>
    <row r="67" ht="22.5" customHeight="1">
      <c r="A67" s="11" t="s">
        <v>1842</v>
      </c>
      <c r="B67" s="11" t="s">
        <v>142</v>
      </c>
      <c r="C67" s="167" t="s">
        <v>1709</v>
      </c>
      <c r="D67" s="167" t="s">
        <v>1843</v>
      </c>
      <c r="E67" s="167" t="s">
        <v>1711</v>
      </c>
      <c r="F67" s="168">
        <v>0.12</v>
      </c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</row>
    <row r="68" ht="22.5" customHeight="1">
      <c r="A68" s="11" t="s">
        <v>1844</v>
      </c>
      <c r="B68" s="11" t="s">
        <v>142</v>
      </c>
      <c r="C68" s="167" t="s">
        <v>1709</v>
      </c>
      <c r="D68" s="167" t="s">
        <v>1845</v>
      </c>
      <c r="E68" s="167" t="s">
        <v>1711</v>
      </c>
      <c r="F68" s="168">
        <v>0.35</v>
      </c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</row>
    <row r="69" ht="22.5" customHeight="1">
      <c r="A69" s="11" t="s">
        <v>1846</v>
      </c>
      <c r="B69" s="11" t="s">
        <v>142</v>
      </c>
      <c r="C69" s="167" t="s">
        <v>1709</v>
      </c>
      <c r="D69" s="167" t="s">
        <v>1847</v>
      </c>
      <c r="E69" s="167" t="s">
        <v>1726</v>
      </c>
      <c r="F69" s="168">
        <v>0.65</v>
      </c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</row>
    <row r="70" ht="22.5" customHeight="1">
      <c r="A70" s="11" t="s">
        <v>1848</v>
      </c>
      <c r="B70" s="11" t="s">
        <v>142</v>
      </c>
      <c r="C70" s="167" t="s">
        <v>1729</v>
      </c>
      <c r="D70" s="167" t="s">
        <v>1849</v>
      </c>
      <c r="E70" s="167" t="s">
        <v>1731</v>
      </c>
      <c r="F70" s="168">
        <v>5.0</v>
      </c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</row>
    <row r="71" ht="22.5" customHeight="1">
      <c r="A71" s="11" t="s">
        <v>1850</v>
      </c>
      <c r="B71" s="11" t="s">
        <v>142</v>
      </c>
      <c r="C71" s="167" t="s">
        <v>1729</v>
      </c>
      <c r="D71" s="167" t="s">
        <v>1851</v>
      </c>
      <c r="E71" s="167" t="s">
        <v>1735</v>
      </c>
      <c r="F71" s="168">
        <v>1.5</v>
      </c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</row>
    <row r="72" ht="22.5" customHeight="1">
      <c r="A72" s="11" t="s">
        <v>1852</v>
      </c>
      <c r="B72" s="11" t="s">
        <v>142</v>
      </c>
      <c r="C72" s="167" t="s">
        <v>1853</v>
      </c>
      <c r="D72" s="167" t="s">
        <v>1810</v>
      </c>
      <c r="E72" s="167" t="s">
        <v>1740</v>
      </c>
      <c r="F72" s="168">
        <v>2.5</v>
      </c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</row>
    <row r="73" ht="22.5" customHeight="1">
      <c r="A73" s="11" t="s">
        <v>1854</v>
      </c>
      <c r="B73" s="11" t="s">
        <v>142</v>
      </c>
      <c r="C73" s="167" t="s">
        <v>1853</v>
      </c>
      <c r="D73" s="167" t="s">
        <v>1855</v>
      </c>
      <c r="E73" s="167" t="s">
        <v>1740</v>
      </c>
      <c r="F73" s="168">
        <v>2.5</v>
      </c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</row>
    <row r="74" ht="22.5" customHeight="1">
      <c r="A74" s="11" t="s">
        <v>1856</v>
      </c>
      <c r="B74" s="11" t="s">
        <v>142</v>
      </c>
      <c r="C74" s="167" t="s">
        <v>1857</v>
      </c>
      <c r="D74" s="167" t="s">
        <v>1858</v>
      </c>
      <c r="E74" s="167" t="s">
        <v>1740</v>
      </c>
      <c r="F74" s="168">
        <v>3.5</v>
      </c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</row>
    <row r="75" ht="22.5" customHeight="1">
      <c r="A75" s="11" t="s">
        <v>1859</v>
      </c>
      <c r="B75" s="11" t="s">
        <v>169</v>
      </c>
      <c r="C75" s="167" t="s">
        <v>1709</v>
      </c>
      <c r="D75" s="167" t="s">
        <v>1710</v>
      </c>
      <c r="E75" s="167" t="s">
        <v>1711</v>
      </c>
      <c r="F75" s="168">
        <v>0.12</v>
      </c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</row>
    <row r="76" ht="22.5" customHeight="1">
      <c r="A76" s="11" t="s">
        <v>1860</v>
      </c>
      <c r="B76" s="11" t="s">
        <v>169</v>
      </c>
      <c r="C76" s="167" t="s">
        <v>1709</v>
      </c>
      <c r="D76" s="167" t="s">
        <v>1714</v>
      </c>
      <c r="E76" s="167" t="s">
        <v>1711</v>
      </c>
      <c r="F76" s="168">
        <v>0.12</v>
      </c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</row>
    <row r="77" ht="22.5" customHeight="1">
      <c r="A77" s="11" t="s">
        <v>1861</v>
      </c>
      <c r="B77" s="11" t="s">
        <v>169</v>
      </c>
      <c r="C77" s="167" t="s">
        <v>1709</v>
      </c>
      <c r="D77" s="167" t="s">
        <v>1716</v>
      </c>
      <c r="E77" s="167" t="s">
        <v>1711</v>
      </c>
      <c r="F77" s="168">
        <v>0.12</v>
      </c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</row>
    <row r="78" ht="22.5" customHeight="1">
      <c r="A78" s="11" t="s">
        <v>1862</v>
      </c>
      <c r="B78" s="11" t="s">
        <v>169</v>
      </c>
      <c r="C78" s="167" t="s">
        <v>1709</v>
      </c>
      <c r="D78" s="167" t="s">
        <v>1719</v>
      </c>
      <c r="E78" s="167" t="s">
        <v>1711</v>
      </c>
      <c r="F78" s="168">
        <v>0.12</v>
      </c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</row>
    <row r="79" ht="22.5" customHeight="1">
      <c r="A79" s="11" t="s">
        <v>1863</v>
      </c>
      <c r="B79" s="11" t="s">
        <v>169</v>
      </c>
      <c r="C79" s="167" t="s">
        <v>1709</v>
      </c>
      <c r="D79" s="167" t="s">
        <v>1722</v>
      </c>
      <c r="E79" s="167" t="s">
        <v>1711</v>
      </c>
      <c r="F79" s="168">
        <v>0.35</v>
      </c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</row>
    <row r="80" ht="22.5" customHeight="1">
      <c r="A80" s="11" t="s">
        <v>1864</v>
      </c>
      <c r="B80" s="11" t="s">
        <v>169</v>
      </c>
      <c r="C80" s="167" t="s">
        <v>1709</v>
      </c>
      <c r="D80" s="167" t="s">
        <v>1865</v>
      </c>
      <c r="E80" s="167" t="s">
        <v>1726</v>
      </c>
      <c r="F80" s="168">
        <v>0.65</v>
      </c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</row>
    <row r="81" ht="22.5" customHeight="1">
      <c r="A81" s="11" t="s">
        <v>1866</v>
      </c>
      <c r="B81" s="11" t="s">
        <v>169</v>
      </c>
      <c r="C81" s="167" t="s">
        <v>1729</v>
      </c>
      <c r="D81" s="167" t="s">
        <v>1730</v>
      </c>
      <c r="E81" s="167" t="s">
        <v>1731</v>
      </c>
      <c r="F81" s="168">
        <v>1.5</v>
      </c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</row>
    <row r="82" ht="22.5" customHeight="1">
      <c r="A82" s="11" t="s">
        <v>1867</v>
      </c>
      <c r="B82" s="11" t="s">
        <v>169</v>
      </c>
      <c r="C82" s="167" t="s">
        <v>1729</v>
      </c>
      <c r="D82" s="167" t="s">
        <v>1734</v>
      </c>
      <c r="E82" s="167" t="s">
        <v>1735</v>
      </c>
      <c r="F82" s="168">
        <v>5.0</v>
      </c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</row>
    <row r="83" ht="22.5" customHeight="1">
      <c r="A83" s="11" t="s">
        <v>1868</v>
      </c>
      <c r="B83" s="11" t="s">
        <v>169</v>
      </c>
      <c r="C83" s="167" t="s">
        <v>1738</v>
      </c>
      <c r="D83" s="167" t="s">
        <v>1739</v>
      </c>
      <c r="E83" s="167" t="s">
        <v>1740</v>
      </c>
      <c r="F83" s="168">
        <v>2.5</v>
      </c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</row>
    <row r="84" ht="22.5" customHeight="1">
      <c r="A84" s="11" t="s">
        <v>1869</v>
      </c>
      <c r="B84" s="11" t="s">
        <v>169</v>
      </c>
      <c r="C84" s="167" t="s">
        <v>1738</v>
      </c>
      <c r="D84" s="167" t="s">
        <v>1743</v>
      </c>
      <c r="E84" s="167" t="s">
        <v>1740</v>
      </c>
      <c r="F84" s="168">
        <v>2.5</v>
      </c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</row>
    <row r="85" ht="22.5" customHeight="1">
      <c r="A85" s="11" t="s">
        <v>1870</v>
      </c>
      <c r="B85" s="11" t="s">
        <v>169</v>
      </c>
      <c r="C85" s="167" t="s">
        <v>1745</v>
      </c>
      <c r="D85" s="167" t="s">
        <v>1747</v>
      </c>
      <c r="E85" s="167" t="s">
        <v>1740</v>
      </c>
      <c r="F85" s="168">
        <v>3.5</v>
      </c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</row>
    <row r="86" ht="22.5" customHeight="1">
      <c r="A86" s="11" t="s">
        <v>1871</v>
      </c>
      <c r="B86" s="11" t="s">
        <v>169</v>
      </c>
      <c r="C86" s="167" t="s">
        <v>1749</v>
      </c>
      <c r="D86" s="167" t="s">
        <v>1872</v>
      </c>
      <c r="E86" s="167" t="s">
        <v>1751</v>
      </c>
      <c r="F86" s="168">
        <v>60.0</v>
      </c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</row>
    <row r="87" ht="22.5" customHeight="1">
      <c r="A87" s="11" t="s">
        <v>1873</v>
      </c>
      <c r="B87" s="11" t="s">
        <v>169</v>
      </c>
      <c r="C87" s="167" t="s">
        <v>1754</v>
      </c>
      <c r="D87" s="167" t="s">
        <v>1874</v>
      </c>
      <c r="E87" s="167" t="s">
        <v>1756</v>
      </c>
      <c r="F87" s="168">
        <v>900.0</v>
      </c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</row>
    <row r="88" ht="22.5" customHeight="1">
      <c r="A88" s="11" t="s">
        <v>1875</v>
      </c>
      <c r="B88" s="11" t="s">
        <v>169</v>
      </c>
      <c r="C88" s="167" t="s">
        <v>1758</v>
      </c>
      <c r="D88" s="167" t="s">
        <v>1876</v>
      </c>
      <c r="E88" s="167" t="s">
        <v>1761</v>
      </c>
      <c r="F88" s="168">
        <v>100.0</v>
      </c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</row>
    <row r="89" ht="22.5" customHeight="1">
      <c r="A89" s="11" t="s">
        <v>1877</v>
      </c>
      <c r="B89" s="11" t="s">
        <v>169</v>
      </c>
      <c r="C89" s="167" t="s">
        <v>1763</v>
      </c>
      <c r="D89" s="167" t="s">
        <v>1821</v>
      </c>
      <c r="E89" s="167" t="s">
        <v>1761</v>
      </c>
      <c r="F89" s="168">
        <v>700.0</v>
      </c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</row>
    <row r="90" ht="22.5" customHeight="1">
      <c r="A90" s="11" t="s">
        <v>1878</v>
      </c>
      <c r="B90" s="11" t="s">
        <v>169</v>
      </c>
      <c r="C90" s="167" t="s">
        <v>1879</v>
      </c>
      <c r="D90" s="167" t="s">
        <v>1880</v>
      </c>
      <c r="E90" s="167" t="s">
        <v>1761</v>
      </c>
      <c r="F90" s="168">
        <v>15000.0</v>
      </c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</row>
    <row r="91" ht="22.5" customHeight="1">
      <c r="A91" s="11" t="s">
        <v>1881</v>
      </c>
      <c r="B91" s="11" t="s">
        <v>169</v>
      </c>
      <c r="C91" s="167" t="s">
        <v>1337</v>
      </c>
      <c r="D91" s="167" t="s">
        <v>1767</v>
      </c>
      <c r="E91" s="167" t="s">
        <v>1264</v>
      </c>
      <c r="F91" s="168">
        <v>200.0</v>
      </c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</row>
    <row r="92" ht="22.5" customHeight="1">
      <c r="A92" s="11" t="s">
        <v>1882</v>
      </c>
      <c r="B92" s="11" t="s">
        <v>188</v>
      </c>
      <c r="C92" s="167" t="s">
        <v>1709</v>
      </c>
      <c r="D92" s="167" t="s">
        <v>1710</v>
      </c>
      <c r="E92" s="167" t="s">
        <v>1711</v>
      </c>
      <c r="F92" s="168">
        <v>0.12</v>
      </c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</row>
    <row r="93" ht="22.5" customHeight="1">
      <c r="A93" s="11" t="s">
        <v>1883</v>
      </c>
      <c r="B93" s="11" t="s">
        <v>188</v>
      </c>
      <c r="C93" s="167" t="s">
        <v>1709</v>
      </c>
      <c r="D93" s="167" t="s">
        <v>1714</v>
      </c>
      <c r="E93" s="167" t="s">
        <v>1711</v>
      </c>
      <c r="F93" s="168">
        <v>0.12</v>
      </c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</row>
    <row r="94" ht="22.5" customHeight="1">
      <c r="A94" s="11" t="s">
        <v>1884</v>
      </c>
      <c r="B94" s="11" t="s">
        <v>188</v>
      </c>
      <c r="C94" s="167" t="s">
        <v>1709</v>
      </c>
      <c r="D94" s="167" t="s">
        <v>1716</v>
      </c>
      <c r="E94" s="167" t="s">
        <v>1711</v>
      </c>
      <c r="F94" s="168">
        <v>0.12</v>
      </c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</row>
    <row r="95" ht="22.5" customHeight="1">
      <c r="A95" s="11" t="s">
        <v>1885</v>
      </c>
      <c r="B95" s="11" t="s">
        <v>188</v>
      </c>
      <c r="C95" s="167" t="s">
        <v>1709</v>
      </c>
      <c r="D95" s="167" t="s">
        <v>1719</v>
      </c>
      <c r="E95" s="167" t="s">
        <v>1711</v>
      </c>
      <c r="F95" s="168">
        <v>0.12</v>
      </c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</row>
    <row r="96" ht="22.5" customHeight="1">
      <c r="A96" s="11" t="s">
        <v>1886</v>
      </c>
      <c r="B96" s="11" t="s">
        <v>188</v>
      </c>
      <c r="C96" s="167" t="s">
        <v>1709</v>
      </c>
      <c r="D96" s="167" t="s">
        <v>1722</v>
      </c>
      <c r="E96" s="167" t="s">
        <v>1711</v>
      </c>
      <c r="F96" s="168">
        <v>0.35</v>
      </c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</row>
    <row r="97" ht="22.5" customHeight="1">
      <c r="A97" s="11" t="s">
        <v>1887</v>
      </c>
      <c r="B97" s="11" t="s">
        <v>188</v>
      </c>
      <c r="C97" s="167" t="s">
        <v>1709</v>
      </c>
      <c r="D97" s="167" t="s">
        <v>1725</v>
      </c>
      <c r="E97" s="167" t="s">
        <v>1726</v>
      </c>
      <c r="F97" s="168">
        <v>0.65</v>
      </c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</row>
    <row r="98" ht="22.5" customHeight="1">
      <c r="A98" s="11" t="s">
        <v>1888</v>
      </c>
      <c r="B98" s="11" t="s">
        <v>188</v>
      </c>
      <c r="C98" s="167" t="s">
        <v>1729</v>
      </c>
      <c r="D98" s="167" t="s">
        <v>1730</v>
      </c>
      <c r="E98" s="167" t="s">
        <v>1731</v>
      </c>
      <c r="F98" s="168">
        <v>5.0</v>
      </c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</row>
    <row r="99" ht="22.5" customHeight="1">
      <c r="A99" s="11" t="s">
        <v>1889</v>
      </c>
      <c r="B99" s="11" t="s">
        <v>188</v>
      </c>
      <c r="C99" s="167" t="s">
        <v>1729</v>
      </c>
      <c r="D99" s="167" t="s">
        <v>1734</v>
      </c>
      <c r="E99" s="167" t="s">
        <v>1735</v>
      </c>
      <c r="F99" s="168">
        <v>1.5</v>
      </c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</row>
    <row r="100" ht="22.5" customHeight="1">
      <c r="A100" s="11" t="s">
        <v>1890</v>
      </c>
      <c r="B100" s="11" t="s">
        <v>188</v>
      </c>
      <c r="C100" s="167" t="s">
        <v>1738</v>
      </c>
      <c r="D100" s="167" t="s">
        <v>1739</v>
      </c>
      <c r="E100" s="167" t="s">
        <v>1740</v>
      </c>
      <c r="F100" s="168">
        <v>2.5</v>
      </c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</row>
    <row r="101" ht="22.5" customHeight="1">
      <c r="A101" s="11" t="s">
        <v>1891</v>
      </c>
      <c r="B101" s="11" t="s">
        <v>188</v>
      </c>
      <c r="C101" s="167" t="s">
        <v>1738</v>
      </c>
      <c r="D101" s="167" t="s">
        <v>1743</v>
      </c>
      <c r="E101" s="167" t="s">
        <v>1740</v>
      </c>
      <c r="F101" s="168">
        <v>0.0</v>
      </c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</row>
    <row r="102" ht="22.5" customHeight="1">
      <c r="A102" s="11" t="s">
        <v>1892</v>
      </c>
      <c r="B102" s="11" t="s">
        <v>188</v>
      </c>
      <c r="C102" s="167" t="s">
        <v>1745</v>
      </c>
      <c r="D102" s="167" t="s">
        <v>1747</v>
      </c>
      <c r="E102" s="167" t="s">
        <v>1740</v>
      </c>
      <c r="F102" s="168">
        <v>3.5</v>
      </c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</row>
    <row r="103" ht="22.5" customHeight="1">
      <c r="A103" s="11" t="s">
        <v>1893</v>
      </c>
      <c r="B103" s="11" t="s">
        <v>188</v>
      </c>
      <c r="C103" s="167" t="s">
        <v>1749</v>
      </c>
      <c r="D103" s="167" t="s">
        <v>1750</v>
      </c>
      <c r="E103" s="167" t="s">
        <v>1751</v>
      </c>
      <c r="F103" s="168">
        <v>60.0</v>
      </c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</row>
    <row r="104" ht="22.5" customHeight="1">
      <c r="A104" s="11" t="s">
        <v>1894</v>
      </c>
      <c r="B104" s="11" t="s">
        <v>188</v>
      </c>
      <c r="C104" s="167" t="s">
        <v>1754</v>
      </c>
      <c r="D104" s="167" t="s">
        <v>1755</v>
      </c>
      <c r="E104" s="167" t="s">
        <v>1756</v>
      </c>
      <c r="F104" s="168">
        <v>900.0</v>
      </c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</row>
    <row r="105" ht="22.5" customHeight="1">
      <c r="A105" s="11" t="s">
        <v>1895</v>
      </c>
      <c r="B105" s="11" t="s">
        <v>188</v>
      </c>
      <c r="C105" s="167" t="s">
        <v>1758</v>
      </c>
      <c r="D105" s="167" t="s">
        <v>1759</v>
      </c>
      <c r="E105" s="167" t="s">
        <v>1761</v>
      </c>
      <c r="F105" s="168">
        <v>100.0</v>
      </c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</row>
    <row r="106" ht="22.5" customHeight="1">
      <c r="A106" s="11" t="s">
        <v>1896</v>
      </c>
      <c r="B106" s="11" t="s">
        <v>188</v>
      </c>
      <c r="C106" s="167" t="s">
        <v>1763</v>
      </c>
      <c r="D106" s="167" t="s">
        <v>1764</v>
      </c>
      <c r="E106" s="167" t="s">
        <v>1761</v>
      </c>
      <c r="F106" s="168">
        <v>700.0</v>
      </c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</row>
    <row r="107" ht="22.5" customHeight="1">
      <c r="A107" s="11" t="s">
        <v>1897</v>
      </c>
      <c r="B107" s="11" t="s">
        <v>188</v>
      </c>
      <c r="C107" s="167" t="s">
        <v>1337</v>
      </c>
      <c r="D107" s="167" t="s">
        <v>1767</v>
      </c>
      <c r="E107" s="167" t="s">
        <v>1264</v>
      </c>
      <c r="F107" s="168">
        <v>200.0</v>
      </c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</row>
    <row r="108" ht="22.5" customHeight="1">
      <c r="A108" s="11" t="s">
        <v>1898</v>
      </c>
      <c r="B108" s="11" t="s">
        <v>207</v>
      </c>
      <c r="C108" s="167" t="s">
        <v>1709</v>
      </c>
      <c r="D108" s="167" t="s">
        <v>1795</v>
      </c>
      <c r="E108" s="167" t="s">
        <v>1711</v>
      </c>
      <c r="F108" s="168">
        <v>0.3</v>
      </c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</row>
    <row r="109" ht="22.5" customHeight="1">
      <c r="A109" s="11" t="s">
        <v>1899</v>
      </c>
      <c r="B109" s="11" t="s">
        <v>207</v>
      </c>
      <c r="C109" s="167" t="s">
        <v>1709</v>
      </c>
      <c r="D109" s="167" t="s">
        <v>1797</v>
      </c>
      <c r="E109" s="167" t="s">
        <v>1711</v>
      </c>
      <c r="F109" s="168">
        <v>0.3</v>
      </c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</row>
    <row r="110" ht="22.5" customHeight="1">
      <c r="A110" s="11" t="s">
        <v>1900</v>
      </c>
      <c r="B110" s="11" t="s">
        <v>207</v>
      </c>
      <c r="C110" s="167" t="s">
        <v>1709</v>
      </c>
      <c r="D110" s="167" t="s">
        <v>1799</v>
      </c>
      <c r="E110" s="167" t="s">
        <v>1711</v>
      </c>
      <c r="F110" s="168">
        <v>0.3</v>
      </c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</row>
    <row r="111" ht="22.5" customHeight="1">
      <c r="A111" s="11" t="s">
        <v>1901</v>
      </c>
      <c r="B111" s="11" t="s">
        <v>207</v>
      </c>
      <c r="C111" s="167" t="s">
        <v>1709</v>
      </c>
      <c r="D111" s="167" t="s">
        <v>1801</v>
      </c>
      <c r="E111" s="167" t="s">
        <v>1711</v>
      </c>
      <c r="F111" s="168">
        <v>0.3</v>
      </c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</row>
    <row r="112" ht="22.5" customHeight="1">
      <c r="A112" s="11" t="s">
        <v>1902</v>
      </c>
      <c r="B112" s="11" t="s">
        <v>207</v>
      </c>
      <c r="C112" s="167" t="s">
        <v>1709</v>
      </c>
      <c r="D112" s="167" t="s">
        <v>1803</v>
      </c>
      <c r="E112" s="167" t="s">
        <v>1711</v>
      </c>
      <c r="F112" s="168">
        <v>0.35</v>
      </c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</row>
    <row r="113" ht="22.5" customHeight="1">
      <c r="A113" s="11" t="s">
        <v>1903</v>
      </c>
      <c r="B113" s="11" t="s">
        <v>207</v>
      </c>
      <c r="C113" s="167" t="s">
        <v>1709</v>
      </c>
      <c r="D113" s="167" t="s">
        <v>1805</v>
      </c>
      <c r="E113" s="167" t="s">
        <v>1726</v>
      </c>
      <c r="F113" s="168">
        <v>0.62</v>
      </c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</row>
    <row r="114" ht="22.5" customHeight="1">
      <c r="A114" s="11" t="s">
        <v>1904</v>
      </c>
      <c r="B114" s="11" t="s">
        <v>207</v>
      </c>
      <c r="C114" s="167" t="s">
        <v>1729</v>
      </c>
      <c r="D114" s="167" t="s">
        <v>1807</v>
      </c>
      <c r="E114" s="167" t="s">
        <v>1731</v>
      </c>
      <c r="F114" s="168">
        <v>5.0</v>
      </c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</row>
    <row r="115" ht="22.5" customHeight="1">
      <c r="A115" s="11" t="s">
        <v>1905</v>
      </c>
      <c r="B115" s="11" t="s">
        <v>207</v>
      </c>
      <c r="C115" s="167" t="s">
        <v>1729</v>
      </c>
      <c r="D115" s="167" t="s">
        <v>1734</v>
      </c>
      <c r="E115" s="167" t="s">
        <v>1735</v>
      </c>
      <c r="F115" s="168">
        <v>1.5</v>
      </c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</row>
    <row r="116" ht="22.5" customHeight="1">
      <c r="A116" s="11" t="s">
        <v>1906</v>
      </c>
      <c r="B116" s="11" t="s">
        <v>207</v>
      </c>
      <c r="C116" s="167" t="s">
        <v>1738</v>
      </c>
      <c r="D116" s="167" t="s">
        <v>1810</v>
      </c>
      <c r="E116" s="167" t="s">
        <v>1740</v>
      </c>
      <c r="F116" s="168">
        <v>2.5</v>
      </c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</row>
    <row r="117" ht="22.5" customHeight="1">
      <c r="A117" s="11" t="s">
        <v>1907</v>
      </c>
      <c r="B117" s="11" t="s">
        <v>207</v>
      </c>
      <c r="C117" s="167" t="s">
        <v>1738</v>
      </c>
      <c r="D117" s="167" t="s">
        <v>1812</v>
      </c>
      <c r="E117" s="167" t="s">
        <v>1740</v>
      </c>
      <c r="F117" s="168">
        <v>2.5</v>
      </c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</row>
    <row r="118" ht="22.5" customHeight="1">
      <c r="A118" s="11" t="s">
        <v>1908</v>
      </c>
      <c r="B118" s="11" t="s">
        <v>207</v>
      </c>
      <c r="C118" s="167" t="s">
        <v>1745</v>
      </c>
      <c r="D118" s="167" t="s">
        <v>1747</v>
      </c>
      <c r="E118" s="167" t="s">
        <v>1740</v>
      </c>
      <c r="F118" s="168">
        <v>3.5</v>
      </c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</row>
    <row r="119" ht="22.5" customHeight="1">
      <c r="A119" s="11" t="s">
        <v>1909</v>
      </c>
      <c r="B119" s="11" t="s">
        <v>207</v>
      </c>
      <c r="C119" s="167" t="s">
        <v>1749</v>
      </c>
      <c r="D119" s="167" t="s">
        <v>1815</v>
      </c>
      <c r="E119" s="167" t="s">
        <v>1751</v>
      </c>
      <c r="F119" s="168">
        <v>60.0</v>
      </c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</row>
    <row r="120" ht="22.5" customHeight="1">
      <c r="A120" s="11" t="s">
        <v>1910</v>
      </c>
      <c r="B120" s="11" t="s">
        <v>207</v>
      </c>
      <c r="C120" s="167" t="s">
        <v>1754</v>
      </c>
      <c r="D120" s="167" t="s">
        <v>1817</v>
      </c>
      <c r="E120" s="167" t="s">
        <v>1756</v>
      </c>
      <c r="F120" s="168">
        <v>900.0</v>
      </c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</row>
    <row r="121" ht="22.5" customHeight="1">
      <c r="A121" s="11" t="s">
        <v>1911</v>
      </c>
      <c r="B121" s="11" t="s">
        <v>207</v>
      </c>
      <c r="C121" s="167" t="s">
        <v>1758</v>
      </c>
      <c r="D121" s="167" t="s">
        <v>1819</v>
      </c>
      <c r="E121" s="167" t="s">
        <v>1761</v>
      </c>
      <c r="F121" s="168">
        <v>100.0</v>
      </c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</row>
    <row r="122" ht="22.5" customHeight="1">
      <c r="A122" s="11" t="s">
        <v>1912</v>
      </c>
      <c r="B122" s="11" t="s">
        <v>207</v>
      </c>
      <c r="C122" s="167" t="s">
        <v>1763</v>
      </c>
      <c r="D122" s="167" t="s">
        <v>1821</v>
      </c>
      <c r="E122" s="167" t="s">
        <v>1761</v>
      </c>
      <c r="F122" s="168">
        <v>700.0</v>
      </c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</row>
    <row r="123" ht="22.5" customHeight="1">
      <c r="A123" s="11" t="s">
        <v>1913</v>
      </c>
      <c r="B123" s="11" t="s">
        <v>216</v>
      </c>
      <c r="C123" s="167" t="s">
        <v>1709</v>
      </c>
      <c r="D123" s="167" t="s">
        <v>1914</v>
      </c>
      <c r="E123" s="167" t="s">
        <v>1711</v>
      </c>
      <c r="F123" s="168">
        <v>0.3</v>
      </c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</row>
    <row r="124" ht="22.5" customHeight="1">
      <c r="A124" s="11" t="s">
        <v>1915</v>
      </c>
      <c r="B124" s="11" t="s">
        <v>216</v>
      </c>
      <c r="C124" s="167" t="s">
        <v>1709</v>
      </c>
      <c r="D124" s="167" t="s">
        <v>1797</v>
      </c>
      <c r="E124" s="167" t="s">
        <v>1711</v>
      </c>
      <c r="F124" s="168">
        <v>0.3</v>
      </c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</row>
    <row r="125" ht="22.5" customHeight="1">
      <c r="A125" s="11" t="s">
        <v>1916</v>
      </c>
      <c r="B125" s="11" t="s">
        <v>216</v>
      </c>
      <c r="C125" s="167" t="s">
        <v>1709</v>
      </c>
      <c r="D125" s="167" t="s">
        <v>1799</v>
      </c>
      <c r="E125" s="167" t="s">
        <v>1711</v>
      </c>
      <c r="F125" s="168">
        <v>0.3</v>
      </c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</row>
    <row r="126" ht="22.5" customHeight="1">
      <c r="A126" s="11" t="s">
        <v>1917</v>
      </c>
      <c r="B126" s="11" t="s">
        <v>216</v>
      </c>
      <c r="C126" s="167" t="s">
        <v>1709</v>
      </c>
      <c r="D126" s="167" t="s">
        <v>1801</v>
      </c>
      <c r="E126" s="167" t="s">
        <v>1711</v>
      </c>
      <c r="F126" s="168">
        <v>0.3</v>
      </c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</row>
    <row r="127" ht="22.5" customHeight="1">
      <c r="A127" s="11" t="s">
        <v>1918</v>
      </c>
      <c r="B127" s="11" t="s">
        <v>216</v>
      </c>
      <c r="C127" s="167" t="s">
        <v>1709</v>
      </c>
      <c r="D127" s="167" t="s">
        <v>1919</v>
      </c>
      <c r="E127" s="167" t="s">
        <v>1711</v>
      </c>
      <c r="F127" s="168">
        <v>0.35</v>
      </c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</row>
    <row r="128" ht="22.5" customHeight="1">
      <c r="A128" s="11" t="s">
        <v>1920</v>
      </c>
      <c r="B128" s="11" t="s">
        <v>216</v>
      </c>
      <c r="C128" s="167" t="s">
        <v>1709</v>
      </c>
      <c r="D128" s="167" t="s">
        <v>1921</v>
      </c>
      <c r="E128" s="167" t="s">
        <v>1726</v>
      </c>
      <c r="F128" s="168">
        <v>0.62</v>
      </c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</row>
    <row r="129" ht="22.5" customHeight="1">
      <c r="A129" s="11" t="s">
        <v>1922</v>
      </c>
      <c r="B129" s="11" t="s">
        <v>216</v>
      </c>
      <c r="C129" s="167" t="s">
        <v>1729</v>
      </c>
      <c r="D129" s="167" t="s">
        <v>1807</v>
      </c>
      <c r="E129" s="167" t="s">
        <v>1731</v>
      </c>
      <c r="F129" s="168">
        <v>1.5</v>
      </c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</row>
    <row r="130" ht="22.5" customHeight="1">
      <c r="A130" s="11" t="s">
        <v>1923</v>
      </c>
      <c r="B130" s="11" t="s">
        <v>216</v>
      </c>
      <c r="C130" s="167" t="s">
        <v>1729</v>
      </c>
      <c r="D130" s="167" t="s">
        <v>1924</v>
      </c>
      <c r="E130" s="167" t="s">
        <v>1735</v>
      </c>
      <c r="F130" s="168">
        <v>5.0</v>
      </c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</row>
    <row r="131" ht="22.5" customHeight="1">
      <c r="A131" s="11" t="s">
        <v>1925</v>
      </c>
      <c r="B131" s="11" t="s">
        <v>216</v>
      </c>
      <c r="C131" s="167" t="s">
        <v>1926</v>
      </c>
      <c r="D131" s="167" t="s">
        <v>1810</v>
      </c>
      <c r="E131" s="167" t="s">
        <v>1740</v>
      </c>
      <c r="F131" s="168">
        <v>2.5</v>
      </c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</row>
    <row r="132" ht="22.5" customHeight="1">
      <c r="A132" s="11" t="s">
        <v>1927</v>
      </c>
      <c r="B132" s="11" t="s">
        <v>216</v>
      </c>
      <c r="C132" s="167" t="s">
        <v>1926</v>
      </c>
      <c r="D132" s="167" t="s">
        <v>1812</v>
      </c>
      <c r="E132" s="167" t="s">
        <v>1740</v>
      </c>
      <c r="F132" s="168">
        <v>3.5</v>
      </c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</row>
    <row r="133" ht="22.5" customHeight="1">
      <c r="A133" s="11" t="s">
        <v>1928</v>
      </c>
      <c r="B133" s="11" t="s">
        <v>216</v>
      </c>
      <c r="C133" s="167" t="s">
        <v>1749</v>
      </c>
      <c r="D133" s="167" t="s">
        <v>1750</v>
      </c>
      <c r="E133" s="167" t="s">
        <v>1751</v>
      </c>
      <c r="F133" s="168">
        <v>60.0</v>
      </c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</row>
    <row r="134" ht="22.5" customHeight="1">
      <c r="A134" s="11" t="s">
        <v>1929</v>
      </c>
      <c r="B134" s="11" t="s">
        <v>216</v>
      </c>
      <c r="C134" s="167" t="s">
        <v>1754</v>
      </c>
      <c r="D134" s="167" t="s">
        <v>1930</v>
      </c>
      <c r="E134" s="167" t="s">
        <v>1756</v>
      </c>
      <c r="F134" s="168">
        <v>900.0</v>
      </c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</row>
    <row r="135" ht="22.5" customHeight="1">
      <c r="A135" s="11" t="s">
        <v>1931</v>
      </c>
      <c r="B135" s="11" t="s">
        <v>216</v>
      </c>
      <c r="C135" s="167" t="s">
        <v>1758</v>
      </c>
      <c r="D135" s="167" t="s">
        <v>1759</v>
      </c>
      <c r="E135" s="167" t="s">
        <v>1761</v>
      </c>
      <c r="F135" s="168">
        <v>100.0</v>
      </c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</row>
    <row r="136" ht="22.5" customHeight="1">
      <c r="A136" s="11" t="s">
        <v>1932</v>
      </c>
      <c r="B136" s="11" t="s">
        <v>216</v>
      </c>
      <c r="C136" s="167" t="s">
        <v>1763</v>
      </c>
      <c r="D136" s="167" t="s">
        <v>1933</v>
      </c>
      <c r="E136" s="167" t="s">
        <v>1934</v>
      </c>
      <c r="F136" s="168">
        <v>700.0</v>
      </c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</row>
    <row r="137" ht="22.5" customHeight="1">
      <c r="A137" s="11" t="s">
        <v>1935</v>
      </c>
      <c r="B137" s="11" t="s">
        <v>239</v>
      </c>
      <c r="C137" s="167" t="s">
        <v>1709</v>
      </c>
      <c r="D137" s="167" t="s">
        <v>1710</v>
      </c>
      <c r="E137" s="167" t="s">
        <v>1711</v>
      </c>
      <c r="F137" s="168">
        <v>0.12</v>
      </c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</row>
    <row r="138" ht="22.5" customHeight="1">
      <c r="A138" s="11" t="s">
        <v>1936</v>
      </c>
      <c r="B138" s="11" t="s">
        <v>239</v>
      </c>
      <c r="C138" s="167" t="s">
        <v>1709</v>
      </c>
      <c r="D138" s="167" t="s">
        <v>1714</v>
      </c>
      <c r="E138" s="167" t="s">
        <v>1711</v>
      </c>
      <c r="F138" s="168">
        <v>0.12</v>
      </c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</row>
    <row r="139" ht="22.5" customHeight="1">
      <c r="A139" s="11" t="s">
        <v>1937</v>
      </c>
      <c r="B139" s="11" t="s">
        <v>239</v>
      </c>
      <c r="C139" s="167" t="s">
        <v>1709</v>
      </c>
      <c r="D139" s="167" t="s">
        <v>1716</v>
      </c>
      <c r="E139" s="167" t="s">
        <v>1711</v>
      </c>
      <c r="F139" s="168">
        <v>0.12</v>
      </c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</row>
    <row r="140" ht="22.5" customHeight="1">
      <c r="A140" s="11" t="s">
        <v>1938</v>
      </c>
      <c r="B140" s="11" t="s">
        <v>239</v>
      </c>
      <c r="C140" s="167" t="s">
        <v>1709</v>
      </c>
      <c r="D140" s="167" t="s">
        <v>1719</v>
      </c>
      <c r="E140" s="167" t="s">
        <v>1711</v>
      </c>
      <c r="F140" s="168">
        <v>0.12</v>
      </c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</row>
    <row r="141" ht="22.5" customHeight="1">
      <c r="A141" s="11" t="s">
        <v>1939</v>
      </c>
      <c r="B141" s="11" t="s">
        <v>239</v>
      </c>
      <c r="C141" s="167" t="s">
        <v>1709</v>
      </c>
      <c r="D141" s="167" t="s">
        <v>1722</v>
      </c>
      <c r="E141" s="167" t="s">
        <v>1711</v>
      </c>
      <c r="F141" s="168">
        <v>0.35</v>
      </c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</row>
    <row r="142" ht="22.5" customHeight="1">
      <c r="A142" s="11" t="s">
        <v>1940</v>
      </c>
      <c r="B142" s="11" t="s">
        <v>239</v>
      </c>
      <c r="C142" s="167" t="s">
        <v>1709</v>
      </c>
      <c r="D142" s="167" t="s">
        <v>1725</v>
      </c>
      <c r="E142" s="167" t="s">
        <v>1726</v>
      </c>
      <c r="F142" s="168">
        <v>0.65</v>
      </c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</row>
    <row r="143" ht="22.5" customHeight="1">
      <c r="A143" s="11" t="s">
        <v>1941</v>
      </c>
      <c r="B143" s="11" t="s">
        <v>239</v>
      </c>
      <c r="C143" s="167" t="s">
        <v>1729</v>
      </c>
      <c r="D143" s="167" t="s">
        <v>1730</v>
      </c>
      <c r="E143" s="167" t="s">
        <v>1731</v>
      </c>
      <c r="F143" s="168">
        <v>5.0</v>
      </c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</row>
    <row r="144" ht="22.5" customHeight="1">
      <c r="A144" s="11" t="s">
        <v>1942</v>
      </c>
      <c r="B144" s="11" t="s">
        <v>239</v>
      </c>
      <c r="C144" s="167" t="s">
        <v>1729</v>
      </c>
      <c r="D144" s="167" t="s">
        <v>1734</v>
      </c>
      <c r="E144" s="167" t="s">
        <v>1735</v>
      </c>
      <c r="F144" s="168">
        <v>1.5</v>
      </c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</row>
    <row r="145" ht="22.5" customHeight="1">
      <c r="A145" s="11" t="s">
        <v>1944</v>
      </c>
      <c r="B145" s="11" t="s">
        <v>239</v>
      </c>
      <c r="C145" s="167" t="s">
        <v>1738</v>
      </c>
      <c r="D145" s="167" t="s">
        <v>1739</v>
      </c>
      <c r="E145" s="167" t="s">
        <v>1740</v>
      </c>
      <c r="F145" s="168">
        <v>2.5</v>
      </c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</row>
    <row r="146" ht="22.5" customHeight="1">
      <c r="A146" s="11" t="s">
        <v>1945</v>
      </c>
      <c r="B146" s="11" t="s">
        <v>239</v>
      </c>
      <c r="C146" s="167" t="s">
        <v>1738</v>
      </c>
      <c r="D146" s="167" t="s">
        <v>1743</v>
      </c>
      <c r="E146" s="167"/>
      <c r="F146" s="168">
        <v>0.0</v>
      </c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</row>
    <row r="147" ht="22.5" customHeight="1">
      <c r="A147" s="11" t="s">
        <v>1949</v>
      </c>
      <c r="B147" s="11" t="s">
        <v>239</v>
      </c>
      <c r="C147" s="167" t="s">
        <v>1745</v>
      </c>
      <c r="D147" s="167" t="s">
        <v>1747</v>
      </c>
      <c r="E147" s="167" t="s">
        <v>1740</v>
      </c>
      <c r="F147" s="168">
        <v>3.5</v>
      </c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</row>
    <row r="148" ht="22.5" customHeight="1">
      <c r="A148" s="11" t="s">
        <v>1951</v>
      </c>
      <c r="B148" s="11" t="s">
        <v>239</v>
      </c>
      <c r="C148" s="167" t="s">
        <v>1749</v>
      </c>
      <c r="D148" s="167" t="s">
        <v>1750</v>
      </c>
      <c r="E148" s="167" t="s">
        <v>1751</v>
      </c>
      <c r="F148" s="168">
        <v>60.0</v>
      </c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</row>
    <row r="149" ht="22.5" customHeight="1">
      <c r="A149" s="11" t="s">
        <v>1956</v>
      </c>
      <c r="B149" s="11" t="s">
        <v>239</v>
      </c>
      <c r="C149" s="167" t="s">
        <v>1754</v>
      </c>
      <c r="D149" s="167" t="s">
        <v>1755</v>
      </c>
      <c r="E149" s="167" t="s">
        <v>1756</v>
      </c>
      <c r="F149" s="168">
        <v>900.0</v>
      </c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</row>
    <row r="150" ht="22.5" customHeight="1">
      <c r="A150" s="11" t="s">
        <v>1959</v>
      </c>
      <c r="B150" s="11" t="s">
        <v>239</v>
      </c>
      <c r="C150" s="167" t="s">
        <v>1758</v>
      </c>
      <c r="D150" s="167" t="s">
        <v>1759</v>
      </c>
      <c r="E150" s="167" t="s">
        <v>1761</v>
      </c>
      <c r="F150" s="168">
        <v>100.0</v>
      </c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</row>
    <row r="151" ht="22.5" customHeight="1">
      <c r="A151" s="11" t="s">
        <v>1961</v>
      </c>
      <c r="B151" s="11" t="s">
        <v>239</v>
      </c>
      <c r="C151" s="167" t="s">
        <v>1763</v>
      </c>
      <c r="D151" s="167" t="s">
        <v>1764</v>
      </c>
      <c r="E151" s="167" t="s">
        <v>1761</v>
      </c>
      <c r="F151" s="168">
        <v>700.0</v>
      </c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</row>
    <row r="152" ht="22.5" customHeight="1">
      <c r="A152" s="11" t="s">
        <v>1963</v>
      </c>
      <c r="B152" s="11" t="s">
        <v>239</v>
      </c>
      <c r="C152" s="167" t="s">
        <v>1337</v>
      </c>
      <c r="D152" s="167" t="s">
        <v>1767</v>
      </c>
      <c r="E152" s="167" t="s">
        <v>1264</v>
      </c>
      <c r="F152" s="168">
        <v>200.0</v>
      </c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</row>
    <row r="153" ht="22.5" customHeight="1">
      <c r="A153" s="11" t="s">
        <v>1966</v>
      </c>
      <c r="B153" s="11" t="s">
        <v>245</v>
      </c>
      <c r="C153" s="167" t="s">
        <v>1709</v>
      </c>
      <c r="D153" s="167" t="s">
        <v>1710</v>
      </c>
      <c r="E153" s="167" t="s">
        <v>1711</v>
      </c>
      <c r="F153" s="168">
        <v>0.12</v>
      </c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</row>
    <row r="154" ht="22.5" customHeight="1">
      <c r="A154" s="11" t="s">
        <v>1969</v>
      </c>
      <c r="B154" s="11" t="s">
        <v>245</v>
      </c>
      <c r="C154" s="167" t="s">
        <v>1709</v>
      </c>
      <c r="D154" s="167" t="s">
        <v>1714</v>
      </c>
      <c r="E154" s="167" t="s">
        <v>1711</v>
      </c>
      <c r="F154" s="168">
        <v>0.12</v>
      </c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</row>
    <row r="155" ht="22.5" customHeight="1">
      <c r="A155" s="11" t="s">
        <v>1973</v>
      </c>
      <c r="B155" s="11" t="s">
        <v>245</v>
      </c>
      <c r="C155" s="167" t="s">
        <v>1709</v>
      </c>
      <c r="D155" s="167" t="s">
        <v>1716</v>
      </c>
      <c r="E155" s="167" t="s">
        <v>1711</v>
      </c>
      <c r="F155" s="168">
        <v>0.12</v>
      </c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</row>
    <row r="156" ht="22.5" customHeight="1">
      <c r="A156" s="11" t="s">
        <v>1975</v>
      </c>
      <c r="B156" s="11" t="s">
        <v>245</v>
      </c>
      <c r="C156" s="167" t="s">
        <v>1709</v>
      </c>
      <c r="D156" s="167" t="s">
        <v>1719</v>
      </c>
      <c r="E156" s="167" t="s">
        <v>1711</v>
      </c>
      <c r="F156" s="168">
        <v>0.12</v>
      </c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</row>
    <row r="157" ht="22.5" customHeight="1">
      <c r="A157" s="11" t="s">
        <v>1977</v>
      </c>
      <c r="B157" s="11" t="s">
        <v>245</v>
      </c>
      <c r="C157" s="167" t="s">
        <v>1709</v>
      </c>
      <c r="D157" s="167" t="s">
        <v>1722</v>
      </c>
      <c r="E157" s="167" t="s">
        <v>1711</v>
      </c>
      <c r="F157" s="168">
        <v>0.35</v>
      </c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</row>
    <row r="158" ht="22.5" customHeight="1">
      <c r="A158" s="11" t="s">
        <v>1979</v>
      </c>
      <c r="B158" s="11" t="s">
        <v>245</v>
      </c>
      <c r="C158" s="167" t="s">
        <v>1709</v>
      </c>
      <c r="D158" s="167" t="s">
        <v>1865</v>
      </c>
      <c r="E158" s="167" t="s">
        <v>1726</v>
      </c>
      <c r="F158" s="168">
        <v>0.65</v>
      </c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</row>
    <row r="159" ht="22.5" customHeight="1">
      <c r="A159" s="11" t="s">
        <v>1981</v>
      </c>
      <c r="B159" s="11" t="s">
        <v>245</v>
      </c>
      <c r="C159" s="167" t="s">
        <v>1729</v>
      </c>
      <c r="D159" s="167" t="s">
        <v>1730</v>
      </c>
      <c r="E159" s="167" t="s">
        <v>1731</v>
      </c>
      <c r="F159" s="168">
        <v>1.5</v>
      </c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</row>
    <row r="160" ht="22.5" customHeight="1">
      <c r="A160" s="11" t="s">
        <v>1983</v>
      </c>
      <c r="B160" s="11" t="s">
        <v>245</v>
      </c>
      <c r="C160" s="167" t="s">
        <v>1729</v>
      </c>
      <c r="D160" s="167" t="s">
        <v>1734</v>
      </c>
      <c r="E160" s="167" t="s">
        <v>1735</v>
      </c>
      <c r="F160" s="168">
        <v>5.0</v>
      </c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</row>
    <row r="161" ht="22.5" customHeight="1">
      <c r="A161" s="11" t="s">
        <v>1986</v>
      </c>
      <c r="B161" s="11" t="s">
        <v>245</v>
      </c>
      <c r="C161" s="167" t="s">
        <v>1988</v>
      </c>
      <c r="D161" s="167" t="s">
        <v>1739</v>
      </c>
      <c r="E161" s="167" t="s">
        <v>1740</v>
      </c>
      <c r="F161" s="168">
        <v>2.5</v>
      </c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</row>
    <row r="162" ht="22.5" customHeight="1">
      <c r="A162" s="11" t="s">
        <v>1989</v>
      </c>
      <c r="B162" s="11" t="s">
        <v>245</v>
      </c>
      <c r="C162" s="167" t="s">
        <v>1988</v>
      </c>
      <c r="D162" s="167" t="s">
        <v>1743</v>
      </c>
      <c r="E162" s="167" t="s">
        <v>1740</v>
      </c>
      <c r="F162" s="168">
        <v>2.5</v>
      </c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</row>
    <row r="163" ht="22.5" customHeight="1">
      <c r="A163" s="11" t="s">
        <v>1992</v>
      </c>
      <c r="B163" s="11" t="s">
        <v>245</v>
      </c>
      <c r="C163" s="167" t="s">
        <v>1745</v>
      </c>
      <c r="D163" s="167" t="s">
        <v>1747</v>
      </c>
      <c r="E163" s="167" t="s">
        <v>1740</v>
      </c>
      <c r="F163" s="168">
        <v>3.5</v>
      </c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</row>
    <row r="164" ht="22.5" customHeight="1">
      <c r="A164" s="11" t="s">
        <v>1994</v>
      </c>
      <c r="B164" s="11" t="s">
        <v>245</v>
      </c>
      <c r="C164" s="167" t="s">
        <v>1749</v>
      </c>
      <c r="D164" s="167" t="s">
        <v>1872</v>
      </c>
      <c r="E164" s="167" t="s">
        <v>1751</v>
      </c>
      <c r="F164" s="168">
        <v>60.0</v>
      </c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</row>
    <row r="165" ht="22.5" customHeight="1">
      <c r="A165" s="11" t="s">
        <v>1996</v>
      </c>
      <c r="B165" s="11" t="s">
        <v>245</v>
      </c>
      <c r="C165" s="167" t="s">
        <v>1754</v>
      </c>
      <c r="D165" s="167" t="s">
        <v>1874</v>
      </c>
      <c r="E165" s="167" t="s">
        <v>1756</v>
      </c>
      <c r="F165" s="168">
        <v>900.0</v>
      </c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</row>
    <row r="166" ht="22.5" customHeight="1">
      <c r="A166" s="11" t="s">
        <v>1998</v>
      </c>
      <c r="B166" s="11" t="s">
        <v>245</v>
      </c>
      <c r="C166" s="167" t="s">
        <v>1758</v>
      </c>
      <c r="D166" s="167" t="s">
        <v>1876</v>
      </c>
      <c r="E166" s="167" t="s">
        <v>1761</v>
      </c>
      <c r="F166" s="168">
        <v>100.0</v>
      </c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</row>
    <row r="167" ht="22.5" customHeight="1">
      <c r="A167" s="11" t="s">
        <v>2000</v>
      </c>
      <c r="B167" s="11" t="s">
        <v>245</v>
      </c>
      <c r="C167" s="167" t="s">
        <v>1763</v>
      </c>
      <c r="D167" s="167" t="s">
        <v>1821</v>
      </c>
      <c r="E167" s="167" t="s">
        <v>1761</v>
      </c>
      <c r="F167" s="168">
        <v>700.0</v>
      </c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</row>
    <row r="168" ht="22.5" customHeight="1">
      <c r="A168" s="11" t="s">
        <v>2002</v>
      </c>
      <c r="B168" s="11" t="s">
        <v>245</v>
      </c>
      <c r="C168" s="167" t="s">
        <v>1879</v>
      </c>
      <c r="D168" s="167" t="s">
        <v>1880</v>
      </c>
      <c r="E168" s="167" t="s">
        <v>1761</v>
      </c>
      <c r="F168" s="168">
        <v>15000.0</v>
      </c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</row>
    <row r="169" ht="22.5" customHeight="1">
      <c r="A169" s="11" t="s">
        <v>2004</v>
      </c>
      <c r="B169" s="11" t="s">
        <v>245</v>
      </c>
      <c r="C169" s="167" t="s">
        <v>1337</v>
      </c>
      <c r="D169" s="167" t="s">
        <v>1767</v>
      </c>
      <c r="E169" s="167" t="s">
        <v>1264</v>
      </c>
      <c r="F169" s="168">
        <v>200.0</v>
      </c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</row>
    <row r="170" ht="22.5" customHeight="1">
      <c r="A170" s="11" t="s">
        <v>2006</v>
      </c>
      <c r="B170" s="11" t="s">
        <v>268</v>
      </c>
      <c r="C170" s="167" t="s">
        <v>1709</v>
      </c>
      <c r="D170" s="167" t="s">
        <v>1710</v>
      </c>
      <c r="E170" s="167" t="s">
        <v>1711</v>
      </c>
      <c r="F170" s="168">
        <v>0.12</v>
      </c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</row>
    <row r="171" ht="22.5" customHeight="1">
      <c r="A171" s="11" t="s">
        <v>2008</v>
      </c>
      <c r="B171" s="11" t="s">
        <v>2009</v>
      </c>
      <c r="C171" s="167" t="s">
        <v>1709</v>
      </c>
      <c r="D171" s="167" t="s">
        <v>1714</v>
      </c>
      <c r="E171" s="167" t="s">
        <v>1711</v>
      </c>
      <c r="F171" s="168">
        <v>0.12</v>
      </c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</row>
    <row r="172" ht="22.5" customHeight="1">
      <c r="A172" s="11" t="s">
        <v>2011</v>
      </c>
      <c r="B172" s="11" t="s">
        <v>2012</v>
      </c>
      <c r="C172" s="167" t="s">
        <v>1709</v>
      </c>
      <c r="D172" s="167" t="s">
        <v>1716</v>
      </c>
      <c r="E172" s="167" t="s">
        <v>1711</v>
      </c>
      <c r="F172" s="168">
        <v>0.12</v>
      </c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</row>
    <row r="173" ht="22.5" customHeight="1">
      <c r="A173" s="11" t="s">
        <v>2014</v>
      </c>
      <c r="B173" s="11" t="s">
        <v>2015</v>
      </c>
      <c r="C173" s="167" t="s">
        <v>1709</v>
      </c>
      <c r="D173" s="167" t="s">
        <v>1719</v>
      </c>
      <c r="E173" s="167" t="s">
        <v>1711</v>
      </c>
      <c r="F173" s="168">
        <v>0.12</v>
      </c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</row>
    <row r="174" ht="22.5" customHeight="1">
      <c r="A174" s="11" t="s">
        <v>2017</v>
      </c>
      <c r="B174" s="11" t="s">
        <v>2018</v>
      </c>
      <c r="C174" s="167" t="s">
        <v>1709</v>
      </c>
      <c r="D174" s="167" t="s">
        <v>1722</v>
      </c>
      <c r="E174" s="167" t="s">
        <v>1711</v>
      </c>
      <c r="F174" s="168">
        <v>0.35</v>
      </c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</row>
    <row r="175" ht="22.5" customHeight="1">
      <c r="A175" s="11" t="s">
        <v>2020</v>
      </c>
      <c r="B175" s="11" t="s">
        <v>2022</v>
      </c>
      <c r="C175" s="167" t="s">
        <v>1709</v>
      </c>
      <c r="D175" s="167" t="s">
        <v>1725</v>
      </c>
      <c r="E175" s="167" t="s">
        <v>1726</v>
      </c>
      <c r="F175" s="168">
        <v>0.65</v>
      </c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</row>
    <row r="176" ht="22.5" customHeight="1">
      <c r="A176" s="11" t="s">
        <v>2023</v>
      </c>
      <c r="B176" s="11" t="s">
        <v>2025</v>
      </c>
      <c r="C176" s="167" t="s">
        <v>1729</v>
      </c>
      <c r="D176" s="167" t="s">
        <v>1730</v>
      </c>
      <c r="E176" s="167" t="s">
        <v>1731</v>
      </c>
      <c r="F176" s="168">
        <v>5.0</v>
      </c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</row>
    <row r="177" ht="22.5" customHeight="1">
      <c r="A177" s="11" t="s">
        <v>2027</v>
      </c>
      <c r="B177" s="11" t="s">
        <v>2028</v>
      </c>
      <c r="C177" s="167" t="s">
        <v>1729</v>
      </c>
      <c r="D177" s="167" t="s">
        <v>1734</v>
      </c>
      <c r="E177" s="167" t="s">
        <v>1735</v>
      </c>
      <c r="F177" s="168">
        <v>1.5</v>
      </c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</row>
    <row r="178" ht="22.5" customHeight="1">
      <c r="A178" s="11" t="s">
        <v>2030</v>
      </c>
      <c r="B178" s="11" t="s">
        <v>2031</v>
      </c>
      <c r="C178" s="167" t="s">
        <v>1738</v>
      </c>
      <c r="D178" s="167" t="s">
        <v>1739</v>
      </c>
      <c r="E178" s="167" t="s">
        <v>1740</v>
      </c>
      <c r="F178" s="168">
        <v>2.5</v>
      </c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</row>
    <row r="179" ht="22.5" customHeight="1">
      <c r="A179" s="11" t="s">
        <v>2033</v>
      </c>
      <c r="B179" s="11" t="s">
        <v>2034</v>
      </c>
      <c r="C179" s="167" t="s">
        <v>1738</v>
      </c>
      <c r="D179" s="167" t="s">
        <v>1743</v>
      </c>
      <c r="E179" s="167"/>
      <c r="F179" s="168">
        <v>0.0</v>
      </c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</row>
    <row r="180" ht="22.5" customHeight="1">
      <c r="A180" s="11" t="s">
        <v>2036</v>
      </c>
      <c r="B180" s="11" t="s">
        <v>2037</v>
      </c>
      <c r="C180" s="167" t="s">
        <v>1745</v>
      </c>
      <c r="D180" s="167" t="s">
        <v>1747</v>
      </c>
      <c r="E180" s="167" t="s">
        <v>1740</v>
      </c>
      <c r="F180" s="168">
        <v>3.5</v>
      </c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</row>
    <row r="181" ht="22.5" customHeight="1">
      <c r="A181" s="11" t="s">
        <v>2041</v>
      </c>
      <c r="B181" s="11" t="s">
        <v>2042</v>
      </c>
      <c r="C181" s="167" t="s">
        <v>1749</v>
      </c>
      <c r="D181" s="167" t="s">
        <v>1750</v>
      </c>
      <c r="E181" s="167" t="s">
        <v>1751</v>
      </c>
      <c r="F181" s="168">
        <v>60.0</v>
      </c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</row>
    <row r="182" ht="22.5" customHeight="1">
      <c r="A182" s="11" t="s">
        <v>2045</v>
      </c>
      <c r="B182" s="11" t="s">
        <v>2046</v>
      </c>
      <c r="C182" s="167" t="s">
        <v>1754</v>
      </c>
      <c r="D182" s="167" t="s">
        <v>1755</v>
      </c>
      <c r="E182" s="167" t="s">
        <v>1756</v>
      </c>
      <c r="F182" s="168">
        <v>900.0</v>
      </c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</row>
    <row r="183" ht="22.5" customHeight="1">
      <c r="A183" s="11" t="s">
        <v>2048</v>
      </c>
      <c r="B183" s="11" t="s">
        <v>2049</v>
      </c>
      <c r="C183" s="167" t="s">
        <v>1758</v>
      </c>
      <c r="D183" s="167" t="s">
        <v>1759</v>
      </c>
      <c r="E183" s="167" t="s">
        <v>1761</v>
      </c>
      <c r="F183" s="168">
        <v>100.0</v>
      </c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</row>
    <row r="184" ht="22.5" customHeight="1">
      <c r="A184" s="11" t="s">
        <v>2051</v>
      </c>
      <c r="B184" s="11" t="s">
        <v>2052</v>
      </c>
      <c r="C184" s="167" t="s">
        <v>1763</v>
      </c>
      <c r="D184" s="167" t="s">
        <v>1764</v>
      </c>
      <c r="E184" s="167" t="s">
        <v>1761</v>
      </c>
      <c r="F184" s="168">
        <v>700.0</v>
      </c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</row>
    <row r="185" ht="22.5" customHeight="1">
      <c r="A185" s="11" t="s">
        <v>2054</v>
      </c>
      <c r="B185" s="11" t="s">
        <v>2055</v>
      </c>
      <c r="C185" s="167" t="s">
        <v>1337</v>
      </c>
      <c r="D185" s="167" t="s">
        <v>1767</v>
      </c>
      <c r="E185" s="167" t="s">
        <v>1264</v>
      </c>
      <c r="F185" s="168">
        <v>200.0</v>
      </c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</row>
    <row r="186" ht="22.5" customHeight="1">
      <c r="A186" s="11" t="s">
        <v>2057</v>
      </c>
      <c r="B186" s="11" t="s">
        <v>292</v>
      </c>
      <c r="C186" s="167" t="s">
        <v>1709</v>
      </c>
      <c r="D186" s="167" t="s">
        <v>2059</v>
      </c>
      <c r="E186" s="167" t="s">
        <v>2060</v>
      </c>
      <c r="F186" s="168">
        <v>0.12</v>
      </c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</row>
    <row r="187" ht="22.5" customHeight="1">
      <c r="A187" s="11" t="s">
        <v>2061</v>
      </c>
      <c r="B187" s="11" t="s">
        <v>292</v>
      </c>
      <c r="C187" s="167" t="s">
        <v>1709</v>
      </c>
      <c r="D187" s="167" t="s">
        <v>1714</v>
      </c>
      <c r="E187" s="167" t="s">
        <v>2060</v>
      </c>
      <c r="F187" s="168">
        <v>0.12</v>
      </c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</row>
    <row r="188" ht="22.5" customHeight="1">
      <c r="A188" s="11" t="s">
        <v>2062</v>
      </c>
      <c r="B188" s="11" t="s">
        <v>292</v>
      </c>
      <c r="C188" s="167" t="s">
        <v>1709</v>
      </c>
      <c r="D188" s="167" t="s">
        <v>2063</v>
      </c>
      <c r="E188" s="167" t="s">
        <v>2060</v>
      </c>
      <c r="F188" s="168">
        <v>0.12</v>
      </c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</row>
    <row r="189" ht="22.5" customHeight="1">
      <c r="A189" s="11" t="s">
        <v>2064</v>
      </c>
      <c r="B189" s="11" t="s">
        <v>292</v>
      </c>
      <c r="C189" s="167" t="s">
        <v>1709</v>
      </c>
      <c r="D189" s="167" t="s">
        <v>1719</v>
      </c>
      <c r="E189" s="167" t="s">
        <v>2060</v>
      </c>
      <c r="F189" s="168">
        <v>0.12</v>
      </c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</row>
    <row r="190" ht="22.5" customHeight="1">
      <c r="A190" s="11" t="s">
        <v>2065</v>
      </c>
      <c r="B190" s="11" t="s">
        <v>292</v>
      </c>
      <c r="C190" s="167" t="s">
        <v>1709</v>
      </c>
      <c r="D190" s="167" t="s">
        <v>2066</v>
      </c>
      <c r="E190" s="167" t="s">
        <v>2060</v>
      </c>
      <c r="F190" s="168">
        <v>0.35</v>
      </c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</row>
    <row r="191" ht="22.5" customHeight="1">
      <c r="A191" s="11" t="s">
        <v>2067</v>
      </c>
      <c r="B191" s="11" t="s">
        <v>292</v>
      </c>
      <c r="C191" s="167" t="s">
        <v>1709</v>
      </c>
      <c r="D191" s="167" t="s">
        <v>1725</v>
      </c>
      <c r="E191" s="167" t="s">
        <v>1726</v>
      </c>
      <c r="F191" s="168">
        <v>0.65</v>
      </c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</row>
    <row r="192" ht="22.5" customHeight="1">
      <c r="A192" s="11" t="s">
        <v>2068</v>
      </c>
      <c r="B192" s="11" t="s">
        <v>292</v>
      </c>
      <c r="C192" s="167" t="s">
        <v>1729</v>
      </c>
      <c r="D192" s="167" t="s">
        <v>1730</v>
      </c>
      <c r="E192" s="167" t="s">
        <v>2069</v>
      </c>
      <c r="F192" s="168">
        <v>5.0</v>
      </c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</row>
    <row r="193" ht="22.5" customHeight="1">
      <c r="A193" s="11" t="s">
        <v>2070</v>
      </c>
      <c r="B193" s="11" t="s">
        <v>292</v>
      </c>
      <c r="C193" s="167" t="s">
        <v>1729</v>
      </c>
      <c r="D193" s="167" t="s">
        <v>1734</v>
      </c>
      <c r="E193" s="167" t="s">
        <v>2071</v>
      </c>
      <c r="F193" s="168">
        <v>1.5</v>
      </c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</row>
    <row r="194" ht="22.5" customHeight="1">
      <c r="A194" s="11" t="s">
        <v>2072</v>
      </c>
      <c r="B194" s="11" t="s">
        <v>292</v>
      </c>
      <c r="C194" s="167" t="s">
        <v>2073</v>
      </c>
      <c r="D194" s="167" t="s">
        <v>2074</v>
      </c>
      <c r="E194" s="167" t="s">
        <v>1740</v>
      </c>
      <c r="F194" s="168">
        <v>2.5</v>
      </c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</row>
    <row r="195" ht="22.5" customHeight="1">
      <c r="A195" s="11" t="s">
        <v>2075</v>
      </c>
      <c r="B195" s="11" t="s">
        <v>292</v>
      </c>
      <c r="C195" s="167" t="s">
        <v>2073</v>
      </c>
      <c r="D195" s="167" t="s">
        <v>2076</v>
      </c>
      <c r="E195" s="167"/>
      <c r="F195" s="168">
        <v>0.0</v>
      </c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</row>
    <row r="196" ht="22.5" customHeight="1">
      <c r="A196" s="11" t="s">
        <v>2077</v>
      </c>
      <c r="B196" s="11" t="s">
        <v>292</v>
      </c>
      <c r="C196" s="167" t="s">
        <v>2078</v>
      </c>
      <c r="D196" s="167" t="s">
        <v>2079</v>
      </c>
      <c r="E196" s="167" t="s">
        <v>1740</v>
      </c>
      <c r="F196" s="168">
        <v>3.5</v>
      </c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</row>
    <row r="197" ht="22.5" customHeight="1">
      <c r="A197" s="11" t="s">
        <v>2080</v>
      </c>
      <c r="B197" s="11" t="s">
        <v>292</v>
      </c>
      <c r="C197" s="167" t="s">
        <v>2081</v>
      </c>
      <c r="D197" s="167" t="s">
        <v>2082</v>
      </c>
      <c r="E197" s="167" t="s">
        <v>1751</v>
      </c>
      <c r="F197" s="168">
        <v>60.0</v>
      </c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</row>
    <row r="198" ht="22.5" customHeight="1">
      <c r="A198" s="11" t="s">
        <v>2083</v>
      </c>
      <c r="B198" s="11" t="s">
        <v>292</v>
      </c>
      <c r="C198" s="167" t="s">
        <v>2084</v>
      </c>
      <c r="D198" s="167" t="s">
        <v>2085</v>
      </c>
      <c r="E198" s="167" t="s">
        <v>1756</v>
      </c>
      <c r="F198" s="168">
        <v>900.0</v>
      </c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</row>
    <row r="199" ht="22.5" customHeight="1">
      <c r="A199" s="11" t="s">
        <v>2086</v>
      </c>
      <c r="B199" s="11" t="s">
        <v>292</v>
      </c>
      <c r="C199" s="167" t="s">
        <v>2087</v>
      </c>
      <c r="D199" s="167" t="s">
        <v>2088</v>
      </c>
      <c r="E199" s="167" t="s">
        <v>1761</v>
      </c>
      <c r="F199" s="168">
        <v>100.0</v>
      </c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</row>
    <row r="200" ht="22.5" customHeight="1">
      <c r="A200" s="11" t="s">
        <v>2089</v>
      </c>
      <c r="B200" s="11" t="s">
        <v>292</v>
      </c>
      <c r="C200" s="167" t="s">
        <v>2090</v>
      </c>
      <c r="D200" s="167" t="s">
        <v>2091</v>
      </c>
      <c r="E200" s="167" t="s">
        <v>1761</v>
      </c>
      <c r="F200" s="168">
        <v>700.0</v>
      </c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</row>
    <row r="201" ht="22.5" customHeight="1">
      <c r="A201" s="11" t="s">
        <v>2092</v>
      </c>
      <c r="B201" s="11" t="s">
        <v>292</v>
      </c>
      <c r="C201" s="167" t="s">
        <v>2093</v>
      </c>
      <c r="D201" s="167" t="s">
        <v>2094</v>
      </c>
      <c r="E201" s="167" t="s">
        <v>1264</v>
      </c>
      <c r="F201" s="168">
        <v>200.0</v>
      </c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</row>
    <row r="202" ht="22.5" customHeight="1">
      <c r="A202" s="11" t="s">
        <v>2095</v>
      </c>
      <c r="B202" s="11" t="s">
        <v>317</v>
      </c>
      <c r="C202" s="167" t="s">
        <v>1709</v>
      </c>
      <c r="D202" s="167" t="s">
        <v>1795</v>
      </c>
      <c r="E202" s="167" t="s">
        <v>1711</v>
      </c>
      <c r="F202" s="168">
        <v>0.3</v>
      </c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</row>
    <row r="203" ht="22.5" customHeight="1">
      <c r="A203" s="11" t="s">
        <v>2096</v>
      </c>
      <c r="B203" s="11" t="s">
        <v>317</v>
      </c>
      <c r="C203" s="167" t="s">
        <v>1709</v>
      </c>
      <c r="D203" s="167" t="s">
        <v>1797</v>
      </c>
      <c r="E203" s="167" t="s">
        <v>1711</v>
      </c>
      <c r="F203" s="168">
        <v>0.3</v>
      </c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</row>
    <row r="204" ht="22.5" customHeight="1">
      <c r="A204" s="11" t="s">
        <v>2097</v>
      </c>
      <c r="B204" s="11" t="s">
        <v>317</v>
      </c>
      <c r="C204" s="167" t="s">
        <v>1709</v>
      </c>
      <c r="D204" s="167" t="s">
        <v>1799</v>
      </c>
      <c r="E204" s="167" t="s">
        <v>1711</v>
      </c>
      <c r="F204" s="168">
        <v>0.3</v>
      </c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</row>
    <row r="205" ht="22.5" customHeight="1">
      <c r="A205" s="11" t="s">
        <v>2098</v>
      </c>
      <c r="B205" s="11" t="s">
        <v>317</v>
      </c>
      <c r="C205" s="167" t="s">
        <v>1709</v>
      </c>
      <c r="D205" s="167" t="s">
        <v>1801</v>
      </c>
      <c r="E205" s="167" t="s">
        <v>1711</v>
      </c>
      <c r="F205" s="168">
        <v>0.3</v>
      </c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</row>
    <row r="206" ht="22.5" customHeight="1">
      <c r="A206" s="11" t="s">
        <v>2099</v>
      </c>
      <c r="B206" s="11" t="s">
        <v>317</v>
      </c>
      <c r="C206" s="167" t="s">
        <v>1709</v>
      </c>
      <c r="D206" s="167" t="s">
        <v>1803</v>
      </c>
      <c r="E206" s="167" t="s">
        <v>1711</v>
      </c>
      <c r="F206" s="168">
        <v>0.35</v>
      </c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</row>
    <row r="207" ht="22.5" customHeight="1">
      <c r="A207" s="11" t="s">
        <v>2100</v>
      </c>
      <c r="B207" s="11" t="s">
        <v>317</v>
      </c>
      <c r="C207" s="167" t="s">
        <v>1709</v>
      </c>
      <c r="D207" s="167" t="s">
        <v>1805</v>
      </c>
      <c r="E207" s="167" t="s">
        <v>1726</v>
      </c>
      <c r="F207" s="168">
        <v>0.62</v>
      </c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</row>
    <row r="208" ht="22.5" customHeight="1">
      <c r="A208" s="11" t="s">
        <v>2101</v>
      </c>
      <c r="B208" s="11" t="s">
        <v>317</v>
      </c>
      <c r="C208" s="167" t="s">
        <v>1729</v>
      </c>
      <c r="D208" s="167" t="s">
        <v>1807</v>
      </c>
      <c r="E208" s="167" t="s">
        <v>1731</v>
      </c>
      <c r="F208" s="168">
        <v>5.0</v>
      </c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</row>
    <row r="209" ht="22.5" customHeight="1">
      <c r="A209" s="11" t="s">
        <v>2102</v>
      </c>
      <c r="B209" s="11" t="s">
        <v>317</v>
      </c>
      <c r="C209" s="167" t="s">
        <v>1729</v>
      </c>
      <c r="D209" s="167" t="s">
        <v>1734</v>
      </c>
      <c r="E209" s="167" t="s">
        <v>1735</v>
      </c>
      <c r="F209" s="168">
        <v>1.5</v>
      </c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</row>
    <row r="210" ht="22.5" customHeight="1">
      <c r="A210" s="11" t="s">
        <v>2103</v>
      </c>
      <c r="B210" s="11" t="s">
        <v>317</v>
      </c>
      <c r="C210" s="167" t="s">
        <v>1738</v>
      </c>
      <c r="D210" s="167" t="s">
        <v>1810</v>
      </c>
      <c r="E210" s="167" t="s">
        <v>1740</v>
      </c>
      <c r="F210" s="168">
        <v>2.5</v>
      </c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</row>
    <row r="211" ht="22.5" customHeight="1">
      <c r="A211" s="11" t="s">
        <v>2104</v>
      </c>
      <c r="B211" s="11" t="s">
        <v>317</v>
      </c>
      <c r="C211" s="167" t="s">
        <v>1738</v>
      </c>
      <c r="D211" s="167" t="s">
        <v>1812</v>
      </c>
      <c r="E211" s="167" t="s">
        <v>1740</v>
      </c>
      <c r="F211" s="168">
        <v>2.5</v>
      </c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</row>
    <row r="212" ht="22.5" customHeight="1">
      <c r="A212" s="11" t="s">
        <v>2105</v>
      </c>
      <c r="B212" s="11" t="s">
        <v>317</v>
      </c>
      <c r="C212" s="167" t="s">
        <v>1745</v>
      </c>
      <c r="D212" s="167" t="s">
        <v>1747</v>
      </c>
      <c r="E212" s="167" t="s">
        <v>1740</v>
      </c>
      <c r="F212" s="168">
        <v>3.5</v>
      </c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</row>
    <row r="213" ht="22.5" customHeight="1">
      <c r="A213" s="11" t="s">
        <v>2106</v>
      </c>
      <c r="B213" s="11" t="s">
        <v>317</v>
      </c>
      <c r="C213" s="167" t="s">
        <v>1749</v>
      </c>
      <c r="D213" s="167" t="s">
        <v>1815</v>
      </c>
      <c r="E213" s="167" t="s">
        <v>1751</v>
      </c>
      <c r="F213" s="168">
        <v>60.0</v>
      </c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</row>
    <row r="214" ht="22.5" customHeight="1">
      <c r="A214" s="11" t="s">
        <v>2107</v>
      </c>
      <c r="B214" s="11" t="s">
        <v>317</v>
      </c>
      <c r="C214" s="167" t="s">
        <v>1754</v>
      </c>
      <c r="D214" s="167" t="s">
        <v>1817</v>
      </c>
      <c r="E214" s="167" t="s">
        <v>1756</v>
      </c>
      <c r="F214" s="168">
        <v>900.0</v>
      </c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</row>
    <row r="215" ht="22.5" customHeight="1">
      <c r="A215" s="11" t="s">
        <v>2108</v>
      </c>
      <c r="B215" s="11" t="s">
        <v>317</v>
      </c>
      <c r="C215" s="167" t="s">
        <v>1758</v>
      </c>
      <c r="D215" s="167" t="s">
        <v>1819</v>
      </c>
      <c r="E215" s="167" t="s">
        <v>1761</v>
      </c>
      <c r="F215" s="168">
        <v>100.0</v>
      </c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</row>
    <row r="216" ht="22.5" customHeight="1">
      <c r="A216" s="11" t="s">
        <v>2109</v>
      </c>
      <c r="B216" s="11" t="s">
        <v>317</v>
      </c>
      <c r="C216" s="167" t="s">
        <v>1763</v>
      </c>
      <c r="D216" s="167" t="s">
        <v>1821</v>
      </c>
      <c r="E216" s="167" t="s">
        <v>1761</v>
      </c>
      <c r="F216" s="168">
        <v>700.0</v>
      </c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</row>
    <row r="217">
      <c r="A217" s="170"/>
      <c r="B217" s="170"/>
      <c r="C217" s="171"/>
      <c r="D217" s="166"/>
      <c r="E217" s="170"/>
      <c r="F217" s="170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</row>
    <row r="218">
      <c r="A218" s="170"/>
      <c r="B218" s="170"/>
      <c r="C218" s="171"/>
      <c r="D218" s="166"/>
      <c r="E218" s="170"/>
      <c r="F218" s="170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</row>
    <row r="219">
      <c r="A219" s="170"/>
      <c r="B219" s="170"/>
      <c r="C219" s="171"/>
      <c r="D219" s="166"/>
      <c r="E219" s="170"/>
      <c r="F219" s="170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</row>
    <row r="220">
      <c r="A220" s="170"/>
      <c r="B220" s="170"/>
      <c r="C220" s="171"/>
      <c r="D220" s="166"/>
      <c r="E220" s="170"/>
      <c r="F220" s="170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</row>
    <row r="221">
      <c r="A221" s="170"/>
      <c r="B221" s="170"/>
      <c r="C221" s="171"/>
      <c r="D221" s="166"/>
      <c r="E221" s="170"/>
      <c r="F221" s="170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</row>
    <row r="222">
      <c r="A222" s="170"/>
      <c r="B222" s="170"/>
      <c r="C222" s="171"/>
      <c r="D222" s="166"/>
      <c r="E222" s="170"/>
      <c r="F222" s="170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</row>
    <row r="223">
      <c r="A223" s="170"/>
      <c r="B223" s="170"/>
      <c r="C223" s="171"/>
      <c r="D223" s="166"/>
      <c r="E223" s="170"/>
      <c r="F223" s="170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</row>
    <row r="224">
      <c r="A224" s="170"/>
      <c r="B224" s="170"/>
      <c r="C224" s="171"/>
      <c r="D224" s="166"/>
      <c r="E224" s="170"/>
      <c r="F224" s="170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</row>
    <row r="225">
      <c r="A225" s="170"/>
      <c r="B225" s="170"/>
      <c r="C225" s="171"/>
      <c r="D225" s="166"/>
      <c r="E225" s="170"/>
      <c r="F225" s="170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</row>
    <row r="226">
      <c r="A226" s="170"/>
      <c r="B226" s="170"/>
      <c r="C226" s="171"/>
      <c r="D226" s="166"/>
      <c r="E226" s="170"/>
      <c r="F226" s="170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</row>
    <row r="227">
      <c r="A227" s="170"/>
      <c r="B227" s="170"/>
      <c r="C227" s="171"/>
      <c r="D227" s="166"/>
      <c r="E227" s="170"/>
      <c r="F227" s="170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</row>
    <row r="228">
      <c r="A228" s="170"/>
      <c r="B228" s="170"/>
      <c r="C228" s="171"/>
      <c r="D228" s="166"/>
      <c r="E228" s="170"/>
      <c r="F228" s="170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</row>
    <row r="229">
      <c r="A229" s="170"/>
      <c r="B229" s="170"/>
      <c r="C229" s="171"/>
      <c r="D229" s="166"/>
      <c r="E229" s="170"/>
      <c r="F229" s="170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</row>
    <row r="230">
      <c r="A230" s="170"/>
      <c r="B230" s="170"/>
      <c r="C230" s="171"/>
      <c r="D230" s="166"/>
      <c r="E230" s="170"/>
      <c r="F230" s="170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</row>
    <row r="231">
      <c r="A231" s="170"/>
      <c r="B231" s="170"/>
      <c r="C231" s="171"/>
      <c r="D231" s="166"/>
      <c r="E231" s="170"/>
      <c r="F231" s="170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  <c r="Z231" s="166"/>
    </row>
    <row r="232">
      <c r="A232" s="170"/>
      <c r="B232" s="170"/>
      <c r="C232" s="171"/>
      <c r="D232" s="166"/>
      <c r="E232" s="170"/>
      <c r="F232" s="170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  <c r="Z232" s="166"/>
    </row>
    <row r="233">
      <c r="A233" s="170"/>
      <c r="B233" s="170"/>
      <c r="C233" s="171"/>
      <c r="D233" s="166"/>
      <c r="E233" s="170"/>
      <c r="F233" s="170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</row>
    <row r="234">
      <c r="A234" s="170"/>
      <c r="B234" s="170"/>
      <c r="C234" s="171"/>
      <c r="D234" s="166"/>
      <c r="E234" s="170"/>
      <c r="F234" s="170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</row>
    <row r="235">
      <c r="A235" s="170"/>
      <c r="B235" s="170"/>
      <c r="C235" s="171"/>
      <c r="D235" s="166"/>
      <c r="E235" s="170"/>
      <c r="F235" s="170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6"/>
    </row>
    <row r="236">
      <c r="A236" s="170"/>
      <c r="B236" s="170"/>
      <c r="C236" s="171"/>
      <c r="D236" s="166"/>
      <c r="E236" s="170"/>
      <c r="F236" s="170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</row>
    <row r="237">
      <c r="A237" s="170"/>
      <c r="B237" s="170"/>
      <c r="C237" s="171"/>
      <c r="D237" s="166"/>
      <c r="E237" s="170"/>
      <c r="F237" s="170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</row>
    <row r="238">
      <c r="A238" s="170"/>
      <c r="B238" s="170"/>
      <c r="C238" s="171"/>
      <c r="D238" s="166"/>
      <c r="E238" s="170"/>
      <c r="F238" s="170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</row>
    <row r="239">
      <c r="A239" s="170"/>
      <c r="B239" s="170"/>
      <c r="C239" s="171"/>
      <c r="D239" s="166"/>
      <c r="E239" s="170"/>
      <c r="F239" s="170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  <c r="Z239" s="166"/>
    </row>
    <row r="240">
      <c r="A240" s="170"/>
      <c r="B240" s="170"/>
      <c r="C240" s="171"/>
      <c r="D240" s="166"/>
      <c r="E240" s="170"/>
      <c r="F240" s="170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</row>
    <row r="241">
      <c r="A241" s="170"/>
      <c r="B241" s="170"/>
      <c r="C241" s="171"/>
      <c r="D241" s="166"/>
      <c r="E241" s="170"/>
      <c r="F241" s="170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  <c r="Z241" s="166"/>
    </row>
    <row r="242">
      <c r="A242" s="170"/>
      <c r="B242" s="170"/>
      <c r="C242" s="171"/>
      <c r="D242" s="166"/>
      <c r="E242" s="170"/>
      <c r="F242" s="170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</row>
    <row r="243">
      <c r="A243" s="170"/>
      <c r="B243" s="170"/>
      <c r="C243" s="171"/>
      <c r="D243" s="166"/>
      <c r="E243" s="170"/>
      <c r="F243" s="170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  <c r="Z243" s="166"/>
    </row>
    <row r="244">
      <c r="A244" s="170"/>
      <c r="B244" s="170"/>
      <c r="C244" s="171"/>
      <c r="D244" s="166"/>
      <c r="E244" s="170"/>
      <c r="F244" s="170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</row>
    <row r="245">
      <c r="A245" s="170"/>
      <c r="B245" s="170"/>
      <c r="C245" s="171"/>
      <c r="D245" s="166"/>
      <c r="E245" s="170"/>
      <c r="F245" s="170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  <c r="Z245" s="166"/>
    </row>
    <row r="246">
      <c r="A246" s="170"/>
      <c r="B246" s="170"/>
      <c r="C246" s="171"/>
      <c r="D246" s="166"/>
      <c r="E246" s="170"/>
      <c r="F246" s="170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</row>
    <row r="247">
      <c r="A247" s="170"/>
      <c r="B247" s="170"/>
      <c r="C247" s="171"/>
      <c r="D247" s="166"/>
      <c r="E247" s="170"/>
      <c r="F247" s="170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  <c r="Y247" s="166"/>
      <c r="Z247" s="166"/>
    </row>
    <row r="248">
      <c r="A248" s="170"/>
      <c r="B248" s="170"/>
      <c r="C248" s="171"/>
      <c r="D248" s="166"/>
      <c r="E248" s="170"/>
      <c r="F248" s="170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</row>
    <row r="249">
      <c r="A249" s="170"/>
      <c r="B249" s="170"/>
      <c r="C249" s="171"/>
      <c r="D249" s="166"/>
      <c r="E249" s="170"/>
      <c r="F249" s="170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  <c r="Y249" s="166"/>
      <c r="Z249" s="166"/>
    </row>
    <row r="250">
      <c r="A250" s="170"/>
      <c r="B250" s="170"/>
      <c r="C250" s="171"/>
      <c r="D250" s="166"/>
      <c r="E250" s="170"/>
      <c r="F250" s="170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</row>
    <row r="251">
      <c r="A251" s="170"/>
      <c r="B251" s="170"/>
      <c r="C251" s="171"/>
      <c r="D251" s="166"/>
      <c r="E251" s="170"/>
      <c r="F251" s="170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  <c r="Z251" s="166"/>
    </row>
    <row r="252">
      <c r="A252" s="170"/>
      <c r="B252" s="170"/>
      <c r="C252" s="171"/>
      <c r="D252" s="166"/>
      <c r="E252" s="170"/>
      <c r="F252" s="170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</row>
    <row r="253">
      <c r="A253" s="170"/>
      <c r="B253" s="170"/>
      <c r="C253" s="171"/>
      <c r="D253" s="166"/>
      <c r="E253" s="170"/>
      <c r="F253" s="170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</row>
    <row r="254">
      <c r="A254" s="170"/>
      <c r="B254" s="170"/>
      <c r="C254" s="171"/>
      <c r="D254" s="166"/>
      <c r="E254" s="170"/>
      <c r="F254" s="170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</row>
    <row r="255">
      <c r="A255" s="170"/>
      <c r="B255" s="170"/>
      <c r="C255" s="171"/>
      <c r="D255" s="166"/>
      <c r="E255" s="170"/>
      <c r="F255" s="170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</row>
    <row r="256">
      <c r="A256" s="170"/>
      <c r="B256" s="170"/>
      <c r="C256" s="171"/>
      <c r="D256" s="166"/>
      <c r="E256" s="170"/>
      <c r="F256" s="170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</row>
    <row r="257">
      <c r="A257" s="170"/>
      <c r="B257" s="170"/>
      <c r="C257" s="171"/>
      <c r="D257" s="166"/>
      <c r="E257" s="170"/>
      <c r="F257" s="170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</row>
    <row r="258">
      <c r="A258" s="170"/>
      <c r="B258" s="170"/>
      <c r="C258" s="171"/>
      <c r="D258" s="166"/>
      <c r="E258" s="170"/>
      <c r="F258" s="170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</row>
    <row r="259">
      <c r="A259" s="170"/>
      <c r="B259" s="170"/>
      <c r="C259" s="171"/>
      <c r="D259" s="166"/>
      <c r="E259" s="170"/>
      <c r="F259" s="170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</row>
    <row r="260">
      <c r="A260" s="170"/>
      <c r="B260" s="170"/>
      <c r="C260" s="171"/>
      <c r="D260" s="166"/>
      <c r="E260" s="170"/>
      <c r="F260" s="170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  <c r="Z260" s="166"/>
    </row>
    <row r="261">
      <c r="A261" s="170"/>
      <c r="B261" s="170"/>
      <c r="C261" s="171"/>
      <c r="D261" s="166"/>
      <c r="E261" s="170"/>
      <c r="F261" s="170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</row>
    <row r="262">
      <c r="A262" s="170"/>
      <c r="B262" s="170"/>
      <c r="C262" s="171"/>
      <c r="D262" s="166"/>
      <c r="E262" s="170"/>
      <c r="F262" s="170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</row>
    <row r="263">
      <c r="A263" s="170"/>
      <c r="B263" s="170"/>
      <c r="C263" s="171"/>
      <c r="D263" s="166"/>
      <c r="E263" s="170"/>
      <c r="F263" s="170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</row>
    <row r="264">
      <c r="A264" s="170"/>
      <c r="B264" s="170"/>
      <c r="C264" s="171"/>
      <c r="D264" s="166"/>
      <c r="E264" s="170"/>
      <c r="F264" s="170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</row>
    <row r="265">
      <c r="A265" s="170"/>
      <c r="B265" s="170"/>
      <c r="C265" s="171"/>
      <c r="D265" s="166"/>
      <c r="E265" s="170"/>
      <c r="F265" s="170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</row>
    <row r="266">
      <c r="A266" s="170"/>
      <c r="B266" s="170"/>
      <c r="C266" s="171"/>
      <c r="D266" s="166"/>
      <c r="E266" s="170"/>
      <c r="F266" s="170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</row>
    <row r="267">
      <c r="A267" s="170"/>
      <c r="B267" s="170"/>
      <c r="C267" s="171"/>
      <c r="D267" s="166"/>
      <c r="E267" s="170"/>
      <c r="F267" s="170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</row>
    <row r="268">
      <c r="A268" s="170"/>
      <c r="B268" s="170"/>
      <c r="C268" s="171"/>
      <c r="D268" s="166"/>
      <c r="E268" s="170"/>
      <c r="F268" s="170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  <c r="Z268" s="166"/>
    </row>
    <row r="269">
      <c r="A269" s="170"/>
      <c r="B269" s="170"/>
      <c r="C269" s="171"/>
      <c r="D269" s="166"/>
      <c r="E269" s="170"/>
      <c r="F269" s="170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</row>
    <row r="270">
      <c r="A270" s="170"/>
      <c r="B270" s="170"/>
      <c r="C270" s="171"/>
      <c r="D270" s="166"/>
      <c r="E270" s="170"/>
      <c r="F270" s="170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</row>
    <row r="271">
      <c r="A271" s="170"/>
      <c r="B271" s="170"/>
      <c r="C271" s="171"/>
      <c r="D271" s="166"/>
      <c r="E271" s="170"/>
      <c r="F271" s="170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</row>
    <row r="272">
      <c r="A272" s="170"/>
      <c r="B272" s="170"/>
      <c r="C272" s="171"/>
      <c r="D272" s="166"/>
      <c r="E272" s="170"/>
      <c r="F272" s="170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</row>
    <row r="273">
      <c r="A273" s="170"/>
      <c r="B273" s="170"/>
      <c r="C273" s="171"/>
      <c r="D273" s="166"/>
      <c r="E273" s="170"/>
      <c r="F273" s="170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</row>
    <row r="274">
      <c r="A274" s="170"/>
      <c r="B274" s="170"/>
      <c r="C274" s="171"/>
      <c r="D274" s="166"/>
      <c r="E274" s="170"/>
      <c r="F274" s="170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</row>
    <row r="275">
      <c r="A275" s="170"/>
      <c r="B275" s="170"/>
      <c r="C275" s="171"/>
      <c r="D275" s="166"/>
      <c r="E275" s="170"/>
      <c r="F275" s="170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</row>
    <row r="276">
      <c r="A276" s="170"/>
      <c r="B276" s="170"/>
      <c r="C276" s="171"/>
      <c r="D276" s="166"/>
      <c r="E276" s="170"/>
      <c r="F276" s="170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</row>
    <row r="277">
      <c r="A277" s="170"/>
      <c r="B277" s="170"/>
      <c r="C277" s="171"/>
      <c r="D277" s="166"/>
      <c r="E277" s="170"/>
      <c r="F277" s="170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</row>
    <row r="278">
      <c r="A278" s="170"/>
      <c r="B278" s="170"/>
      <c r="C278" s="171"/>
      <c r="D278" s="166"/>
      <c r="E278" s="170"/>
      <c r="F278" s="170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  <c r="Z278" s="166"/>
    </row>
    <row r="279">
      <c r="A279" s="170"/>
      <c r="B279" s="170"/>
      <c r="C279" s="171"/>
      <c r="D279" s="166"/>
      <c r="E279" s="170"/>
      <c r="F279" s="170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</row>
    <row r="280">
      <c r="A280" s="170"/>
      <c r="B280" s="170"/>
      <c r="C280" s="171"/>
      <c r="D280" s="166"/>
      <c r="E280" s="170"/>
      <c r="F280" s="170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</row>
    <row r="281">
      <c r="A281" s="170"/>
      <c r="B281" s="170"/>
      <c r="C281" s="171"/>
      <c r="D281" s="166"/>
      <c r="E281" s="170"/>
      <c r="F281" s="170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</row>
    <row r="282">
      <c r="A282" s="170"/>
      <c r="B282" s="170"/>
      <c r="C282" s="171"/>
      <c r="D282" s="166"/>
      <c r="E282" s="170"/>
      <c r="F282" s="170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</row>
    <row r="283">
      <c r="A283" s="170"/>
      <c r="B283" s="170"/>
      <c r="C283" s="171"/>
      <c r="D283" s="166"/>
      <c r="E283" s="170"/>
      <c r="F283" s="170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</row>
    <row r="284">
      <c r="A284" s="170"/>
      <c r="B284" s="170"/>
      <c r="C284" s="171"/>
      <c r="D284" s="166"/>
      <c r="E284" s="170"/>
      <c r="F284" s="170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</row>
    <row r="285">
      <c r="A285" s="170"/>
      <c r="B285" s="170"/>
      <c r="C285" s="171"/>
      <c r="D285" s="166"/>
      <c r="E285" s="170"/>
      <c r="F285" s="170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</row>
    <row r="286">
      <c r="A286" s="170"/>
      <c r="B286" s="170"/>
      <c r="C286" s="171"/>
      <c r="D286" s="166"/>
      <c r="E286" s="170"/>
      <c r="F286" s="170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</row>
    <row r="287">
      <c r="A287" s="170"/>
      <c r="B287" s="170"/>
      <c r="C287" s="171"/>
      <c r="D287" s="166"/>
      <c r="E287" s="170"/>
      <c r="F287" s="170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</row>
    <row r="288">
      <c r="A288" s="170"/>
      <c r="B288" s="170"/>
      <c r="C288" s="171"/>
      <c r="D288" s="166"/>
      <c r="E288" s="170"/>
      <c r="F288" s="170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</row>
    <row r="289">
      <c r="A289" s="170"/>
      <c r="B289" s="170"/>
      <c r="C289" s="171"/>
      <c r="D289" s="166"/>
      <c r="E289" s="170"/>
      <c r="F289" s="170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</row>
    <row r="290">
      <c r="A290" s="170"/>
      <c r="B290" s="170"/>
      <c r="C290" s="171"/>
      <c r="D290" s="166"/>
      <c r="E290" s="170"/>
      <c r="F290" s="170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  <c r="Z290" s="166"/>
    </row>
    <row r="291">
      <c r="A291" s="170"/>
      <c r="B291" s="170"/>
      <c r="C291" s="171"/>
      <c r="D291" s="166"/>
      <c r="E291" s="170"/>
      <c r="F291" s="170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</row>
    <row r="292">
      <c r="A292" s="170"/>
      <c r="B292" s="170"/>
      <c r="C292" s="171"/>
      <c r="D292" s="166"/>
      <c r="E292" s="170"/>
      <c r="F292" s="170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</row>
    <row r="293">
      <c r="A293" s="170"/>
      <c r="B293" s="170"/>
      <c r="C293" s="171"/>
      <c r="D293" s="166"/>
      <c r="E293" s="170"/>
      <c r="F293" s="170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</row>
    <row r="294">
      <c r="A294" s="170"/>
      <c r="B294" s="170"/>
      <c r="C294" s="171"/>
      <c r="D294" s="166"/>
      <c r="E294" s="170"/>
      <c r="F294" s="170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</row>
    <row r="295">
      <c r="A295" s="170"/>
      <c r="B295" s="170"/>
      <c r="C295" s="171"/>
      <c r="D295" s="166"/>
      <c r="E295" s="170"/>
      <c r="F295" s="170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</row>
    <row r="296">
      <c r="A296" s="170"/>
      <c r="B296" s="170"/>
      <c r="C296" s="171"/>
      <c r="D296" s="166"/>
      <c r="E296" s="170"/>
      <c r="F296" s="170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  <c r="Z296" s="166"/>
    </row>
    <row r="297">
      <c r="A297" s="170"/>
      <c r="B297" s="170"/>
      <c r="C297" s="171"/>
      <c r="D297" s="166"/>
      <c r="E297" s="170"/>
      <c r="F297" s="170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</row>
    <row r="298">
      <c r="A298" s="170"/>
      <c r="B298" s="170"/>
      <c r="C298" s="171"/>
      <c r="D298" s="166"/>
      <c r="E298" s="170"/>
      <c r="F298" s="170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</row>
    <row r="299">
      <c r="A299" s="170"/>
      <c r="B299" s="170"/>
      <c r="C299" s="171"/>
      <c r="D299" s="166"/>
      <c r="E299" s="170"/>
      <c r="F299" s="170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</row>
    <row r="300">
      <c r="A300" s="170"/>
      <c r="B300" s="170"/>
      <c r="C300" s="171"/>
      <c r="D300" s="166"/>
      <c r="E300" s="170"/>
      <c r="F300" s="170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  <c r="Z300" s="166"/>
    </row>
    <row r="301">
      <c r="A301" s="170"/>
      <c r="B301" s="170"/>
      <c r="C301" s="171"/>
      <c r="D301" s="166"/>
      <c r="E301" s="170"/>
      <c r="F301" s="170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</row>
    <row r="302">
      <c r="A302" s="170"/>
      <c r="B302" s="170"/>
      <c r="C302" s="171"/>
      <c r="D302" s="166"/>
      <c r="E302" s="170"/>
      <c r="F302" s="170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/>
    </row>
    <row r="303">
      <c r="A303" s="170"/>
      <c r="B303" s="170"/>
      <c r="C303" s="171"/>
      <c r="D303" s="166"/>
      <c r="E303" s="170"/>
      <c r="F303" s="170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</row>
    <row r="304">
      <c r="A304" s="170"/>
      <c r="B304" s="170"/>
      <c r="C304" s="171"/>
      <c r="D304" s="166"/>
      <c r="E304" s="170"/>
      <c r="F304" s="170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  <c r="Z304" s="166"/>
    </row>
    <row r="305">
      <c r="A305" s="170"/>
      <c r="B305" s="170"/>
      <c r="C305" s="171"/>
      <c r="D305" s="166"/>
      <c r="E305" s="170"/>
      <c r="F305" s="170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</row>
    <row r="306">
      <c r="A306" s="170"/>
      <c r="B306" s="170"/>
      <c r="C306" s="171"/>
      <c r="D306" s="166"/>
      <c r="E306" s="170"/>
      <c r="F306" s="170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</row>
    <row r="307">
      <c r="A307" s="170"/>
      <c r="B307" s="170"/>
      <c r="C307" s="171"/>
      <c r="D307" s="166"/>
      <c r="E307" s="170"/>
      <c r="F307" s="170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</row>
    <row r="308">
      <c r="A308" s="170"/>
      <c r="B308" s="170"/>
      <c r="C308" s="171"/>
      <c r="D308" s="166"/>
      <c r="E308" s="170"/>
      <c r="F308" s="170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  <c r="Z308" s="166"/>
    </row>
    <row r="309">
      <c r="A309" s="170"/>
      <c r="B309" s="170"/>
      <c r="C309" s="171"/>
      <c r="D309" s="166"/>
      <c r="E309" s="170"/>
      <c r="F309" s="170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</row>
    <row r="310">
      <c r="A310" s="170"/>
      <c r="B310" s="170"/>
      <c r="C310" s="171"/>
      <c r="D310" s="166"/>
      <c r="E310" s="170"/>
      <c r="F310" s="170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  <c r="Z310" s="166"/>
    </row>
    <row r="311">
      <c r="A311" s="170"/>
      <c r="B311" s="170"/>
      <c r="C311" s="171"/>
      <c r="D311" s="166"/>
      <c r="E311" s="170"/>
      <c r="F311" s="170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</row>
    <row r="312">
      <c r="A312" s="170"/>
      <c r="B312" s="170"/>
      <c r="C312" s="171"/>
      <c r="D312" s="166"/>
      <c r="E312" s="170"/>
      <c r="F312" s="170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</row>
    <row r="313">
      <c r="A313" s="170"/>
      <c r="B313" s="170"/>
      <c r="C313" s="171"/>
      <c r="D313" s="166"/>
      <c r="E313" s="170"/>
      <c r="F313" s="170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</row>
    <row r="314">
      <c r="A314" s="170"/>
      <c r="B314" s="170"/>
      <c r="C314" s="171"/>
      <c r="D314" s="166"/>
      <c r="E314" s="170"/>
      <c r="F314" s="170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  <c r="Z314" s="166"/>
    </row>
    <row r="315">
      <c r="A315" s="170"/>
      <c r="B315" s="170"/>
      <c r="C315" s="171"/>
      <c r="D315" s="166"/>
      <c r="E315" s="170"/>
      <c r="F315" s="170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  <c r="Z315" s="166"/>
    </row>
    <row r="316">
      <c r="A316" s="170"/>
      <c r="B316" s="170"/>
      <c r="C316" s="171"/>
      <c r="D316" s="166"/>
      <c r="E316" s="170"/>
      <c r="F316" s="170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  <c r="Z316" s="166"/>
    </row>
    <row r="317">
      <c r="A317" s="170"/>
      <c r="B317" s="170"/>
      <c r="C317" s="171"/>
      <c r="D317" s="166"/>
      <c r="E317" s="170"/>
      <c r="F317" s="170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</row>
    <row r="318">
      <c r="A318" s="170"/>
      <c r="B318" s="170"/>
      <c r="C318" s="171"/>
      <c r="D318" s="166"/>
      <c r="E318" s="170"/>
      <c r="F318" s="170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  <c r="Z318" s="166"/>
    </row>
    <row r="319">
      <c r="A319" s="170"/>
      <c r="B319" s="170"/>
      <c r="C319" s="171"/>
      <c r="D319" s="166"/>
      <c r="E319" s="170"/>
      <c r="F319" s="170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  <c r="Z319" s="166"/>
    </row>
    <row r="320">
      <c r="A320" s="170"/>
      <c r="B320" s="170"/>
      <c r="C320" s="171"/>
      <c r="D320" s="166"/>
      <c r="E320" s="170"/>
      <c r="F320" s="170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  <c r="Z320" s="166"/>
    </row>
    <row r="321">
      <c r="A321" s="170"/>
      <c r="B321" s="170"/>
      <c r="C321" s="171"/>
      <c r="D321" s="166"/>
      <c r="E321" s="170"/>
      <c r="F321" s="170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</row>
    <row r="322">
      <c r="A322" s="170"/>
      <c r="B322" s="170"/>
      <c r="C322" s="171"/>
      <c r="D322" s="166"/>
      <c r="E322" s="170"/>
      <c r="F322" s="170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/>
    </row>
    <row r="323">
      <c r="A323" s="170"/>
      <c r="B323" s="170"/>
      <c r="C323" s="171"/>
      <c r="D323" s="166"/>
      <c r="E323" s="170"/>
      <c r="F323" s="170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</row>
    <row r="324">
      <c r="A324" s="170"/>
      <c r="B324" s="170"/>
      <c r="C324" s="171"/>
      <c r="D324" s="166"/>
      <c r="E324" s="170"/>
      <c r="F324" s="170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</row>
    <row r="325">
      <c r="A325" s="170"/>
      <c r="B325" s="170"/>
      <c r="C325" s="171"/>
      <c r="D325" s="166"/>
      <c r="E325" s="170"/>
      <c r="F325" s="170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</row>
    <row r="326">
      <c r="A326" s="170"/>
      <c r="B326" s="170"/>
      <c r="C326" s="171"/>
      <c r="D326" s="166"/>
      <c r="E326" s="170"/>
      <c r="F326" s="170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  <c r="Z326" s="166"/>
    </row>
    <row r="327">
      <c r="A327" s="170"/>
      <c r="B327" s="170"/>
      <c r="C327" s="171"/>
      <c r="D327" s="166"/>
      <c r="E327" s="170"/>
      <c r="F327" s="170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/>
    </row>
    <row r="328">
      <c r="A328" s="170"/>
      <c r="B328" s="170"/>
      <c r="C328" s="171"/>
      <c r="D328" s="166"/>
      <c r="E328" s="170"/>
      <c r="F328" s="170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6"/>
    </row>
    <row r="329">
      <c r="A329" s="170"/>
      <c r="B329" s="170"/>
      <c r="C329" s="171"/>
      <c r="D329" s="166"/>
      <c r="E329" s="170"/>
      <c r="F329" s="170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</row>
    <row r="330">
      <c r="A330" s="170"/>
      <c r="B330" s="170"/>
      <c r="C330" s="171"/>
      <c r="D330" s="166"/>
      <c r="E330" s="170"/>
      <c r="F330" s="170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  <c r="Z330" s="166"/>
    </row>
    <row r="331">
      <c r="A331" s="170"/>
      <c r="B331" s="170"/>
      <c r="C331" s="171"/>
      <c r="D331" s="166"/>
      <c r="E331" s="170"/>
      <c r="F331" s="170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</row>
    <row r="332">
      <c r="A332" s="170"/>
      <c r="B332" s="170"/>
      <c r="C332" s="171"/>
      <c r="D332" s="166"/>
      <c r="E332" s="170"/>
      <c r="F332" s="170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6"/>
    </row>
    <row r="333">
      <c r="A333" s="170"/>
      <c r="B333" s="170"/>
      <c r="C333" s="171"/>
      <c r="D333" s="166"/>
      <c r="E333" s="170"/>
      <c r="F333" s="170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</row>
    <row r="334">
      <c r="A334" s="170"/>
      <c r="B334" s="170"/>
      <c r="C334" s="171"/>
      <c r="D334" s="166"/>
      <c r="E334" s="170"/>
      <c r="F334" s="170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  <c r="Z334" s="166"/>
    </row>
    <row r="335">
      <c r="A335" s="170"/>
      <c r="B335" s="170"/>
      <c r="C335" s="171"/>
      <c r="D335" s="166"/>
      <c r="E335" s="170"/>
      <c r="F335" s="170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</row>
    <row r="336">
      <c r="A336" s="170"/>
      <c r="B336" s="170"/>
      <c r="C336" s="171"/>
      <c r="D336" s="166"/>
      <c r="E336" s="170"/>
      <c r="F336" s="170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  <c r="Z336" s="166"/>
    </row>
    <row r="337">
      <c r="A337" s="170"/>
      <c r="B337" s="170"/>
      <c r="C337" s="171"/>
      <c r="D337" s="166"/>
      <c r="E337" s="170"/>
      <c r="F337" s="170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</row>
    <row r="338">
      <c r="A338" s="170"/>
      <c r="B338" s="170"/>
      <c r="C338" s="171"/>
      <c r="D338" s="166"/>
      <c r="E338" s="170"/>
      <c r="F338" s="170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6"/>
    </row>
    <row r="339">
      <c r="A339" s="170"/>
      <c r="B339" s="170"/>
      <c r="C339" s="171"/>
      <c r="D339" s="166"/>
      <c r="E339" s="170"/>
      <c r="F339" s="170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</row>
    <row r="340">
      <c r="A340" s="170"/>
      <c r="B340" s="170"/>
      <c r="C340" s="171"/>
      <c r="D340" s="166"/>
      <c r="E340" s="170"/>
      <c r="F340" s="170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</row>
    <row r="341">
      <c r="A341" s="170"/>
      <c r="B341" s="170"/>
      <c r="C341" s="171"/>
      <c r="D341" s="166"/>
      <c r="E341" s="170"/>
      <c r="F341" s="170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  <c r="Z341" s="166"/>
    </row>
    <row r="342">
      <c r="A342" s="170"/>
      <c r="B342" s="170"/>
      <c r="C342" s="171"/>
      <c r="D342" s="166"/>
      <c r="E342" s="170"/>
      <c r="F342" s="170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</row>
    <row r="343">
      <c r="A343" s="170"/>
      <c r="B343" s="170"/>
      <c r="C343" s="171"/>
      <c r="D343" s="166"/>
      <c r="E343" s="170"/>
      <c r="F343" s="170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</row>
    <row r="344">
      <c r="A344" s="170"/>
      <c r="B344" s="170"/>
      <c r="C344" s="171"/>
      <c r="D344" s="166"/>
      <c r="E344" s="170"/>
      <c r="F344" s="170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  <c r="Z344" s="166"/>
    </row>
    <row r="345">
      <c r="A345" s="170"/>
      <c r="B345" s="170"/>
      <c r="C345" s="171"/>
      <c r="D345" s="166"/>
      <c r="E345" s="170"/>
      <c r="F345" s="170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</row>
    <row r="346">
      <c r="A346" s="170"/>
      <c r="B346" s="170"/>
      <c r="C346" s="171"/>
      <c r="D346" s="166"/>
      <c r="E346" s="170"/>
      <c r="F346" s="170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  <c r="Z346" s="166"/>
    </row>
    <row r="347">
      <c r="A347" s="170"/>
      <c r="B347" s="170"/>
      <c r="C347" s="171"/>
      <c r="D347" s="166"/>
      <c r="E347" s="170"/>
      <c r="F347" s="170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</row>
    <row r="348">
      <c r="A348" s="170"/>
      <c r="B348" s="170"/>
      <c r="C348" s="171"/>
      <c r="D348" s="166"/>
      <c r="E348" s="170"/>
      <c r="F348" s="170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</row>
    <row r="349">
      <c r="A349" s="170"/>
      <c r="B349" s="170"/>
      <c r="C349" s="171"/>
      <c r="D349" s="166"/>
      <c r="E349" s="170"/>
      <c r="F349" s="170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</row>
    <row r="350">
      <c r="A350" s="170"/>
      <c r="B350" s="170"/>
      <c r="C350" s="171"/>
      <c r="D350" s="166"/>
      <c r="E350" s="170"/>
      <c r="F350" s="170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  <c r="Z350" s="166"/>
    </row>
    <row r="351">
      <c r="A351" s="170"/>
      <c r="B351" s="170"/>
      <c r="C351" s="171"/>
      <c r="D351" s="166"/>
      <c r="E351" s="170"/>
      <c r="F351" s="170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6"/>
    </row>
    <row r="352">
      <c r="A352" s="170"/>
      <c r="B352" s="170"/>
      <c r="C352" s="171"/>
      <c r="D352" s="166"/>
      <c r="E352" s="170"/>
      <c r="F352" s="170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  <c r="Z352" s="166"/>
    </row>
    <row r="353">
      <c r="A353" s="170"/>
      <c r="B353" s="170"/>
      <c r="C353" s="171"/>
      <c r="D353" s="166"/>
      <c r="E353" s="170"/>
      <c r="F353" s="170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</row>
    <row r="354">
      <c r="A354" s="170"/>
      <c r="B354" s="170"/>
      <c r="C354" s="171"/>
      <c r="D354" s="166"/>
      <c r="E354" s="170"/>
      <c r="F354" s="170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  <c r="Z354" s="166"/>
    </row>
    <row r="355">
      <c r="A355" s="170"/>
      <c r="B355" s="170"/>
      <c r="C355" s="171"/>
      <c r="D355" s="166"/>
      <c r="E355" s="170"/>
      <c r="F355" s="170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</row>
    <row r="356">
      <c r="A356" s="170"/>
      <c r="B356" s="170"/>
      <c r="C356" s="171"/>
      <c r="D356" s="166"/>
      <c r="E356" s="170"/>
      <c r="F356" s="170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  <c r="Z356" s="166"/>
    </row>
    <row r="357">
      <c r="A357" s="170"/>
      <c r="B357" s="170"/>
      <c r="C357" s="171"/>
      <c r="D357" s="166"/>
      <c r="E357" s="170"/>
      <c r="F357" s="170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</row>
    <row r="358">
      <c r="A358" s="170"/>
      <c r="B358" s="170"/>
      <c r="C358" s="171"/>
      <c r="D358" s="166"/>
      <c r="E358" s="170"/>
      <c r="F358" s="170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  <c r="Z358" s="166"/>
    </row>
    <row r="359">
      <c r="A359" s="170"/>
      <c r="B359" s="170"/>
      <c r="C359" s="171"/>
      <c r="D359" s="166"/>
      <c r="E359" s="170"/>
      <c r="F359" s="170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</row>
    <row r="360">
      <c r="A360" s="170"/>
      <c r="B360" s="170"/>
      <c r="C360" s="171"/>
      <c r="D360" s="166"/>
      <c r="E360" s="170"/>
      <c r="F360" s="170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  <c r="Z360" s="166"/>
    </row>
    <row r="361">
      <c r="A361" s="170"/>
      <c r="B361" s="170"/>
      <c r="C361" s="171"/>
      <c r="D361" s="166"/>
      <c r="E361" s="170"/>
      <c r="F361" s="170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</row>
    <row r="362">
      <c r="A362" s="170"/>
      <c r="B362" s="170"/>
      <c r="C362" s="171"/>
      <c r="D362" s="166"/>
      <c r="E362" s="170"/>
      <c r="F362" s="170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  <c r="Z362" s="166"/>
    </row>
    <row r="363">
      <c r="A363" s="170"/>
      <c r="B363" s="170"/>
      <c r="C363" s="171"/>
      <c r="D363" s="166"/>
      <c r="E363" s="170"/>
      <c r="F363" s="170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</row>
    <row r="364">
      <c r="A364" s="170"/>
      <c r="B364" s="170"/>
      <c r="C364" s="171"/>
      <c r="D364" s="166"/>
      <c r="E364" s="170"/>
      <c r="F364" s="170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  <c r="Z364" s="166"/>
    </row>
    <row r="365">
      <c r="A365" s="170"/>
      <c r="B365" s="170"/>
      <c r="C365" s="171"/>
      <c r="D365" s="166"/>
      <c r="E365" s="170"/>
      <c r="F365" s="170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  <c r="Z365" s="166"/>
    </row>
    <row r="366">
      <c r="A366" s="170"/>
      <c r="B366" s="170"/>
      <c r="C366" s="171"/>
      <c r="D366" s="166"/>
      <c r="E366" s="170"/>
      <c r="F366" s="170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  <c r="Z366" s="166"/>
    </row>
    <row r="367">
      <c r="A367" s="170"/>
      <c r="B367" s="170"/>
      <c r="C367" s="171"/>
      <c r="D367" s="166"/>
      <c r="E367" s="170"/>
      <c r="F367" s="170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</row>
    <row r="368">
      <c r="A368" s="170"/>
      <c r="B368" s="170"/>
      <c r="C368" s="171"/>
      <c r="D368" s="166"/>
      <c r="E368" s="170"/>
      <c r="F368" s="170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  <c r="Z368" s="166"/>
    </row>
    <row r="369">
      <c r="A369" s="170"/>
      <c r="B369" s="170"/>
      <c r="C369" s="171"/>
      <c r="D369" s="166"/>
      <c r="E369" s="170"/>
      <c r="F369" s="170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</row>
    <row r="370">
      <c r="A370" s="170"/>
      <c r="B370" s="170"/>
      <c r="C370" s="171"/>
      <c r="D370" s="166"/>
      <c r="E370" s="170"/>
      <c r="F370" s="170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</row>
    <row r="371">
      <c r="A371" s="170"/>
      <c r="B371" s="170"/>
      <c r="C371" s="171"/>
      <c r="D371" s="166"/>
      <c r="E371" s="170"/>
      <c r="F371" s="170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  <c r="Z371" s="166"/>
    </row>
    <row r="372">
      <c r="A372" s="170"/>
      <c r="B372" s="170"/>
      <c r="C372" s="171"/>
      <c r="D372" s="166"/>
      <c r="E372" s="170"/>
      <c r="F372" s="170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</row>
    <row r="373">
      <c r="A373" s="170"/>
      <c r="B373" s="170"/>
      <c r="C373" s="171"/>
      <c r="D373" s="166"/>
      <c r="E373" s="170"/>
      <c r="F373" s="170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  <c r="Z373" s="166"/>
    </row>
    <row r="374">
      <c r="A374" s="170"/>
      <c r="B374" s="170"/>
      <c r="C374" s="171"/>
      <c r="D374" s="166"/>
      <c r="E374" s="170"/>
      <c r="F374" s="170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  <c r="Z374" s="166"/>
    </row>
    <row r="375">
      <c r="A375" s="170"/>
      <c r="B375" s="170"/>
      <c r="C375" s="171"/>
      <c r="D375" s="166"/>
      <c r="E375" s="170"/>
      <c r="F375" s="170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</row>
    <row r="376">
      <c r="A376" s="170"/>
      <c r="B376" s="170"/>
      <c r="C376" s="171"/>
      <c r="D376" s="166"/>
      <c r="E376" s="170"/>
      <c r="F376" s="170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  <c r="Z376" s="166"/>
    </row>
    <row r="377">
      <c r="A377" s="170"/>
      <c r="B377" s="170"/>
      <c r="C377" s="171"/>
      <c r="D377" s="166"/>
      <c r="E377" s="170"/>
      <c r="F377" s="170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</row>
    <row r="378">
      <c r="A378" s="170"/>
      <c r="B378" s="170"/>
      <c r="C378" s="171"/>
      <c r="D378" s="166"/>
      <c r="E378" s="170"/>
      <c r="F378" s="170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  <c r="Z378" s="166"/>
    </row>
    <row r="379">
      <c r="A379" s="170"/>
      <c r="B379" s="170"/>
      <c r="C379" s="171"/>
      <c r="D379" s="166"/>
      <c r="E379" s="170"/>
      <c r="F379" s="170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</row>
    <row r="380">
      <c r="A380" s="170"/>
      <c r="B380" s="170"/>
      <c r="C380" s="171"/>
      <c r="D380" s="166"/>
      <c r="E380" s="170"/>
      <c r="F380" s="170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  <c r="Z380" s="166"/>
    </row>
    <row r="381">
      <c r="A381" s="170"/>
      <c r="B381" s="170"/>
      <c r="C381" s="171"/>
      <c r="D381" s="166"/>
      <c r="E381" s="170"/>
      <c r="F381" s="170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</row>
    <row r="382">
      <c r="A382" s="170"/>
      <c r="B382" s="170"/>
      <c r="C382" s="171"/>
      <c r="D382" s="166"/>
      <c r="E382" s="170"/>
      <c r="F382" s="170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  <c r="Z382" s="166"/>
    </row>
    <row r="383">
      <c r="A383" s="170"/>
      <c r="B383" s="170"/>
      <c r="C383" s="171"/>
      <c r="D383" s="166"/>
      <c r="E383" s="170"/>
      <c r="F383" s="170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</row>
    <row r="384">
      <c r="A384" s="170"/>
      <c r="B384" s="170"/>
      <c r="C384" s="171"/>
      <c r="D384" s="166"/>
      <c r="E384" s="170"/>
      <c r="F384" s="170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  <c r="Z384" s="166"/>
    </row>
    <row r="385">
      <c r="A385" s="170"/>
      <c r="B385" s="170"/>
      <c r="C385" s="171"/>
      <c r="D385" s="166"/>
      <c r="E385" s="170"/>
      <c r="F385" s="170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</row>
    <row r="386">
      <c r="A386" s="170"/>
      <c r="B386" s="170"/>
      <c r="C386" s="171"/>
      <c r="D386" s="166"/>
      <c r="E386" s="170"/>
      <c r="F386" s="170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  <c r="Z386" s="166"/>
    </row>
    <row r="387">
      <c r="A387" s="170"/>
      <c r="B387" s="170"/>
      <c r="C387" s="171"/>
      <c r="D387" s="166"/>
      <c r="E387" s="170"/>
      <c r="F387" s="170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</row>
    <row r="388">
      <c r="A388" s="170"/>
      <c r="B388" s="170"/>
      <c r="C388" s="171"/>
      <c r="D388" s="166"/>
      <c r="E388" s="170"/>
      <c r="F388" s="170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</row>
    <row r="389">
      <c r="A389" s="170"/>
      <c r="B389" s="170"/>
      <c r="C389" s="171"/>
      <c r="D389" s="166"/>
      <c r="E389" s="170"/>
      <c r="F389" s="170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</row>
    <row r="390">
      <c r="A390" s="170"/>
      <c r="B390" s="170"/>
      <c r="C390" s="171"/>
      <c r="D390" s="166"/>
      <c r="E390" s="170"/>
      <c r="F390" s="170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  <c r="Z390" s="166"/>
    </row>
    <row r="391">
      <c r="A391" s="170"/>
      <c r="B391" s="170"/>
      <c r="C391" s="171"/>
      <c r="D391" s="166"/>
      <c r="E391" s="170"/>
      <c r="F391" s="170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  <c r="Z391" s="166"/>
    </row>
    <row r="392">
      <c r="A392" s="170"/>
      <c r="B392" s="170"/>
      <c r="C392" s="171"/>
      <c r="D392" s="166"/>
      <c r="E392" s="170"/>
      <c r="F392" s="170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</row>
    <row r="393">
      <c r="A393" s="170"/>
      <c r="B393" s="170"/>
      <c r="C393" s="171"/>
      <c r="D393" s="166"/>
      <c r="E393" s="170"/>
      <c r="F393" s="170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</row>
    <row r="394">
      <c r="A394" s="170"/>
      <c r="B394" s="170"/>
      <c r="C394" s="171"/>
      <c r="D394" s="166"/>
      <c r="E394" s="170"/>
      <c r="F394" s="170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  <c r="Z394" s="166"/>
    </row>
    <row r="395">
      <c r="A395" s="170"/>
      <c r="B395" s="170"/>
      <c r="C395" s="171"/>
      <c r="D395" s="166"/>
      <c r="E395" s="170"/>
      <c r="F395" s="170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  <c r="Z395" s="166"/>
    </row>
    <row r="396">
      <c r="A396" s="170"/>
      <c r="B396" s="170"/>
      <c r="C396" s="171"/>
      <c r="D396" s="166"/>
      <c r="E396" s="170"/>
      <c r="F396" s="170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  <c r="Z396" s="166"/>
    </row>
    <row r="397">
      <c r="A397" s="170"/>
      <c r="B397" s="170"/>
      <c r="C397" s="171"/>
      <c r="D397" s="166"/>
      <c r="E397" s="170"/>
      <c r="F397" s="170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</row>
    <row r="398">
      <c r="A398" s="170"/>
      <c r="B398" s="170"/>
      <c r="C398" s="171"/>
      <c r="D398" s="166"/>
      <c r="E398" s="170"/>
      <c r="F398" s="170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  <c r="Z398" s="166"/>
    </row>
    <row r="399">
      <c r="A399" s="170"/>
      <c r="B399" s="170"/>
      <c r="C399" s="171"/>
      <c r="D399" s="166"/>
      <c r="E399" s="170"/>
      <c r="F399" s="170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</row>
    <row r="400">
      <c r="A400" s="170"/>
      <c r="B400" s="170"/>
      <c r="C400" s="171"/>
      <c r="D400" s="166"/>
      <c r="E400" s="170"/>
      <c r="F400" s="170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  <c r="Z400" s="166"/>
    </row>
    <row r="401">
      <c r="A401" s="170"/>
      <c r="B401" s="170"/>
      <c r="C401" s="171"/>
      <c r="D401" s="166"/>
      <c r="E401" s="170"/>
      <c r="F401" s="170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  <c r="Z401" s="166"/>
    </row>
    <row r="402">
      <c r="A402" s="170"/>
      <c r="B402" s="170"/>
      <c r="C402" s="171"/>
      <c r="D402" s="166"/>
      <c r="E402" s="170"/>
      <c r="F402" s="170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</row>
    <row r="403">
      <c r="A403" s="170"/>
      <c r="B403" s="170"/>
      <c r="C403" s="171"/>
      <c r="D403" s="166"/>
      <c r="E403" s="170"/>
      <c r="F403" s="170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  <c r="Z403" s="166"/>
    </row>
    <row r="404">
      <c r="A404" s="170"/>
      <c r="B404" s="170"/>
      <c r="C404" s="171"/>
      <c r="D404" s="166"/>
      <c r="E404" s="170"/>
      <c r="F404" s="170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/>
      <c r="Z404" s="166"/>
    </row>
    <row r="405">
      <c r="A405" s="170"/>
      <c r="B405" s="170"/>
      <c r="C405" s="171"/>
      <c r="D405" s="166"/>
      <c r="E405" s="170"/>
      <c r="F405" s="170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  <c r="Z405" s="166"/>
    </row>
    <row r="406">
      <c r="A406" s="170"/>
      <c r="B406" s="170"/>
      <c r="C406" s="171"/>
      <c r="D406" s="166"/>
      <c r="E406" s="170"/>
      <c r="F406" s="170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  <c r="Z406" s="166"/>
    </row>
    <row r="407">
      <c r="A407" s="170"/>
      <c r="B407" s="170"/>
      <c r="C407" s="171"/>
      <c r="D407" s="166"/>
      <c r="E407" s="170"/>
      <c r="F407" s="170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  <c r="X407" s="166"/>
      <c r="Y407" s="166"/>
      <c r="Z407" s="166"/>
    </row>
    <row r="408">
      <c r="A408" s="170"/>
      <c r="B408" s="170"/>
      <c r="C408" s="171"/>
      <c r="D408" s="166"/>
      <c r="E408" s="170"/>
      <c r="F408" s="170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  <c r="Z408" s="166"/>
    </row>
    <row r="409">
      <c r="A409" s="170"/>
      <c r="B409" s="170"/>
      <c r="C409" s="171"/>
      <c r="D409" s="166"/>
      <c r="E409" s="170"/>
      <c r="F409" s="170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  <c r="Y409" s="166"/>
      <c r="Z409" s="166"/>
    </row>
    <row r="410">
      <c r="A410" s="170"/>
      <c r="B410" s="170"/>
      <c r="C410" s="171"/>
      <c r="D410" s="166"/>
      <c r="E410" s="170"/>
      <c r="F410" s="170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  <c r="Z410" s="166"/>
    </row>
    <row r="411">
      <c r="A411" s="170"/>
      <c r="B411" s="170"/>
      <c r="C411" s="171"/>
      <c r="D411" s="166"/>
      <c r="E411" s="170"/>
      <c r="F411" s="170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  <c r="Y411" s="166"/>
      <c r="Z411" s="166"/>
    </row>
    <row r="412">
      <c r="A412" s="170"/>
      <c r="B412" s="170"/>
      <c r="C412" s="171"/>
      <c r="D412" s="166"/>
      <c r="E412" s="170"/>
      <c r="F412" s="170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  <c r="Z412" s="166"/>
    </row>
    <row r="413">
      <c r="A413" s="170"/>
      <c r="B413" s="170"/>
      <c r="C413" s="171"/>
      <c r="D413" s="166"/>
      <c r="E413" s="170"/>
      <c r="F413" s="170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  <c r="Z413" s="166"/>
    </row>
    <row r="414">
      <c r="A414" s="170"/>
      <c r="B414" s="170"/>
      <c r="C414" s="171"/>
      <c r="D414" s="166"/>
      <c r="E414" s="170"/>
      <c r="F414" s="170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  <c r="Z414" s="166"/>
    </row>
    <row r="415">
      <c r="A415" s="170"/>
      <c r="B415" s="170"/>
      <c r="C415" s="171"/>
      <c r="D415" s="166"/>
      <c r="E415" s="170"/>
      <c r="F415" s="170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  <c r="Y415" s="166"/>
      <c r="Z415" s="166"/>
    </row>
    <row r="416">
      <c r="A416" s="170"/>
      <c r="B416" s="170"/>
      <c r="C416" s="171"/>
      <c r="D416" s="166"/>
      <c r="E416" s="170"/>
      <c r="F416" s="170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  <c r="Z416" s="166"/>
    </row>
    <row r="417">
      <c r="A417" s="170"/>
      <c r="B417" s="170"/>
      <c r="C417" s="171"/>
      <c r="D417" s="166"/>
      <c r="E417" s="170"/>
      <c r="F417" s="170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  <c r="Y417" s="166"/>
      <c r="Z417" s="166"/>
    </row>
    <row r="418">
      <c r="A418" s="170"/>
      <c r="B418" s="170"/>
      <c r="C418" s="171"/>
      <c r="D418" s="166"/>
      <c r="E418" s="170"/>
      <c r="F418" s="170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  <c r="Y418" s="166"/>
      <c r="Z418" s="166"/>
    </row>
    <row r="419">
      <c r="A419" s="170"/>
      <c r="B419" s="170"/>
      <c r="C419" s="171"/>
      <c r="D419" s="166"/>
      <c r="E419" s="170"/>
      <c r="F419" s="170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  <c r="Z419" s="166"/>
    </row>
    <row r="420">
      <c r="A420" s="170"/>
      <c r="B420" s="170"/>
      <c r="C420" s="171"/>
      <c r="D420" s="166"/>
      <c r="E420" s="170"/>
      <c r="F420" s="170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  <c r="Z420" s="166"/>
    </row>
    <row r="421">
      <c r="A421" s="170"/>
      <c r="B421" s="170"/>
      <c r="C421" s="171"/>
      <c r="D421" s="166"/>
      <c r="E421" s="170"/>
      <c r="F421" s="170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  <c r="Z421" s="166"/>
    </row>
    <row r="422">
      <c r="A422" s="170"/>
      <c r="B422" s="170"/>
      <c r="C422" s="171"/>
      <c r="D422" s="166"/>
      <c r="E422" s="170"/>
      <c r="F422" s="170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</row>
    <row r="423">
      <c r="A423" s="170"/>
      <c r="B423" s="170"/>
      <c r="C423" s="171"/>
      <c r="D423" s="166"/>
      <c r="E423" s="170"/>
      <c r="F423" s="170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6"/>
    </row>
    <row r="424">
      <c r="A424" s="170"/>
      <c r="B424" s="170"/>
      <c r="C424" s="171"/>
      <c r="D424" s="166"/>
      <c r="E424" s="170"/>
      <c r="F424" s="170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</row>
    <row r="425">
      <c r="A425" s="170"/>
      <c r="B425" s="170"/>
      <c r="C425" s="171"/>
      <c r="D425" s="166"/>
      <c r="E425" s="170"/>
      <c r="F425" s="170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  <c r="Z425" s="166"/>
    </row>
    <row r="426">
      <c r="A426" s="170"/>
      <c r="B426" s="170"/>
      <c r="C426" s="171"/>
      <c r="D426" s="166"/>
      <c r="E426" s="170"/>
      <c r="F426" s="170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</row>
    <row r="427">
      <c r="A427" s="170"/>
      <c r="B427" s="170"/>
      <c r="C427" s="171"/>
      <c r="D427" s="166"/>
      <c r="E427" s="170"/>
      <c r="F427" s="170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</row>
    <row r="428">
      <c r="A428" s="170"/>
      <c r="B428" s="170"/>
      <c r="C428" s="171"/>
      <c r="D428" s="166"/>
      <c r="E428" s="170"/>
      <c r="F428" s="170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</row>
    <row r="429">
      <c r="A429" s="170"/>
      <c r="B429" s="170"/>
      <c r="C429" s="171"/>
      <c r="D429" s="166"/>
      <c r="E429" s="170"/>
      <c r="F429" s="170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</row>
    <row r="430">
      <c r="A430" s="170"/>
      <c r="B430" s="170"/>
      <c r="C430" s="171"/>
      <c r="D430" s="166"/>
      <c r="E430" s="170"/>
      <c r="F430" s="170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</row>
    <row r="431">
      <c r="A431" s="170"/>
      <c r="B431" s="170"/>
      <c r="C431" s="171"/>
      <c r="D431" s="166"/>
      <c r="E431" s="170"/>
      <c r="F431" s="170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  <c r="Z431" s="166"/>
    </row>
    <row r="432">
      <c r="A432" s="170"/>
      <c r="B432" s="170"/>
      <c r="C432" s="171"/>
      <c r="D432" s="166"/>
      <c r="E432" s="170"/>
      <c r="F432" s="170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</row>
    <row r="433">
      <c r="A433" s="170"/>
      <c r="B433" s="170"/>
      <c r="C433" s="171"/>
      <c r="D433" s="166"/>
      <c r="E433" s="170"/>
      <c r="F433" s="170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  <c r="Z433" s="166"/>
    </row>
    <row r="434">
      <c r="A434" s="170"/>
      <c r="B434" s="170"/>
      <c r="C434" s="171"/>
      <c r="D434" s="166"/>
      <c r="E434" s="170"/>
      <c r="F434" s="170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</row>
    <row r="435">
      <c r="A435" s="170"/>
      <c r="B435" s="170"/>
      <c r="C435" s="171"/>
      <c r="D435" s="166"/>
      <c r="E435" s="170"/>
      <c r="F435" s="170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  <c r="Z435" s="166"/>
    </row>
    <row r="436">
      <c r="A436" s="170"/>
      <c r="B436" s="170"/>
      <c r="C436" s="171"/>
      <c r="D436" s="166"/>
      <c r="E436" s="170"/>
      <c r="F436" s="170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</row>
    <row r="437">
      <c r="A437" s="170"/>
      <c r="B437" s="170"/>
      <c r="C437" s="171"/>
      <c r="D437" s="166"/>
      <c r="E437" s="170"/>
      <c r="F437" s="170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</row>
    <row r="438">
      <c r="A438" s="170"/>
      <c r="B438" s="170"/>
      <c r="C438" s="171"/>
      <c r="D438" s="166"/>
      <c r="E438" s="170"/>
      <c r="F438" s="170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</row>
    <row r="439">
      <c r="A439" s="170"/>
      <c r="B439" s="170"/>
      <c r="C439" s="171"/>
      <c r="D439" s="166"/>
      <c r="E439" s="170"/>
      <c r="F439" s="170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  <c r="Z439" s="166"/>
    </row>
    <row r="440">
      <c r="A440" s="170"/>
      <c r="B440" s="170"/>
      <c r="C440" s="171"/>
      <c r="D440" s="166"/>
      <c r="E440" s="170"/>
      <c r="F440" s="170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</row>
    <row r="441">
      <c r="A441" s="170"/>
      <c r="B441" s="170"/>
      <c r="C441" s="171"/>
      <c r="D441" s="166"/>
      <c r="E441" s="170"/>
      <c r="F441" s="170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6"/>
    </row>
    <row r="442">
      <c r="A442" s="170"/>
      <c r="B442" s="170"/>
      <c r="C442" s="171"/>
      <c r="D442" s="166"/>
      <c r="E442" s="170"/>
      <c r="F442" s="170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</row>
    <row r="443">
      <c r="A443" s="170"/>
      <c r="B443" s="170"/>
      <c r="C443" s="171"/>
      <c r="D443" s="166"/>
      <c r="E443" s="170"/>
      <c r="F443" s="170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  <c r="Z443" s="166"/>
    </row>
    <row r="444">
      <c r="A444" s="170"/>
      <c r="B444" s="170"/>
      <c r="C444" s="171"/>
      <c r="D444" s="166"/>
      <c r="E444" s="170"/>
      <c r="F444" s="170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  <c r="Z444" s="166"/>
    </row>
    <row r="445">
      <c r="A445" s="170"/>
      <c r="B445" s="170"/>
      <c r="C445" s="171"/>
      <c r="D445" s="166"/>
      <c r="E445" s="170"/>
      <c r="F445" s="170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</row>
    <row r="446">
      <c r="A446" s="170"/>
      <c r="B446" s="170"/>
      <c r="C446" s="171"/>
      <c r="D446" s="166"/>
      <c r="E446" s="170"/>
      <c r="F446" s="170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</row>
    <row r="447">
      <c r="A447" s="170"/>
      <c r="B447" s="170"/>
      <c r="C447" s="171"/>
      <c r="D447" s="166"/>
      <c r="E447" s="170"/>
      <c r="F447" s="170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  <c r="Z447" s="166"/>
    </row>
    <row r="448">
      <c r="A448" s="170"/>
      <c r="B448" s="170"/>
      <c r="C448" s="171"/>
      <c r="D448" s="166"/>
      <c r="E448" s="170"/>
      <c r="F448" s="170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</row>
    <row r="449">
      <c r="A449" s="170"/>
      <c r="B449" s="170"/>
      <c r="C449" s="171"/>
      <c r="D449" s="166"/>
      <c r="E449" s="170"/>
      <c r="F449" s="170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  <c r="Z449" s="166"/>
    </row>
    <row r="450">
      <c r="A450" s="170"/>
      <c r="B450" s="170"/>
      <c r="C450" s="171"/>
      <c r="D450" s="166"/>
      <c r="E450" s="170"/>
      <c r="F450" s="170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</row>
    <row r="451">
      <c r="A451" s="170"/>
      <c r="B451" s="170"/>
      <c r="C451" s="171"/>
      <c r="D451" s="166"/>
      <c r="E451" s="170"/>
      <c r="F451" s="170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  <c r="Y451" s="166"/>
      <c r="Z451" s="166"/>
    </row>
    <row r="452">
      <c r="A452" s="170"/>
      <c r="B452" s="170"/>
      <c r="C452" s="171"/>
      <c r="D452" s="166"/>
      <c r="E452" s="170"/>
      <c r="F452" s="170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  <c r="Y452" s="166"/>
      <c r="Z452" s="166"/>
    </row>
    <row r="453">
      <c r="A453" s="170"/>
      <c r="B453" s="170"/>
      <c r="C453" s="171"/>
      <c r="D453" s="166"/>
      <c r="E453" s="170"/>
      <c r="F453" s="170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  <c r="Y453" s="166"/>
      <c r="Z453" s="166"/>
    </row>
    <row r="454">
      <c r="A454" s="170"/>
      <c r="B454" s="170"/>
      <c r="C454" s="171"/>
      <c r="D454" s="166"/>
      <c r="E454" s="170"/>
      <c r="F454" s="170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  <c r="Z454" s="166"/>
    </row>
    <row r="455">
      <c r="A455" s="170"/>
      <c r="B455" s="170"/>
      <c r="C455" s="171"/>
      <c r="D455" s="166"/>
      <c r="E455" s="170"/>
      <c r="F455" s="170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  <c r="Y455" s="166"/>
      <c r="Z455" s="166"/>
    </row>
    <row r="456">
      <c r="A456" s="170"/>
      <c r="B456" s="170"/>
      <c r="C456" s="171"/>
      <c r="D456" s="166"/>
      <c r="E456" s="170"/>
      <c r="F456" s="170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  <c r="Z456" s="166"/>
    </row>
    <row r="457">
      <c r="A457" s="170"/>
      <c r="B457" s="170"/>
      <c r="C457" s="171"/>
      <c r="D457" s="166"/>
      <c r="E457" s="170"/>
      <c r="F457" s="170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  <c r="Z457" s="166"/>
    </row>
    <row r="458">
      <c r="A458" s="170"/>
      <c r="B458" s="170"/>
      <c r="C458" s="171"/>
      <c r="D458" s="166"/>
      <c r="E458" s="170"/>
      <c r="F458" s="170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  <c r="Z458" s="166"/>
    </row>
    <row r="459">
      <c r="A459" s="170"/>
      <c r="B459" s="170"/>
      <c r="C459" s="171"/>
      <c r="D459" s="166"/>
      <c r="E459" s="170"/>
      <c r="F459" s="170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  <c r="Y459" s="166"/>
      <c r="Z459" s="166"/>
    </row>
    <row r="460">
      <c r="A460" s="170"/>
      <c r="B460" s="170"/>
      <c r="C460" s="171"/>
      <c r="D460" s="166"/>
      <c r="E460" s="170"/>
      <c r="F460" s="170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  <c r="Z460" s="166"/>
    </row>
    <row r="461">
      <c r="A461" s="170"/>
      <c r="B461" s="170"/>
      <c r="C461" s="171"/>
      <c r="D461" s="166"/>
      <c r="E461" s="170"/>
      <c r="F461" s="170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  <c r="Y461" s="166"/>
      <c r="Z461" s="166"/>
    </row>
    <row r="462">
      <c r="A462" s="170"/>
      <c r="B462" s="170"/>
      <c r="C462" s="171"/>
      <c r="D462" s="166"/>
      <c r="E462" s="170"/>
      <c r="F462" s="170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</row>
    <row r="463">
      <c r="A463" s="170"/>
      <c r="B463" s="170"/>
      <c r="C463" s="171"/>
      <c r="D463" s="166"/>
      <c r="E463" s="170"/>
      <c r="F463" s="170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  <c r="Y463" s="166"/>
      <c r="Z463" s="166"/>
    </row>
    <row r="464">
      <c r="A464" s="170"/>
      <c r="B464" s="170"/>
      <c r="C464" s="171"/>
      <c r="D464" s="166"/>
      <c r="E464" s="170"/>
      <c r="F464" s="170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  <c r="Y464" s="166"/>
      <c r="Z464" s="166"/>
    </row>
    <row r="465">
      <c r="A465" s="170"/>
      <c r="B465" s="170"/>
      <c r="C465" s="171"/>
      <c r="D465" s="166"/>
      <c r="E465" s="170"/>
      <c r="F465" s="170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  <c r="Y465" s="166"/>
      <c r="Z465" s="166"/>
    </row>
    <row r="466">
      <c r="A466" s="170"/>
      <c r="B466" s="170"/>
      <c r="C466" s="171"/>
      <c r="D466" s="166"/>
      <c r="E466" s="170"/>
      <c r="F466" s="170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  <c r="Z466" s="166"/>
    </row>
    <row r="467">
      <c r="A467" s="170"/>
      <c r="B467" s="170"/>
      <c r="C467" s="171"/>
      <c r="D467" s="166"/>
      <c r="E467" s="170"/>
      <c r="F467" s="170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  <c r="Y467" s="166"/>
      <c r="Z467" s="166"/>
    </row>
    <row r="468">
      <c r="A468" s="170"/>
      <c r="B468" s="170"/>
      <c r="C468" s="171"/>
      <c r="D468" s="166"/>
      <c r="E468" s="170"/>
      <c r="F468" s="170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  <c r="Z468" s="166"/>
    </row>
    <row r="469">
      <c r="A469" s="170"/>
      <c r="B469" s="170"/>
      <c r="C469" s="171"/>
      <c r="D469" s="166"/>
      <c r="E469" s="170"/>
      <c r="F469" s="170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  <c r="Y469" s="166"/>
      <c r="Z469" s="166"/>
    </row>
    <row r="470">
      <c r="A470" s="170"/>
      <c r="B470" s="170"/>
      <c r="C470" s="171"/>
      <c r="D470" s="166"/>
      <c r="E470" s="170"/>
      <c r="F470" s="170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  <c r="Z470" s="166"/>
    </row>
    <row r="471">
      <c r="A471" s="170"/>
      <c r="B471" s="170"/>
      <c r="C471" s="171"/>
      <c r="D471" s="166"/>
      <c r="E471" s="170"/>
      <c r="F471" s="170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  <c r="Y471" s="166"/>
      <c r="Z471" s="166"/>
    </row>
    <row r="472">
      <c r="A472" s="170"/>
      <c r="B472" s="170"/>
      <c r="C472" s="171"/>
      <c r="D472" s="166"/>
      <c r="E472" s="170"/>
      <c r="F472" s="170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  <c r="Z472" s="166"/>
    </row>
    <row r="473">
      <c r="A473" s="170"/>
      <c r="B473" s="170"/>
      <c r="C473" s="171"/>
      <c r="D473" s="166"/>
      <c r="E473" s="170"/>
      <c r="F473" s="170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  <c r="Z473" s="166"/>
    </row>
    <row r="474">
      <c r="A474" s="170"/>
      <c r="B474" s="170"/>
      <c r="C474" s="171"/>
      <c r="D474" s="166"/>
      <c r="E474" s="170"/>
      <c r="F474" s="170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  <c r="Z474" s="166"/>
    </row>
    <row r="475">
      <c r="A475" s="170"/>
      <c r="B475" s="170"/>
      <c r="C475" s="171"/>
      <c r="D475" s="166"/>
      <c r="E475" s="170"/>
      <c r="F475" s="170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  <c r="Z475" s="166"/>
    </row>
    <row r="476">
      <c r="A476" s="170"/>
      <c r="B476" s="170"/>
      <c r="C476" s="171"/>
      <c r="D476" s="166"/>
      <c r="E476" s="170"/>
      <c r="F476" s="170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  <c r="Z476" s="166"/>
    </row>
    <row r="477">
      <c r="A477" s="170"/>
      <c r="B477" s="170"/>
      <c r="C477" s="171"/>
      <c r="D477" s="166"/>
      <c r="E477" s="170"/>
      <c r="F477" s="170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  <c r="Y477" s="166"/>
      <c r="Z477" s="166"/>
    </row>
    <row r="478">
      <c r="A478" s="170"/>
      <c r="B478" s="170"/>
      <c r="C478" s="171"/>
      <c r="D478" s="166"/>
      <c r="E478" s="170"/>
      <c r="F478" s="170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  <c r="Z478" s="166"/>
    </row>
    <row r="479">
      <c r="A479" s="170"/>
      <c r="B479" s="170"/>
      <c r="C479" s="171"/>
      <c r="D479" s="166"/>
      <c r="E479" s="170"/>
      <c r="F479" s="170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  <c r="Y479" s="166"/>
      <c r="Z479" s="166"/>
    </row>
    <row r="480">
      <c r="A480" s="170"/>
      <c r="B480" s="170"/>
      <c r="C480" s="171"/>
      <c r="D480" s="166"/>
      <c r="E480" s="170"/>
      <c r="F480" s="170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  <c r="Z480" s="166"/>
    </row>
    <row r="481">
      <c r="A481" s="170"/>
      <c r="B481" s="170"/>
      <c r="C481" s="171"/>
      <c r="D481" s="166"/>
      <c r="E481" s="170"/>
      <c r="F481" s="170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</row>
    <row r="482">
      <c r="A482" s="170"/>
      <c r="B482" s="170"/>
      <c r="C482" s="171"/>
      <c r="D482" s="166"/>
      <c r="E482" s="170"/>
      <c r="F482" s="170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  <c r="Z482" s="166"/>
    </row>
    <row r="483">
      <c r="A483" s="170"/>
      <c r="B483" s="170"/>
      <c r="C483" s="171"/>
      <c r="D483" s="166"/>
      <c r="E483" s="170"/>
      <c r="F483" s="170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  <c r="Y483" s="166"/>
      <c r="Z483" s="166"/>
    </row>
    <row r="484">
      <c r="A484" s="170"/>
      <c r="B484" s="170"/>
      <c r="C484" s="171"/>
      <c r="D484" s="166"/>
      <c r="E484" s="170"/>
      <c r="F484" s="170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  <c r="Z484" s="166"/>
    </row>
    <row r="485">
      <c r="A485" s="170"/>
      <c r="B485" s="170"/>
      <c r="C485" s="171"/>
      <c r="D485" s="166"/>
      <c r="E485" s="170"/>
      <c r="F485" s="170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  <c r="Y485" s="166"/>
      <c r="Z485" s="166"/>
    </row>
    <row r="486">
      <c r="A486" s="170"/>
      <c r="B486" s="170"/>
      <c r="C486" s="171"/>
      <c r="D486" s="166"/>
      <c r="E486" s="170"/>
      <c r="F486" s="170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  <c r="Z486" s="166"/>
    </row>
    <row r="487">
      <c r="A487" s="170"/>
      <c r="B487" s="170"/>
      <c r="C487" s="171"/>
      <c r="D487" s="166"/>
      <c r="E487" s="170"/>
      <c r="F487" s="170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  <c r="Y487" s="166"/>
      <c r="Z487" s="166"/>
    </row>
    <row r="488">
      <c r="A488" s="170"/>
      <c r="B488" s="170"/>
      <c r="C488" s="171"/>
      <c r="D488" s="166"/>
      <c r="E488" s="170"/>
      <c r="F488" s="170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  <c r="Z488" s="166"/>
    </row>
    <row r="489">
      <c r="A489" s="170"/>
      <c r="B489" s="170"/>
      <c r="C489" s="171"/>
      <c r="D489" s="166"/>
      <c r="E489" s="170"/>
      <c r="F489" s="170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  <c r="Y489" s="166"/>
      <c r="Z489" s="166"/>
    </row>
    <row r="490">
      <c r="A490" s="170"/>
      <c r="B490" s="170"/>
      <c r="C490" s="171"/>
      <c r="D490" s="166"/>
      <c r="E490" s="170"/>
      <c r="F490" s="170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  <c r="Y490" s="166"/>
      <c r="Z490" s="166"/>
    </row>
    <row r="491">
      <c r="A491" s="170"/>
      <c r="B491" s="170"/>
      <c r="C491" s="171"/>
      <c r="D491" s="166"/>
      <c r="E491" s="170"/>
      <c r="F491" s="170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  <c r="Y491" s="166"/>
      <c r="Z491" s="166"/>
    </row>
    <row r="492">
      <c r="A492" s="170"/>
      <c r="B492" s="170"/>
      <c r="C492" s="171"/>
      <c r="D492" s="166"/>
      <c r="E492" s="170"/>
      <c r="F492" s="170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  <c r="Z492" s="166"/>
    </row>
    <row r="493">
      <c r="A493" s="170"/>
      <c r="B493" s="170"/>
      <c r="C493" s="171"/>
      <c r="D493" s="166"/>
      <c r="E493" s="170"/>
      <c r="F493" s="170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  <c r="Z493" s="166"/>
    </row>
    <row r="494">
      <c r="A494" s="170"/>
      <c r="B494" s="170"/>
      <c r="C494" s="171"/>
      <c r="D494" s="166"/>
      <c r="E494" s="170"/>
      <c r="F494" s="170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  <c r="Z494" s="166"/>
    </row>
    <row r="495">
      <c r="A495" s="170"/>
      <c r="B495" s="170"/>
      <c r="C495" s="171"/>
      <c r="D495" s="166"/>
      <c r="E495" s="170"/>
      <c r="F495" s="170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  <c r="Y495" s="166"/>
      <c r="Z495" s="166"/>
    </row>
    <row r="496">
      <c r="A496" s="170"/>
      <c r="B496" s="170"/>
      <c r="C496" s="171"/>
      <c r="D496" s="166"/>
      <c r="E496" s="170"/>
      <c r="F496" s="170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  <c r="Z496" s="166"/>
    </row>
    <row r="497">
      <c r="A497" s="170"/>
      <c r="B497" s="170"/>
      <c r="C497" s="171"/>
      <c r="D497" s="166"/>
      <c r="E497" s="170"/>
      <c r="F497" s="170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  <c r="Z497" s="166"/>
    </row>
    <row r="498">
      <c r="A498" s="170"/>
      <c r="B498" s="170"/>
      <c r="C498" s="171"/>
      <c r="D498" s="166"/>
      <c r="E498" s="170"/>
      <c r="F498" s="170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</row>
    <row r="499">
      <c r="A499" s="170"/>
      <c r="B499" s="170"/>
      <c r="C499" s="171"/>
      <c r="D499" s="166"/>
      <c r="E499" s="170"/>
      <c r="F499" s="170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  <c r="Y499" s="166"/>
      <c r="Z499" s="166"/>
    </row>
    <row r="500">
      <c r="A500" s="170"/>
      <c r="B500" s="170"/>
      <c r="C500" s="171"/>
      <c r="D500" s="166"/>
      <c r="E500" s="170"/>
      <c r="F500" s="170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  <c r="Z500" s="166"/>
    </row>
    <row r="501">
      <c r="A501" s="170"/>
      <c r="B501" s="170"/>
      <c r="C501" s="171"/>
      <c r="D501" s="166"/>
      <c r="E501" s="170"/>
      <c r="F501" s="170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  <c r="Y501" s="166"/>
      <c r="Z501" s="166"/>
    </row>
    <row r="502">
      <c r="A502" s="170"/>
      <c r="B502" s="170"/>
      <c r="C502" s="171"/>
      <c r="D502" s="166"/>
      <c r="E502" s="170"/>
      <c r="F502" s="170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  <c r="Z502" s="166"/>
    </row>
    <row r="503">
      <c r="A503" s="170"/>
      <c r="B503" s="170"/>
      <c r="C503" s="171"/>
      <c r="D503" s="166"/>
      <c r="E503" s="170"/>
      <c r="F503" s="170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  <c r="Y503" s="166"/>
      <c r="Z503" s="166"/>
    </row>
    <row r="504">
      <c r="A504" s="170"/>
      <c r="B504" s="170"/>
      <c r="C504" s="171"/>
      <c r="D504" s="166"/>
      <c r="E504" s="170"/>
      <c r="F504" s="170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  <c r="Z504" s="166"/>
    </row>
    <row r="505">
      <c r="A505" s="170"/>
      <c r="B505" s="170"/>
      <c r="C505" s="171"/>
      <c r="D505" s="166"/>
      <c r="E505" s="170"/>
      <c r="F505" s="170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  <c r="Y505" s="166"/>
      <c r="Z505" s="166"/>
    </row>
    <row r="506">
      <c r="A506" s="170"/>
      <c r="B506" s="170"/>
      <c r="C506" s="171"/>
      <c r="D506" s="166"/>
      <c r="E506" s="170"/>
      <c r="F506" s="170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  <c r="Z506" s="166"/>
    </row>
    <row r="507">
      <c r="A507" s="170"/>
      <c r="B507" s="170"/>
      <c r="C507" s="171"/>
      <c r="D507" s="166"/>
      <c r="E507" s="170"/>
      <c r="F507" s="170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  <c r="Z507" s="166"/>
    </row>
    <row r="508">
      <c r="A508" s="170"/>
      <c r="B508" s="170"/>
      <c r="C508" s="171"/>
      <c r="D508" s="166"/>
      <c r="E508" s="170"/>
      <c r="F508" s="170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  <c r="Z508" s="166"/>
    </row>
    <row r="509">
      <c r="A509" s="170"/>
      <c r="B509" s="170"/>
      <c r="C509" s="171"/>
      <c r="D509" s="166"/>
      <c r="E509" s="170"/>
      <c r="F509" s="170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  <c r="Y509" s="166"/>
      <c r="Z509" s="166"/>
    </row>
    <row r="510">
      <c r="A510" s="170"/>
      <c r="B510" s="170"/>
      <c r="C510" s="171"/>
      <c r="D510" s="166"/>
      <c r="E510" s="170"/>
      <c r="F510" s="170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  <c r="Z510" s="166"/>
    </row>
    <row r="511">
      <c r="A511" s="170"/>
      <c r="B511" s="170"/>
      <c r="C511" s="171"/>
      <c r="D511" s="166"/>
      <c r="E511" s="170"/>
      <c r="F511" s="170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  <c r="Y511" s="166"/>
      <c r="Z511" s="166"/>
    </row>
    <row r="512">
      <c r="A512" s="170"/>
      <c r="B512" s="170"/>
      <c r="C512" s="171"/>
      <c r="D512" s="166"/>
      <c r="E512" s="170"/>
      <c r="F512" s="170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  <c r="Z512" s="166"/>
    </row>
    <row r="513">
      <c r="A513" s="170"/>
      <c r="B513" s="170"/>
      <c r="C513" s="171"/>
      <c r="D513" s="166"/>
      <c r="E513" s="170"/>
      <c r="F513" s="170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  <c r="Y513" s="166"/>
      <c r="Z513" s="166"/>
    </row>
    <row r="514">
      <c r="A514" s="170"/>
      <c r="B514" s="170"/>
      <c r="C514" s="171"/>
      <c r="D514" s="166"/>
      <c r="E514" s="170"/>
      <c r="F514" s="170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  <c r="Z514" s="166"/>
    </row>
    <row r="515">
      <c r="A515" s="170"/>
      <c r="B515" s="170"/>
      <c r="C515" s="171"/>
      <c r="D515" s="166"/>
      <c r="E515" s="170"/>
      <c r="F515" s="170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  <c r="Y515" s="166"/>
      <c r="Z515" s="166"/>
    </row>
    <row r="516">
      <c r="A516" s="170"/>
      <c r="B516" s="170"/>
      <c r="C516" s="171"/>
      <c r="D516" s="166"/>
      <c r="E516" s="170"/>
      <c r="F516" s="170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  <c r="Z516" s="166"/>
    </row>
    <row r="517">
      <c r="A517" s="170"/>
      <c r="B517" s="170"/>
      <c r="C517" s="171"/>
      <c r="D517" s="166"/>
      <c r="E517" s="170"/>
      <c r="F517" s="170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  <c r="Y517" s="166"/>
      <c r="Z517" s="166"/>
    </row>
    <row r="518">
      <c r="A518" s="170"/>
      <c r="B518" s="170"/>
      <c r="C518" s="171"/>
      <c r="D518" s="166"/>
      <c r="E518" s="170"/>
      <c r="F518" s="170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  <c r="Y518" s="166"/>
      <c r="Z518" s="166"/>
    </row>
    <row r="519">
      <c r="A519" s="170"/>
      <c r="B519" s="170"/>
      <c r="C519" s="171"/>
      <c r="D519" s="166"/>
      <c r="E519" s="170"/>
      <c r="F519" s="170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  <c r="Y519" s="166"/>
      <c r="Z519" s="166"/>
    </row>
    <row r="520">
      <c r="A520" s="170"/>
      <c r="B520" s="170"/>
      <c r="C520" s="171"/>
      <c r="D520" s="166"/>
      <c r="E520" s="170"/>
      <c r="F520" s="170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  <c r="Z520" s="166"/>
    </row>
    <row r="521">
      <c r="A521" s="170"/>
      <c r="B521" s="170"/>
      <c r="C521" s="171"/>
      <c r="D521" s="166"/>
      <c r="E521" s="170"/>
      <c r="F521" s="170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  <c r="Y521" s="166"/>
      <c r="Z521" s="166"/>
    </row>
    <row r="522">
      <c r="A522" s="170"/>
      <c r="B522" s="170"/>
      <c r="C522" s="171"/>
      <c r="D522" s="166"/>
      <c r="E522" s="170"/>
      <c r="F522" s="170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  <c r="Z522" s="166"/>
    </row>
    <row r="523">
      <c r="A523" s="170"/>
      <c r="B523" s="170"/>
      <c r="C523" s="171"/>
      <c r="D523" s="166"/>
      <c r="E523" s="170"/>
      <c r="F523" s="170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  <c r="Z523" s="166"/>
    </row>
    <row r="524">
      <c r="A524" s="170"/>
      <c r="B524" s="170"/>
      <c r="C524" s="171"/>
      <c r="D524" s="166"/>
      <c r="E524" s="170"/>
      <c r="F524" s="170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  <c r="Y524" s="166"/>
      <c r="Z524" s="166"/>
    </row>
    <row r="525">
      <c r="A525" s="170"/>
      <c r="B525" s="170"/>
      <c r="C525" s="171"/>
      <c r="D525" s="166"/>
      <c r="E525" s="170"/>
      <c r="F525" s="170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  <c r="Y525" s="166"/>
      <c r="Z525" s="166"/>
    </row>
    <row r="526">
      <c r="A526" s="170"/>
      <c r="B526" s="170"/>
      <c r="C526" s="171"/>
      <c r="D526" s="166"/>
      <c r="E526" s="170"/>
      <c r="F526" s="170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  <c r="Z526" s="166"/>
    </row>
    <row r="527">
      <c r="A527" s="170"/>
      <c r="B527" s="170"/>
      <c r="C527" s="171"/>
      <c r="D527" s="166"/>
      <c r="E527" s="170"/>
      <c r="F527" s="170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  <c r="Y527" s="166"/>
      <c r="Z527" s="166"/>
    </row>
    <row r="528">
      <c r="A528" s="170"/>
      <c r="B528" s="170"/>
      <c r="C528" s="171"/>
      <c r="D528" s="166"/>
      <c r="E528" s="170"/>
      <c r="F528" s="170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  <c r="Z528" s="166"/>
    </row>
    <row r="529">
      <c r="A529" s="170"/>
      <c r="B529" s="170"/>
      <c r="C529" s="171"/>
      <c r="D529" s="166"/>
      <c r="E529" s="170"/>
      <c r="F529" s="170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  <c r="Y529" s="166"/>
      <c r="Z529" s="166"/>
    </row>
    <row r="530">
      <c r="A530" s="170"/>
      <c r="B530" s="170"/>
      <c r="C530" s="171"/>
      <c r="D530" s="166"/>
      <c r="E530" s="170"/>
      <c r="F530" s="170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  <c r="Z530" s="166"/>
    </row>
    <row r="531">
      <c r="A531" s="170"/>
      <c r="B531" s="170"/>
      <c r="C531" s="171"/>
      <c r="D531" s="166"/>
      <c r="E531" s="170"/>
      <c r="F531" s="170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  <c r="Y531" s="166"/>
      <c r="Z531" s="166"/>
    </row>
    <row r="532">
      <c r="A532" s="170"/>
      <c r="B532" s="170"/>
      <c r="C532" s="171"/>
      <c r="D532" s="166"/>
      <c r="E532" s="170"/>
      <c r="F532" s="170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  <c r="Z532" s="166"/>
    </row>
    <row r="533">
      <c r="A533" s="170"/>
      <c r="B533" s="170"/>
      <c r="C533" s="171"/>
      <c r="D533" s="166"/>
      <c r="E533" s="170"/>
      <c r="F533" s="170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</row>
    <row r="534">
      <c r="A534" s="170"/>
      <c r="B534" s="170"/>
      <c r="C534" s="171"/>
      <c r="D534" s="166"/>
      <c r="E534" s="170"/>
      <c r="F534" s="170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  <c r="Z534" s="166"/>
    </row>
    <row r="535">
      <c r="A535" s="170"/>
      <c r="B535" s="170"/>
      <c r="C535" s="171"/>
      <c r="D535" s="166"/>
      <c r="E535" s="170"/>
      <c r="F535" s="170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  <c r="Y535" s="166"/>
      <c r="Z535" s="166"/>
    </row>
    <row r="536">
      <c r="A536" s="170"/>
      <c r="B536" s="170"/>
      <c r="C536" s="171"/>
      <c r="D536" s="166"/>
      <c r="E536" s="170"/>
      <c r="F536" s="170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  <c r="Z536" s="166"/>
    </row>
    <row r="537">
      <c r="A537" s="170"/>
      <c r="B537" s="170"/>
      <c r="C537" s="171"/>
      <c r="D537" s="166"/>
      <c r="E537" s="170"/>
      <c r="F537" s="170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  <c r="Y537" s="166"/>
      <c r="Z537" s="166"/>
    </row>
    <row r="538">
      <c r="A538" s="170"/>
      <c r="B538" s="170"/>
      <c r="C538" s="171"/>
      <c r="D538" s="166"/>
      <c r="E538" s="170"/>
      <c r="F538" s="170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  <c r="Z538" s="166"/>
    </row>
    <row r="539">
      <c r="A539" s="170"/>
      <c r="B539" s="170"/>
      <c r="C539" s="171"/>
      <c r="D539" s="166"/>
      <c r="E539" s="170"/>
      <c r="F539" s="170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  <c r="Z539" s="166"/>
    </row>
    <row r="540">
      <c r="A540" s="170"/>
      <c r="B540" s="170"/>
      <c r="C540" s="171"/>
      <c r="D540" s="166"/>
      <c r="E540" s="170"/>
      <c r="F540" s="170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  <c r="Z540" s="166"/>
    </row>
    <row r="541">
      <c r="A541" s="170"/>
      <c r="B541" s="170"/>
      <c r="C541" s="171"/>
      <c r="D541" s="166"/>
      <c r="E541" s="170"/>
      <c r="F541" s="170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  <c r="Y541" s="166"/>
      <c r="Z541" s="166"/>
    </row>
    <row r="542">
      <c r="A542" s="170"/>
      <c r="B542" s="170"/>
      <c r="C542" s="171"/>
      <c r="D542" s="166"/>
      <c r="E542" s="170"/>
      <c r="F542" s="170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  <c r="Z542" s="166"/>
    </row>
    <row r="543">
      <c r="A543" s="170"/>
      <c r="B543" s="170"/>
      <c r="C543" s="171"/>
      <c r="D543" s="166"/>
      <c r="E543" s="170"/>
      <c r="F543" s="170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  <c r="Z543" s="166"/>
    </row>
    <row r="544">
      <c r="A544" s="170"/>
      <c r="B544" s="170"/>
      <c r="C544" s="171"/>
      <c r="D544" s="166"/>
      <c r="E544" s="170"/>
      <c r="F544" s="170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  <c r="Z544" s="166"/>
    </row>
    <row r="545">
      <c r="A545" s="170"/>
      <c r="B545" s="170"/>
      <c r="C545" s="171"/>
      <c r="D545" s="166"/>
      <c r="E545" s="170"/>
      <c r="F545" s="170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  <c r="Y545" s="166"/>
      <c r="Z545" s="166"/>
    </row>
    <row r="546">
      <c r="A546" s="170"/>
      <c r="B546" s="170"/>
      <c r="C546" s="171"/>
      <c r="D546" s="166"/>
      <c r="E546" s="170"/>
      <c r="F546" s="170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  <c r="Z546" s="166"/>
    </row>
    <row r="547">
      <c r="A547" s="170"/>
      <c r="B547" s="170"/>
      <c r="C547" s="171"/>
      <c r="D547" s="166"/>
      <c r="E547" s="170"/>
      <c r="F547" s="170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  <c r="Y547" s="166"/>
      <c r="Z547" s="166"/>
    </row>
    <row r="548">
      <c r="A548" s="170"/>
      <c r="B548" s="170"/>
      <c r="C548" s="171"/>
      <c r="D548" s="166"/>
      <c r="E548" s="170"/>
      <c r="F548" s="170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  <c r="Z548" s="166"/>
    </row>
    <row r="549">
      <c r="A549" s="170"/>
      <c r="B549" s="170"/>
      <c r="C549" s="171"/>
      <c r="D549" s="166"/>
      <c r="E549" s="170"/>
      <c r="F549" s="170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  <c r="Z549" s="166"/>
    </row>
    <row r="550">
      <c r="A550" s="170"/>
      <c r="B550" s="170"/>
      <c r="C550" s="171"/>
      <c r="D550" s="166"/>
      <c r="E550" s="170"/>
      <c r="F550" s="170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  <c r="Y550" s="166"/>
      <c r="Z550" s="166"/>
    </row>
    <row r="551">
      <c r="A551" s="170"/>
      <c r="B551" s="170"/>
      <c r="C551" s="171"/>
      <c r="D551" s="166"/>
      <c r="E551" s="170"/>
      <c r="F551" s="170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</row>
    <row r="552">
      <c r="A552" s="170"/>
      <c r="B552" s="170"/>
      <c r="C552" s="171"/>
      <c r="D552" s="166"/>
      <c r="E552" s="170"/>
      <c r="F552" s="170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  <c r="Y552" s="166"/>
      <c r="Z552" s="166"/>
    </row>
    <row r="553">
      <c r="A553" s="170"/>
      <c r="B553" s="170"/>
      <c r="C553" s="171"/>
      <c r="D553" s="166"/>
      <c r="E553" s="170"/>
      <c r="F553" s="170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  <c r="Z553" s="166"/>
    </row>
    <row r="554">
      <c r="A554" s="170"/>
      <c r="B554" s="170"/>
      <c r="C554" s="171"/>
      <c r="D554" s="166"/>
      <c r="E554" s="170"/>
      <c r="F554" s="170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  <c r="Z554" s="166"/>
    </row>
    <row r="555">
      <c r="A555" s="170"/>
      <c r="B555" s="170"/>
      <c r="C555" s="171"/>
      <c r="D555" s="166"/>
      <c r="E555" s="170"/>
      <c r="F555" s="170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  <c r="Z555" s="166"/>
    </row>
    <row r="556">
      <c r="A556" s="170"/>
      <c r="B556" s="170"/>
      <c r="C556" s="171"/>
      <c r="D556" s="166"/>
      <c r="E556" s="170"/>
      <c r="F556" s="170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  <c r="Y556" s="166"/>
      <c r="Z556" s="166"/>
    </row>
    <row r="557">
      <c r="A557" s="170"/>
      <c r="B557" s="170"/>
      <c r="C557" s="171"/>
      <c r="D557" s="166"/>
      <c r="E557" s="170"/>
      <c r="F557" s="170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  <c r="Z557" s="166"/>
    </row>
    <row r="558">
      <c r="A558" s="170"/>
      <c r="B558" s="170"/>
      <c r="C558" s="171"/>
      <c r="D558" s="166"/>
      <c r="E558" s="170"/>
      <c r="F558" s="170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  <c r="Y558" s="166"/>
      <c r="Z558" s="166"/>
    </row>
    <row r="559">
      <c r="A559" s="170"/>
      <c r="B559" s="170"/>
      <c r="C559" s="171"/>
      <c r="D559" s="166"/>
      <c r="E559" s="170"/>
      <c r="F559" s="170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  <c r="Y559" s="166"/>
      <c r="Z559" s="166"/>
    </row>
    <row r="560">
      <c r="A560" s="170"/>
      <c r="B560" s="170"/>
      <c r="C560" s="171"/>
      <c r="D560" s="166"/>
      <c r="E560" s="170"/>
      <c r="F560" s="170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  <c r="Y560" s="166"/>
      <c r="Z560" s="166"/>
    </row>
    <row r="561">
      <c r="A561" s="170"/>
      <c r="B561" s="170"/>
      <c r="C561" s="171"/>
      <c r="D561" s="166"/>
      <c r="E561" s="170"/>
      <c r="F561" s="170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  <c r="Z561" s="166"/>
    </row>
    <row r="562">
      <c r="A562" s="170"/>
      <c r="B562" s="170"/>
      <c r="C562" s="171"/>
      <c r="D562" s="166"/>
      <c r="E562" s="170"/>
      <c r="F562" s="170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  <c r="Y562" s="166"/>
      <c r="Z562" s="166"/>
    </row>
    <row r="563">
      <c r="A563" s="170"/>
      <c r="B563" s="170"/>
      <c r="C563" s="171"/>
      <c r="D563" s="166"/>
      <c r="E563" s="170"/>
      <c r="F563" s="170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  <c r="Y563" s="166"/>
      <c r="Z563" s="166"/>
    </row>
    <row r="564">
      <c r="A564" s="170"/>
      <c r="B564" s="170"/>
      <c r="C564" s="171"/>
      <c r="D564" s="166"/>
      <c r="E564" s="170"/>
      <c r="F564" s="170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  <c r="Y564" s="166"/>
      <c r="Z564" s="166"/>
    </row>
    <row r="565">
      <c r="A565" s="170"/>
      <c r="B565" s="170"/>
      <c r="C565" s="171"/>
      <c r="D565" s="166"/>
      <c r="E565" s="170"/>
      <c r="F565" s="170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  <c r="Z565" s="166"/>
    </row>
    <row r="566">
      <c r="A566" s="170"/>
      <c r="B566" s="170"/>
      <c r="C566" s="171"/>
      <c r="D566" s="166"/>
      <c r="E566" s="170"/>
      <c r="F566" s="170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  <c r="Y566" s="166"/>
      <c r="Z566" s="166"/>
    </row>
    <row r="567">
      <c r="A567" s="170"/>
      <c r="B567" s="170"/>
      <c r="C567" s="171"/>
      <c r="D567" s="166"/>
      <c r="E567" s="170"/>
      <c r="F567" s="170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  <c r="Z567" s="166"/>
    </row>
    <row r="568">
      <c r="A568" s="170"/>
      <c r="B568" s="170"/>
      <c r="C568" s="171"/>
      <c r="D568" s="166"/>
      <c r="E568" s="170"/>
      <c r="F568" s="170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  <c r="Y568" s="166"/>
      <c r="Z568" s="166"/>
    </row>
    <row r="569">
      <c r="A569" s="170"/>
      <c r="B569" s="170"/>
      <c r="C569" s="171"/>
      <c r="D569" s="166"/>
      <c r="E569" s="170"/>
      <c r="F569" s="170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  <c r="Z569" s="166"/>
    </row>
    <row r="570">
      <c r="A570" s="170"/>
      <c r="B570" s="170"/>
      <c r="C570" s="171"/>
      <c r="D570" s="166"/>
      <c r="E570" s="170"/>
      <c r="F570" s="170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  <c r="Y570" s="166"/>
      <c r="Z570" s="166"/>
    </row>
    <row r="571">
      <c r="A571" s="170"/>
      <c r="B571" s="170"/>
      <c r="C571" s="171"/>
      <c r="D571" s="166"/>
      <c r="E571" s="170"/>
      <c r="F571" s="170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  <c r="Z571" s="166"/>
    </row>
    <row r="572">
      <c r="A572" s="170"/>
      <c r="B572" s="170"/>
      <c r="C572" s="171"/>
      <c r="D572" s="166"/>
      <c r="E572" s="170"/>
      <c r="F572" s="170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  <c r="Y572" s="166"/>
      <c r="Z572" s="166"/>
    </row>
    <row r="573">
      <c r="A573" s="170"/>
      <c r="B573" s="170"/>
      <c r="C573" s="171"/>
      <c r="D573" s="166"/>
      <c r="E573" s="170"/>
      <c r="F573" s="170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6"/>
    </row>
    <row r="574">
      <c r="A574" s="170"/>
      <c r="B574" s="170"/>
      <c r="C574" s="171"/>
      <c r="D574" s="166"/>
      <c r="E574" s="170"/>
      <c r="F574" s="170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  <c r="Y574" s="166"/>
      <c r="Z574" s="166"/>
    </row>
    <row r="575">
      <c r="A575" s="170"/>
      <c r="B575" s="170"/>
      <c r="C575" s="171"/>
      <c r="D575" s="166"/>
      <c r="E575" s="170"/>
      <c r="F575" s="170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  <c r="Y575" s="166"/>
      <c r="Z575" s="166"/>
    </row>
    <row r="576">
      <c r="A576" s="170"/>
      <c r="B576" s="170"/>
      <c r="C576" s="171"/>
      <c r="D576" s="166"/>
      <c r="E576" s="170"/>
      <c r="F576" s="170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  <c r="Z576" s="166"/>
    </row>
    <row r="577">
      <c r="A577" s="170"/>
      <c r="B577" s="170"/>
      <c r="C577" s="171"/>
      <c r="D577" s="166"/>
      <c r="E577" s="170"/>
      <c r="F577" s="170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  <c r="Y577" s="166"/>
      <c r="Z577" s="166"/>
    </row>
    <row r="578">
      <c r="A578" s="170"/>
      <c r="B578" s="170"/>
      <c r="C578" s="171"/>
      <c r="D578" s="166"/>
      <c r="E578" s="170"/>
      <c r="F578" s="170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  <c r="Z578" s="166"/>
    </row>
    <row r="579">
      <c r="A579" s="170"/>
      <c r="B579" s="170"/>
      <c r="C579" s="171"/>
      <c r="D579" s="166"/>
      <c r="E579" s="170"/>
      <c r="F579" s="170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  <c r="Y579" s="166"/>
      <c r="Z579" s="166"/>
    </row>
    <row r="580">
      <c r="A580" s="170"/>
      <c r="B580" s="170"/>
      <c r="C580" s="171"/>
      <c r="D580" s="166"/>
      <c r="E580" s="170"/>
      <c r="F580" s="170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</row>
    <row r="581">
      <c r="A581" s="170"/>
      <c r="B581" s="170"/>
      <c r="C581" s="171"/>
      <c r="D581" s="166"/>
      <c r="E581" s="170"/>
      <c r="F581" s="170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  <c r="Z581" s="166"/>
    </row>
    <row r="582">
      <c r="A582" s="170"/>
      <c r="B582" s="170"/>
      <c r="C582" s="171"/>
      <c r="D582" s="166"/>
      <c r="E582" s="170"/>
      <c r="F582" s="170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</row>
    <row r="583">
      <c r="A583" s="170"/>
      <c r="B583" s="170"/>
      <c r="C583" s="171"/>
      <c r="D583" s="166"/>
      <c r="E583" s="170"/>
      <c r="F583" s="170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  <c r="Z583" s="166"/>
    </row>
    <row r="584">
      <c r="A584" s="170"/>
      <c r="B584" s="170"/>
      <c r="C584" s="171"/>
      <c r="D584" s="166"/>
      <c r="E584" s="170"/>
      <c r="F584" s="170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  <c r="Z584" s="166"/>
    </row>
    <row r="585">
      <c r="A585" s="170"/>
      <c r="B585" s="170"/>
      <c r="C585" s="171"/>
      <c r="D585" s="166"/>
      <c r="E585" s="170"/>
      <c r="F585" s="170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  <c r="Y585" s="166"/>
      <c r="Z585" s="166"/>
    </row>
    <row r="586">
      <c r="A586" s="170"/>
      <c r="B586" s="170"/>
      <c r="C586" s="171"/>
      <c r="D586" s="166"/>
      <c r="E586" s="170"/>
      <c r="F586" s="170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/>
      <c r="Z586" s="166"/>
    </row>
    <row r="587">
      <c r="A587" s="170"/>
      <c r="B587" s="170"/>
      <c r="C587" s="171"/>
      <c r="D587" s="166"/>
      <c r="E587" s="170"/>
      <c r="F587" s="170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  <c r="Y587" s="166"/>
      <c r="Z587" s="166"/>
    </row>
    <row r="588">
      <c r="A588" s="170"/>
      <c r="B588" s="170"/>
      <c r="C588" s="171"/>
      <c r="D588" s="166"/>
      <c r="E588" s="170"/>
      <c r="F588" s="170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  <c r="Y588" s="166"/>
      <c r="Z588" s="166"/>
    </row>
    <row r="589">
      <c r="A589" s="170"/>
      <c r="B589" s="170"/>
      <c r="C589" s="171"/>
      <c r="D589" s="166"/>
      <c r="E589" s="170"/>
      <c r="F589" s="170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  <c r="Z589" s="166"/>
    </row>
    <row r="590">
      <c r="A590" s="170"/>
      <c r="B590" s="170"/>
      <c r="C590" s="171"/>
      <c r="D590" s="166"/>
      <c r="E590" s="170"/>
      <c r="F590" s="170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  <c r="Y590" s="166"/>
      <c r="Z590" s="166"/>
    </row>
    <row r="591">
      <c r="A591" s="170"/>
      <c r="B591" s="170"/>
      <c r="C591" s="171"/>
      <c r="D591" s="166"/>
      <c r="E591" s="170"/>
      <c r="F591" s="170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  <c r="Z591" s="166"/>
    </row>
    <row r="592">
      <c r="A592" s="170"/>
      <c r="B592" s="170"/>
      <c r="C592" s="171"/>
      <c r="D592" s="166"/>
      <c r="E592" s="170"/>
      <c r="F592" s="170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  <c r="Z592" s="166"/>
    </row>
    <row r="593">
      <c r="A593" s="170"/>
      <c r="B593" s="170"/>
      <c r="C593" s="171"/>
      <c r="D593" s="166"/>
      <c r="E593" s="170"/>
      <c r="F593" s="170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  <c r="Y593" s="166"/>
      <c r="Z593" s="166"/>
    </row>
    <row r="594">
      <c r="A594" s="170"/>
      <c r="B594" s="170"/>
      <c r="C594" s="171"/>
      <c r="D594" s="166"/>
      <c r="E594" s="170"/>
      <c r="F594" s="170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  <c r="Y594" s="166"/>
      <c r="Z594" s="166"/>
    </row>
    <row r="595">
      <c r="A595" s="170"/>
      <c r="B595" s="170"/>
      <c r="C595" s="171"/>
      <c r="D595" s="166"/>
      <c r="E595" s="170"/>
      <c r="F595" s="170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/>
      <c r="Z595" s="166"/>
    </row>
    <row r="596">
      <c r="A596" s="170"/>
      <c r="B596" s="170"/>
      <c r="C596" s="171"/>
      <c r="D596" s="166"/>
      <c r="E596" s="170"/>
      <c r="F596" s="170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  <c r="Y596" s="166"/>
      <c r="Z596" s="166"/>
    </row>
    <row r="597">
      <c r="A597" s="170"/>
      <c r="B597" s="170"/>
      <c r="C597" s="171"/>
      <c r="D597" s="166"/>
      <c r="E597" s="170"/>
      <c r="F597" s="170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  <c r="Z597" s="166"/>
    </row>
    <row r="598">
      <c r="A598" s="170"/>
      <c r="B598" s="170"/>
      <c r="C598" s="171"/>
      <c r="D598" s="166"/>
      <c r="E598" s="170"/>
      <c r="F598" s="170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  <c r="Y598" s="166"/>
      <c r="Z598" s="166"/>
    </row>
    <row r="599">
      <c r="A599" s="170"/>
      <c r="B599" s="170"/>
      <c r="C599" s="171"/>
      <c r="D599" s="166"/>
      <c r="E599" s="170"/>
      <c r="F599" s="170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  <c r="Y599" s="166"/>
      <c r="Z599" s="166"/>
    </row>
    <row r="600">
      <c r="A600" s="170"/>
      <c r="B600" s="170"/>
      <c r="C600" s="171"/>
      <c r="D600" s="166"/>
      <c r="E600" s="170"/>
      <c r="F600" s="170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  <c r="Y600" s="166"/>
      <c r="Z600" s="166"/>
    </row>
    <row r="601">
      <c r="A601" s="170"/>
      <c r="B601" s="170"/>
      <c r="C601" s="171"/>
      <c r="D601" s="166"/>
      <c r="E601" s="170"/>
      <c r="F601" s="170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  <c r="Z601" s="166"/>
    </row>
    <row r="602">
      <c r="A602" s="170"/>
      <c r="B602" s="170"/>
      <c r="C602" s="171"/>
      <c r="D602" s="166"/>
      <c r="E602" s="170"/>
      <c r="F602" s="170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  <c r="Y602" s="166"/>
      <c r="Z602" s="166"/>
    </row>
    <row r="603">
      <c r="A603" s="170"/>
      <c r="B603" s="170"/>
      <c r="C603" s="171"/>
      <c r="D603" s="166"/>
      <c r="E603" s="170"/>
      <c r="F603" s="170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  <c r="Z603" s="166"/>
    </row>
    <row r="604">
      <c r="A604" s="170"/>
      <c r="B604" s="170"/>
      <c r="C604" s="171"/>
      <c r="D604" s="166"/>
      <c r="E604" s="170"/>
      <c r="F604" s="170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</row>
    <row r="605">
      <c r="A605" s="170"/>
      <c r="B605" s="170"/>
      <c r="C605" s="171"/>
      <c r="D605" s="166"/>
      <c r="E605" s="170"/>
      <c r="F605" s="170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  <c r="Z605" s="166"/>
    </row>
    <row r="606">
      <c r="A606" s="170"/>
      <c r="B606" s="170"/>
      <c r="C606" s="171"/>
      <c r="D606" s="166"/>
      <c r="E606" s="170"/>
      <c r="F606" s="170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  <c r="Y606" s="166"/>
      <c r="Z606" s="166"/>
    </row>
    <row r="607">
      <c r="A607" s="170"/>
      <c r="B607" s="170"/>
      <c r="C607" s="171"/>
      <c r="D607" s="166"/>
      <c r="E607" s="170"/>
      <c r="F607" s="170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  <c r="Y607" s="166"/>
      <c r="Z607" s="166"/>
    </row>
    <row r="608">
      <c r="A608" s="170"/>
      <c r="B608" s="170"/>
      <c r="C608" s="171"/>
      <c r="D608" s="166"/>
      <c r="E608" s="170"/>
      <c r="F608" s="170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  <c r="Z608" s="166"/>
    </row>
    <row r="609">
      <c r="A609" s="170"/>
      <c r="B609" s="170"/>
      <c r="C609" s="171"/>
      <c r="D609" s="166"/>
      <c r="E609" s="170"/>
      <c r="F609" s="170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  <c r="Y609" s="166"/>
      <c r="Z609" s="166"/>
    </row>
    <row r="610">
      <c r="A610" s="170"/>
      <c r="B610" s="170"/>
      <c r="C610" s="171"/>
      <c r="D610" s="166"/>
      <c r="E610" s="170"/>
      <c r="F610" s="170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  <c r="Y610" s="166"/>
      <c r="Z610" s="166"/>
    </row>
    <row r="611">
      <c r="A611" s="170"/>
      <c r="B611" s="170"/>
      <c r="C611" s="171"/>
      <c r="D611" s="166"/>
      <c r="E611" s="170"/>
      <c r="F611" s="170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  <c r="Z611" s="166"/>
    </row>
    <row r="612">
      <c r="A612" s="170"/>
      <c r="B612" s="170"/>
      <c r="C612" s="171"/>
      <c r="D612" s="166"/>
      <c r="E612" s="170"/>
      <c r="F612" s="170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  <c r="Y612" s="166"/>
      <c r="Z612" s="166"/>
    </row>
    <row r="613">
      <c r="A613" s="170"/>
      <c r="B613" s="170"/>
      <c r="C613" s="171"/>
      <c r="D613" s="166"/>
      <c r="E613" s="170"/>
      <c r="F613" s="170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  <c r="Z613" s="166"/>
    </row>
    <row r="614">
      <c r="A614" s="170"/>
      <c r="B614" s="170"/>
      <c r="C614" s="171"/>
      <c r="D614" s="166"/>
      <c r="E614" s="170"/>
      <c r="F614" s="170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  <c r="Y614" s="166"/>
      <c r="Z614" s="166"/>
    </row>
    <row r="615">
      <c r="A615" s="170"/>
      <c r="B615" s="170"/>
      <c r="C615" s="171"/>
      <c r="D615" s="166"/>
      <c r="E615" s="170"/>
      <c r="F615" s="170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  <c r="Y615" s="166"/>
      <c r="Z615" s="166"/>
    </row>
    <row r="616">
      <c r="A616" s="170"/>
      <c r="B616" s="170"/>
      <c r="C616" s="171"/>
      <c r="D616" s="166"/>
      <c r="E616" s="170"/>
      <c r="F616" s="170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  <c r="Y616" s="166"/>
      <c r="Z616" s="166"/>
    </row>
    <row r="617">
      <c r="A617" s="170"/>
      <c r="B617" s="170"/>
      <c r="C617" s="171"/>
      <c r="D617" s="166"/>
      <c r="E617" s="170"/>
      <c r="F617" s="170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  <c r="Z617" s="166"/>
    </row>
    <row r="618">
      <c r="A618" s="170"/>
      <c r="B618" s="170"/>
      <c r="C618" s="171"/>
      <c r="D618" s="166"/>
      <c r="E618" s="170"/>
      <c r="F618" s="170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  <c r="Y618" s="166"/>
      <c r="Z618" s="166"/>
    </row>
    <row r="619">
      <c r="A619" s="170"/>
      <c r="B619" s="170"/>
      <c r="C619" s="171"/>
      <c r="D619" s="166"/>
      <c r="E619" s="170"/>
      <c r="F619" s="170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  <c r="Z619" s="166"/>
    </row>
    <row r="620">
      <c r="A620" s="170"/>
      <c r="B620" s="170"/>
      <c r="C620" s="171"/>
      <c r="D620" s="166"/>
      <c r="E620" s="170"/>
      <c r="F620" s="170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  <c r="Y620" s="166"/>
      <c r="Z620" s="166"/>
    </row>
    <row r="621">
      <c r="A621" s="170"/>
      <c r="B621" s="170"/>
      <c r="C621" s="171"/>
      <c r="D621" s="166"/>
      <c r="E621" s="170"/>
      <c r="F621" s="170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  <c r="Z621" s="166"/>
    </row>
    <row r="622">
      <c r="A622" s="170"/>
      <c r="B622" s="170"/>
      <c r="C622" s="171"/>
      <c r="D622" s="166"/>
      <c r="E622" s="170"/>
      <c r="F622" s="170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  <c r="Y622" s="166"/>
      <c r="Z622" s="166"/>
    </row>
    <row r="623">
      <c r="A623" s="170"/>
      <c r="B623" s="170"/>
      <c r="C623" s="171"/>
      <c r="D623" s="166"/>
      <c r="E623" s="170"/>
      <c r="F623" s="170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  <c r="Z623" s="166"/>
    </row>
    <row r="624">
      <c r="A624" s="170"/>
      <c r="B624" s="170"/>
      <c r="C624" s="171"/>
      <c r="D624" s="166"/>
      <c r="E624" s="170"/>
      <c r="F624" s="170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  <c r="Y624" s="166"/>
      <c r="Z624" s="166"/>
    </row>
    <row r="625">
      <c r="A625" s="170"/>
      <c r="B625" s="170"/>
      <c r="C625" s="171"/>
      <c r="D625" s="166"/>
      <c r="E625" s="170"/>
      <c r="F625" s="170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  <c r="Z625" s="166"/>
    </row>
    <row r="626">
      <c r="A626" s="170"/>
      <c r="B626" s="170"/>
      <c r="C626" s="171"/>
      <c r="D626" s="166"/>
      <c r="E626" s="170"/>
      <c r="F626" s="170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  <c r="Y626" s="166"/>
      <c r="Z626" s="166"/>
    </row>
    <row r="627">
      <c r="A627" s="170"/>
      <c r="B627" s="170"/>
      <c r="C627" s="171"/>
      <c r="D627" s="166"/>
      <c r="E627" s="170"/>
      <c r="F627" s="170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6"/>
    </row>
    <row r="628">
      <c r="A628" s="170"/>
      <c r="B628" s="170"/>
      <c r="C628" s="171"/>
      <c r="D628" s="166"/>
      <c r="E628" s="170"/>
      <c r="F628" s="170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  <c r="Y628" s="166"/>
      <c r="Z628" s="166"/>
    </row>
    <row r="629">
      <c r="A629" s="170"/>
      <c r="B629" s="170"/>
      <c r="C629" s="171"/>
      <c r="D629" s="166"/>
      <c r="E629" s="170"/>
      <c r="F629" s="170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  <c r="Z629" s="166"/>
    </row>
    <row r="630">
      <c r="A630" s="170"/>
      <c r="B630" s="170"/>
      <c r="C630" s="171"/>
      <c r="D630" s="166"/>
      <c r="E630" s="170"/>
      <c r="F630" s="170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  <c r="Z630" s="166"/>
    </row>
    <row r="631">
      <c r="A631" s="170"/>
      <c r="B631" s="170"/>
      <c r="C631" s="171"/>
      <c r="D631" s="166"/>
      <c r="E631" s="170"/>
      <c r="F631" s="170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  <c r="Z631" s="166"/>
    </row>
    <row r="632">
      <c r="A632" s="170"/>
      <c r="B632" s="170"/>
      <c r="C632" s="171"/>
      <c r="D632" s="166"/>
      <c r="E632" s="170"/>
      <c r="F632" s="170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  <c r="Y632" s="166"/>
      <c r="Z632" s="166"/>
    </row>
    <row r="633">
      <c r="A633" s="170"/>
      <c r="B633" s="170"/>
      <c r="C633" s="171"/>
      <c r="D633" s="166"/>
      <c r="E633" s="170"/>
      <c r="F633" s="170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  <c r="Z633" s="166"/>
    </row>
    <row r="634">
      <c r="A634" s="170"/>
      <c r="B634" s="170"/>
      <c r="C634" s="171"/>
      <c r="D634" s="166"/>
      <c r="E634" s="170"/>
      <c r="F634" s="170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  <c r="Y634" s="166"/>
      <c r="Z634" s="166"/>
    </row>
    <row r="635">
      <c r="A635" s="170"/>
      <c r="B635" s="170"/>
      <c r="C635" s="171"/>
      <c r="D635" s="166"/>
      <c r="E635" s="170"/>
      <c r="F635" s="170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  <c r="Y635" s="166"/>
      <c r="Z635" s="166"/>
    </row>
    <row r="636">
      <c r="A636" s="170"/>
      <c r="B636" s="170"/>
      <c r="C636" s="171"/>
      <c r="D636" s="166"/>
      <c r="E636" s="170"/>
      <c r="F636" s="170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  <c r="Y636" s="166"/>
      <c r="Z636" s="166"/>
    </row>
    <row r="637">
      <c r="A637" s="170"/>
      <c r="B637" s="170"/>
      <c r="C637" s="171"/>
      <c r="D637" s="166"/>
      <c r="E637" s="170"/>
      <c r="F637" s="170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  <c r="Z637" s="166"/>
    </row>
    <row r="638">
      <c r="A638" s="170"/>
      <c r="B638" s="170"/>
      <c r="C638" s="171"/>
      <c r="D638" s="166"/>
      <c r="E638" s="170"/>
      <c r="F638" s="170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  <c r="Y638" s="166"/>
      <c r="Z638" s="166"/>
    </row>
    <row r="639">
      <c r="A639" s="170"/>
      <c r="B639" s="170"/>
      <c r="C639" s="171"/>
      <c r="D639" s="166"/>
      <c r="E639" s="170"/>
      <c r="F639" s="170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  <c r="Z639" s="166"/>
    </row>
    <row r="640">
      <c r="A640" s="170"/>
      <c r="B640" s="170"/>
      <c r="C640" s="171"/>
      <c r="D640" s="166"/>
      <c r="E640" s="170"/>
      <c r="F640" s="170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  <c r="Y640" s="166"/>
      <c r="Z640" s="166"/>
    </row>
    <row r="641">
      <c r="A641" s="170"/>
      <c r="B641" s="170"/>
      <c r="C641" s="171"/>
      <c r="D641" s="166"/>
      <c r="E641" s="170"/>
      <c r="F641" s="170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  <c r="Z641" s="166"/>
    </row>
    <row r="642">
      <c r="A642" s="170"/>
      <c r="B642" s="170"/>
      <c r="C642" s="171"/>
      <c r="D642" s="166"/>
      <c r="E642" s="170"/>
      <c r="F642" s="170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  <c r="Y642" s="166"/>
      <c r="Z642" s="166"/>
    </row>
    <row r="643">
      <c r="A643" s="170"/>
      <c r="B643" s="170"/>
      <c r="C643" s="171"/>
      <c r="D643" s="166"/>
      <c r="E643" s="170"/>
      <c r="F643" s="170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  <c r="Y643" s="166"/>
      <c r="Z643" s="166"/>
    </row>
    <row r="644">
      <c r="A644" s="170"/>
      <c r="B644" s="170"/>
      <c r="C644" s="171"/>
      <c r="D644" s="166"/>
      <c r="E644" s="170"/>
      <c r="F644" s="170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  <c r="Y644" s="166"/>
      <c r="Z644" s="166"/>
    </row>
    <row r="645">
      <c r="A645" s="170"/>
      <c r="B645" s="170"/>
      <c r="C645" s="171"/>
      <c r="D645" s="166"/>
      <c r="E645" s="170"/>
      <c r="F645" s="170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  <c r="Z645" s="166"/>
    </row>
    <row r="646">
      <c r="A646" s="170"/>
      <c r="B646" s="170"/>
      <c r="C646" s="171"/>
      <c r="D646" s="166"/>
      <c r="E646" s="170"/>
      <c r="F646" s="170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  <c r="Y646" s="166"/>
      <c r="Z646" s="166"/>
    </row>
    <row r="647">
      <c r="A647" s="170"/>
      <c r="B647" s="170"/>
      <c r="C647" s="171"/>
      <c r="D647" s="166"/>
      <c r="E647" s="170"/>
      <c r="F647" s="170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  <c r="Z647" s="166"/>
    </row>
    <row r="648">
      <c r="A648" s="170"/>
      <c r="B648" s="170"/>
      <c r="C648" s="171"/>
      <c r="D648" s="166"/>
      <c r="E648" s="170"/>
      <c r="F648" s="170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  <c r="Y648" s="166"/>
      <c r="Z648" s="166"/>
    </row>
    <row r="649">
      <c r="A649" s="170"/>
      <c r="B649" s="170"/>
      <c r="C649" s="171"/>
      <c r="D649" s="166"/>
      <c r="E649" s="170"/>
      <c r="F649" s="170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  <c r="Z649" s="166"/>
    </row>
    <row r="650">
      <c r="A650" s="170"/>
      <c r="B650" s="170"/>
      <c r="C650" s="171"/>
      <c r="D650" s="166"/>
      <c r="E650" s="170"/>
      <c r="F650" s="170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  <c r="Y650" s="166"/>
      <c r="Z650" s="166"/>
    </row>
    <row r="651">
      <c r="A651" s="170"/>
      <c r="B651" s="170"/>
      <c r="C651" s="171"/>
      <c r="D651" s="166"/>
      <c r="E651" s="170"/>
      <c r="F651" s="170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  <c r="Z651" s="166"/>
    </row>
    <row r="652">
      <c r="A652" s="170"/>
      <c r="B652" s="170"/>
      <c r="C652" s="171"/>
      <c r="D652" s="166"/>
      <c r="E652" s="170"/>
      <c r="F652" s="170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  <c r="Y652" s="166"/>
      <c r="Z652" s="166"/>
    </row>
    <row r="653">
      <c r="A653" s="170"/>
      <c r="B653" s="170"/>
      <c r="C653" s="171"/>
      <c r="D653" s="166"/>
      <c r="E653" s="170"/>
      <c r="F653" s="170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  <c r="Z653" s="166"/>
    </row>
    <row r="654">
      <c r="A654" s="170"/>
      <c r="B654" s="170"/>
      <c r="C654" s="171"/>
      <c r="D654" s="166"/>
      <c r="E654" s="170"/>
      <c r="F654" s="170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  <c r="Y654" s="166"/>
      <c r="Z654" s="166"/>
    </row>
    <row r="655">
      <c r="A655" s="170"/>
      <c r="B655" s="170"/>
      <c r="C655" s="171"/>
      <c r="D655" s="166"/>
      <c r="E655" s="170"/>
      <c r="F655" s="170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  <c r="Z655" s="166"/>
    </row>
    <row r="656">
      <c r="A656" s="170"/>
      <c r="B656" s="170"/>
      <c r="C656" s="171"/>
      <c r="D656" s="166"/>
      <c r="E656" s="170"/>
      <c r="F656" s="170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  <c r="Y656" s="166"/>
      <c r="Z656" s="166"/>
    </row>
    <row r="657">
      <c r="A657" s="170"/>
      <c r="B657" s="170"/>
      <c r="C657" s="171"/>
      <c r="D657" s="166"/>
      <c r="E657" s="170"/>
      <c r="F657" s="170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  <c r="Z657" s="166"/>
    </row>
    <row r="658">
      <c r="A658" s="170"/>
      <c r="B658" s="170"/>
      <c r="C658" s="171"/>
      <c r="D658" s="166"/>
      <c r="E658" s="170"/>
      <c r="F658" s="170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  <c r="Y658" s="166"/>
      <c r="Z658" s="166"/>
    </row>
    <row r="659">
      <c r="A659" s="170"/>
      <c r="B659" s="170"/>
      <c r="C659" s="171"/>
      <c r="D659" s="166"/>
      <c r="E659" s="170"/>
      <c r="F659" s="170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  <c r="Z659" s="166"/>
    </row>
    <row r="660">
      <c r="A660" s="170"/>
      <c r="B660" s="170"/>
      <c r="C660" s="171"/>
      <c r="D660" s="166"/>
      <c r="E660" s="170"/>
      <c r="F660" s="170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  <c r="Y660" s="166"/>
      <c r="Z660" s="166"/>
    </row>
    <row r="661">
      <c r="A661" s="170"/>
      <c r="B661" s="170"/>
      <c r="C661" s="171"/>
      <c r="D661" s="166"/>
      <c r="E661" s="170"/>
      <c r="F661" s="170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  <c r="Z661" s="166"/>
    </row>
    <row r="662">
      <c r="A662" s="170"/>
      <c r="B662" s="170"/>
      <c r="C662" s="171"/>
      <c r="D662" s="166"/>
      <c r="E662" s="170"/>
      <c r="F662" s="170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  <c r="Y662" s="166"/>
      <c r="Z662" s="166"/>
    </row>
    <row r="663">
      <c r="A663" s="170"/>
      <c r="B663" s="170"/>
      <c r="C663" s="171"/>
      <c r="D663" s="166"/>
      <c r="E663" s="170"/>
      <c r="F663" s="170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  <c r="Z663" s="166"/>
    </row>
    <row r="664">
      <c r="A664" s="170"/>
      <c r="B664" s="170"/>
      <c r="C664" s="171"/>
      <c r="D664" s="166"/>
      <c r="E664" s="170"/>
      <c r="F664" s="170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  <c r="Y664" s="166"/>
      <c r="Z664" s="166"/>
    </row>
    <row r="665">
      <c r="A665" s="170"/>
      <c r="B665" s="170"/>
      <c r="C665" s="171"/>
      <c r="D665" s="166"/>
      <c r="E665" s="170"/>
      <c r="F665" s="170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  <c r="Z665" s="166"/>
    </row>
    <row r="666">
      <c r="A666" s="170"/>
      <c r="B666" s="170"/>
      <c r="C666" s="171"/>
      <c r="D666" s="166"/>
      <c r="E666" s="170"/>
      <c r="F666" s="170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  <c r="Y666" s="166"/>
      <c r="Z666" s="166"/>
    </row>
    <row r="667">
      <c r="A667" s="170"/>
      <c r="B667" s="170"/>
      <c r="C667" s="171"/>
      <c r="D667" s="166"/>
      <c r="E667" s="170"/>
      <c r="F667" s="170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  <c r="Z667" s="166"/>
    </row>
    <row r="668">
      <c r="A668" s="170"/>
      <c r="B668" s="170"/>
      <c r="C668" s="171"/>
      <c r="D668" s="166"/>
      <c r="E668" s="170"/>
      <c r="F668" s="170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  <c r="Z668" s="166"/>
    </row>
    <row r="669">
      <c r="A669" s="170"/>
      <c r="B669" s="170"/>
      <c r="C669" s="171"/>
      <c r="D669" s="166"/>
      <c r="E669" s="170"/>
      <c r="F669" s="170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  <c r="Y669" s="166"/>
      <c r="Z669" s="166"/>
    </row>
    <row r="670">
      <c r="A670" s="170"/>
      <c r="B670" s="170"/>
      <c r="C670" s="171"/>
      <c r="D670" s="166"/>
      <c r="E670" s="170"/>
      <c r="F670" s="170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  <c r="Z670" s="166"/>
    </row>
    <row r="671">
      <c r="A671" s="170"/>
      <c r="B671" s="170"/>
      <c r="C671" s="171"/>
      <c r="D671" s="166"/>
      <c r="E671" s="170"/>
      <c r="F671" s="170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  <c r="Y671" s="166"/>
      <c r="Z671" s="166"/>
    </row>
    <row r="672">
      <c r="A672" s="170"/>
      <c r="B672" s="170"/>
      <c r="C672" s="171"/>
      <c r="D672" s="166"/>
      <c r="E672" s="170"/>
      <c r="F672" s="170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  <c r="Z672" s="166"/>
    </row>
    <row r="673">
      <c r="A673" s="170"/>
      <c r="B673" s="170"/>
      <c r="C673" s="171"/>
      <c r="D673" s="166"/>
      <c r="E673" s="170"/>
      <c r="F673" s="170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  <c r="Y673" s="166"/>
      <c r="Z673" s="166"/>
    </row>
    <row r="674">
      <c r="A674" s="170"/>
      <c r="B674" s="170"/>
      <c r="C674" s="171"/>
      <c r="D674" s="166"/>
      <c r="E674" s="170"/>
      <c r="F674" s="170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  <c r="Z674" s="166"/>
    </row>
    <row r="675">
      <c r="A675" s="170"/>
      <c r="B675" s="170"/>
      <c r="C675" s="171"/>
      <c r="D675" s="166"/>
      <c r="E675" s="170"/>
      <c r="F675" s="170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  <c r="Y675" s="166"/>
      <c r="Z675" s="166"/>
    </row>
    <row r="676">
      <c r="A676" s="170"/>
      <c r="B676" s="170"/>
      <c r="C676" s="171"/>
      <c r="D676" s="166"/>
      <c r="E676" s="170"/>
      <c r="F676" s="170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  <c r="Z676" s="166"/>
    </row>
    <row r="677">
      <c r="A677" s="170"/>
      <c r="B677" s="170"/>
      <c r="C677" s="171"/>
      <c r="D677" s="166"/>
      <c r="E677" s="170"/>
      <c r="F677" s="170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  <c r="Y677" s="166"/>
      <c r="Z677" s="166"/>
    </row>
    <row r="678">
      <c r="A678" s="170"/>
      <c r="B678" s="170"/>
      <c r="C678" s="171"/>
      <c r="D678" s="166"/>
      <c r="E678" s="170"/>
      <c r="F678" s="170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  <c r="Z678" s="166"/>
    </row>
    <row r="679">
      <c r="A679" s="170"/>
      <c r="B679" s="170"/>
      <c r="C679" s="171"/>
      <c r="D679" s="166"/>
      <c r="E679" s="170"/>
      <c r="F679" s="170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  <c r="Z679" s="166"/>
    </row>
    <row r="680">
      <c r="A680" s="170"/>
      <c r="B680" s="170"/>
      <c r="C680" s="171"/>
      <c r="D680" s="166"/>
      <c r="E680" s="170"/>
      <c r="F680" s="170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  <c r="Y680" s="166"/>
      <c r="Z680" s="166"/>
    </row>
    <row r="681">
      <c r="A681" s="170"/>
      <c r="B681" s="170"/>
      <c r="C681" s="171"/>
      <c r="D681" s="166"/>
      <c r="E681" s="170"/>
      <c r="F681" s="170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  <c r="Y681" s="166"/>
      <c r="Z681" s="166"/>
    </row>
    <row r="682">
      <c r="A682" s="170"/>
      <c r="B682" s="170"/>
      <c r="C682" s="171"/>
      <c r="D682" s="166"/>
      <c r="E682" s="170"/>
      <c r="F682" s="170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  <c r="Z682" s="166"/>
    </row>
    <row r="683">
      <c r="A683" s="170"/>
      <c r="B683" s="170"/>
      <c r="C683" s="171"/>
      <c r="D683" s="166"/>
      <c r="E683" s="170"/>
      <c r="F683" s="170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  <c r="Y683" s="166"/>
      <c r="Z683" s="166"/>
    </row>
    <row r="684">
      <c r="A684" s="170"/>
      <c r="B684" s="170"/>
      <c r="C684" s="171"/>
      <c r="D684" s="166"/>
      <c r="E684" s="170"/>
      <c r="F684" s="170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  <c r="Z684" s="166"/>
    </row>
    <row r="685">
      <c r="A685" s="170"/>
      <c r="B685" s="170"/>
      <c r="C685" s="171"/>
      <c r="D685" s="166"/>
      <c r="E685" s="170"/>
      <c r="F685" s="170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  <c r="Y685" s="166"/>
      <c r="Z685" s="166"/>
    </row>
    <row r="686">
      <c r="A686" s="170"/>
      <c r="B686" s="170"/>
      <c r="C686" s="171"/>
      <c r="D686" s="166"/>
      <c r="E686" s="170"/>
      <c r="F686" s="170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  <c r="Z686" s="166"/>
    </row>
    <row r="687">
      <c r="A687" s="170"/>
      <c r="B687" s="170"/>
      <c r="C687" s="171"/>
      <c r="D687" s="166"/>
      <c r="E687" s="170"/>
      <c r="F687" s="170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  <c r="Y687" s="166"/>
      <c r="Z687" s="166"/>
    </row>
    <row r="688">
      <c r="A688" s="170"/>
      <c r="B688" s="170"/>
      <c r="C688" s="171"/>
      <c r="D688" s="166"/>
      <c r="E688" s="170"/>
      <c r="F688" s="170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  <c r="Z688" s="166"/>
    </row>
    <row r="689">
      <c r="A689" s="170"/>
      <c r="B689" s="170"/>
      <c r="C689" s="171"/>
      <c r="D689" s="166"/>
      <c r="E689" s="170"/>
      <c r="F689" s="170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  <c r="Y689" s="166"/>
      <c r="Z689" s="166"/>
    </row>
    <row r="690">
      <c r="A690" s="170"/>
      <c r="B690" s="170"/>
      <c r="C690" s="171"/>
      <c r="D690" s="166"/>
      <c r="E690" s="170"/>
      <c r="F690" s="170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6"/>
    </row>
    <row r="691">
      <c r="A691" s="170"/>
      <c r="B691" s="170"/>
      <c r="C691" s="171"/>
      <c r="D691" s="166"/>
      <c r="E691" s="170"/>
      <c r="F691" s="170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  <c r="Y691" s="166"/>
      <c r="Z691" s="166"/>
    </row>
    <row r="692">
      <c r="A692" s="170"/>
      <c r="B692" s="170"/>
      <c r="C692" s="171"/>
      <c r="D692" s="166"/>
      <c r="E692" s="170"/>
      <c r="F692" s="170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  <c r="Z692" s="166"/>
    </row>
    <row r="693">
      <c r="A693" s="170"/>
      <c r="B693" s="170"/>
      <c r="C693" s="171"/>
      <c r="D693" s="166"/>
      <c r="E693" s="170"/>
      <c r="F693" s="170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  <c r="Y693" s="166"/>
      <c r="Z693" s="166"/>
    </row>
    <row r="694">
      <c r="A694" s="170"/>
      <c r="B694" s="170"/>
      <c r="C694" s="171"/>
      <c r="D694" s="166"/>
      <c r="E694" s="170"/>
      <c r="F694" s="170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  <c r="Z694" s="166"/>
    </row>
    <row r="695">
      <c r="A695" s="170"/>
      <c r="B695" s="170"/>
      <c r="C695" s="171"/>
      <c r="D695" s="166"/>
      <c r="E695" s="170"/>
      <c r="F695" s="170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  <c r="Y695" s="166"/>
      <c r="Z695" s="166"/>
    </row>
    <row r="696">
      <c r="A696" s="170"/>
      <c r="B696" s="170"/>
      <c r="C696" s="171"/>
      <c r="D696" s="166"/>
      <c r="E696" s="170"/>
      <c r="F696" s="170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  <c r="Z696" s="166"/>
    </row>
    <row r="697">
      <c r="A697" s="170"/>
      <c r="B697" s="170"/>
      <c r="C697" s="171"/>
      <c r="D697" s="166"/>
      <c r="E697" s="170"/>
      <c r="F697" s="170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  <c r="Z697" s="166"/>
    </row>
    <row r="698">
      <c r="A698" s="170"/>
      <c r="B698" s="170"/>
      <c r="C698" s="171"/>
      <c r="D698" s="166"/>
      <c r="E698" s="170"/>
      <c r="F698" s="170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  <c r="Z698" s="166"/>
    </row>
    <row r="699">
      <c r="A699" s="170"/>
      <c r="B699" s="170"/>
      <c r="C699" s="171"/>
      <c r="D699" s="166"/>
      <c r="E699" s="170"/>
      <c r="F699" s="170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  <c r="Y699" s="166"/>
      <c r="Z699" s="166"/>
    </row>
    <row r="700">
      <c r="A700" s="170"/>
      <c r="B700" s="170"/>
      <c r="C700" s="171"/>
      <c r="D700" s="166"/>
      <c r="E700" s="170"/>
      <c r="F700" s="170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  <c r="Z700" s="166"/>
    </row>
    <row r="701">
      <c r="A701" s="170"/>
      <c r="B701" s="170"/>
      <c r="C701" s="171"/>
      <c r="D701" s="166"/>
      <c r="E701" s="170"/>
      <c r="F701" s="170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  <c r="Y701" s="166"/>
      <c r="Z701" s="166"/>
    </row>
    <row r="702">
      <c r="A702" s="170"/>
      <c r="B702" s="170"/>
      <c r="C702" s="171"/>
      <c r="D702" s="166"/>
      <c r="E702" s="170"/>
      <c r="F702" s="170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6"/>
    </row>
    <row r="703">
      <c r="A703" s="170"/>
      <c r="B703" s="170"/>
      <c r="C703" s="171"/>
      <c r="D703" s="166"/>
      <c r="E703" s="170"/>
      <c r="F703" s="170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  <c r="Y703" s="166"/>
      <c r="Z703" s="166"/>
    </row>
    <row r="704">
      <c r="A704" s="170"/>
      <c r="B704" s="170"/>
      <c r="C704" s="171"/>
      <c r="D704" s="166"/>
      <c r="E704" s="170"/>
      <c r="F704" s="170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  <c r="Y704" s="166"/>
      <c r="Z704" s="166"/>
    </row>
    <row r="705">
      <c r="A705" s="170"/>
      <c r="B705" s="170"/>
      <c r="C705" s="171"/>
      <c r="D705" s="166"/>
      <c r="E705" s="170"/>
      <c r="F705" s="170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  <c r="Z705" s="166"/>
    </row>
    <row r="706">
      <c r="A706" s="170"/>
      <c r="B706" s="170"/>
      <c r="C706" s="171"/>
      <c r="D706" s="166"/>
      <c r="E706" s="170"/>
      <c r="F706" s="170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  <c r="Y706" s="166"/>
      <c r="Z706" s="166"/>
    </row>
    <row r="707">
      <c r="A707" s="170"/>
      <c r="B707" s="170"/>
      <c r="C707" s="171"/>
      <c r="D707" s="166"/>
      <c r="E707" s="170"/>
      <c r="F707" s="170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  <c r="Y707" s="166"/>
      <c r="Z707" s="166"/>
    </row>
    <row r="708">
      <c r="A708" s="170"/>
      <c r="B708" s="170"/>
      <c r="C708" s="171"/>
      <c r="D708" s="166"/>
      <c r="E708" s="170"/>
      <c r="F708" s="170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  <c r="Z708" s="166"/>
    </row>
    <row r="709">
      <c r="A709" s="170"/>
      <c r="B709" s="170"/>
      <c r="C709" s="171"/>
      <c r="D709" s="166"/>
      <c r="E709" s="170"/>
      <c r="F709" s="170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  <c r="Y709" s="166"/>
      <c r="Z709" s="166"/>
    </row>
    <row r="710">
      <c r="A710" s="170"/>
      <c r="B710" s="170"/>
      <c r="C710" s="171"/>
      <c r="D710" s="166"/>
      <c r="E710" s="170"/>
      <c r="F710" s="170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  <c r="Z710" s="166"/>
    </row>
    <row r="711">
      <c r="A711" s="170"/>
      <c r="B711" s="170"/>
      <c r="C711" s="171"/>
      <c r="D711" s="166"/>
      <c r="E711" s="170"/>
      <c r="F711" s="170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  <c r="Y711" s="166"/>
      <c r="Z711" s="166"/>
    </row>
    <row r="712">
      <c r="A712" s="170"/>
      <c r="B712" s="170"/>
      <c r="C712" s="171"/>
      <c r="D712" s="166"/>
      <c r="E712" s="170"/>
      <c r="F712" s="170"/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  <c r="Z712" s="166"/>
    </row>
    <row r="713">
      <c r="A713" s="170"/>
      <c r="B713" s="170"/>
      <c r="C713" s="171"/>
      <c r="D713" s="166"/>
      <c r="E713" s="170"/>
      <c r="F713" s="170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  <c r="Y713" s="166"/>
      <c r="Z713" s="166"/>
    </row>
    <row r="714">
      <c r="A714" s="170"/>
      <c r="B714" s="170"/>
      <c r="C714" s="171"/>
      <c r="D714" s="166"/>
      <c r="E714" s="170"/>
      <c r="F714" s="170"/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  <c r="Z714" s="166"/>
    </row>
    <row r="715">
      <c r="A715" s="170"/>
      <c r="B715" s="170"/>
      <c r="C715" s="171"/>
      <c r="D715" s="166"/>
      <c r="E715" s="170"/>
      <c r="F715" s="170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  <c r="Y715" s="166"/>
      <c r="Z715" s="166"/>
    </row>
    <row r="716">
      <c r="A716" s="170"/>
      <c r="B716" s="170"/>
      <c r="C716" s="171"/>
      <c r="D716" s="166"/>
      <c r="E716" s="170"/>
      <c r="F716" s="170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  <c r="Z716" s="166"/>
    </row>
    <row r="717">
      <c r="A717" s="170"/>
      <c r="B717" s="170"/>
      <c r="C717" s="171"/>
      <c r="D717" s="166"/>
      <c r="E717" s="170"/>
      <c r="F717" s="170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  <c r="Y717" s="166"/>
      <c r="Z717" s="166"/>
    </row>
    <row r="718">
      <c r="A718" s="170"/>
      <c r="B718" s="170"/>
      <c r="C718" s="171"/>
      <c r="D718" s="166"/>
      <c r="E718" s="170"/>
      <c r="F718" s="170"/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  <c r="Z718" s="166"/>
    </row>
    <row r="719">
      <c r="A719" s="170"/>
      <c r="B719" s="170"/>
      <c r="C719" s="171"/>
      <c r="D719" s="166"/>
      <c r="E719" s="170"/>
      <c r="F719" s="170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  <c r="Y719" s="166"/>
      <c r="Z719" s="166"/>
    </row>
    <row r="720">
      <c r="A720" s="170"/>
      <c r="B720" s="170"/>
      <c r="C720" s="171"/>
      <c r="D720" s="166"/>
      <c r="E720" s="170"/>
      <c r="F720" s="170"/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  <c r="Z720" s="166"/>
    </row>
    <row r="721">
      <c r="A721" s="170"/>
      <c r="B721" s="170"/>
      <c r="C721" s="171"/>
      <c r="D721" s="166"/>
      <c r="E721" s="170"/>
      <c r="F721" s="170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  <c r="Y721" s="166"/>
      <c r="Z721" s="166"/>
    </row>
    <row r="722">
      <c r="A722" s="170"/>
      <c r="B722" s="170"/>
      <c r="C722" s="171"/>
      <c r="D722" s="166"/>
      <c r="E722" s="170"/>
      <c r="F722" s="170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  <c r="Z722" s="166"/>
    </row>
    <row r="723">
      <c r="A723" s="170"/>
      <c r="B723" s="170"/>
      <c r="C723" s="171"/>
      <c r="D723" s="166"/>
      <c r="E723" s="170"/>
      <c r="F723" s="170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  <c r="Y723" s="166"/>
      <c r="Z723" s="166"/>
    </row>
    <row r="724">
      <c r="A724" s="170"/>
      <c r="B724" s="170"/>
      <c r="C724" s="171"/>
      <c r="D724" s="166"/>
      <c r="E724" s="170"/>
      <c r="F724" s="170"/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/>
      <c r="Z724" s="166"/>
    </row>
    <row r="725">
      <c r="A725" s="170"/>
      <c r="B725" s="170"/>
      <c r="C725" s="171"/>
      <c r="D725" s="166"/>
      <c r="E725" s="170"/>
      <c r="F725" s="170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  <c r="Y725" s="166"/>
      <c r="Z725" s="166"/>
    </row>
    <row r="726">
      <c r="A726" s="170"/>
      <c r="B726" s="170"/>
      <c r="C726" s="171"/>
      <c r="D726" s="166"/>
      <c r="E726" s="170"/>
      <c r="F726" s="170"/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  <c r="Z726" s="166"/>
    </row>
    <row r="727">
      <c r="A727" s="170"/>
      <c r="B727" s="170"/>
      <c r="C727" s="171"/>
      <c r="D727" s="166"/>
      <c r="E727" s="170"/>
      <c r="F727" s="170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  <c r="Y727" s="166"/>
      <c r="Z727" s="166"/>
    </row>
    <row r="728">
      <c r="A728" s="170"/>
      <c r="B728" s="170"/>
      <c r="C728" s="171"/>
      <c r="D728" s="166"/>
      <c r="E728" s="170"/>
      <c r="F728" s="170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6"/>
    </row>
    <row r="729">
      <c r="A729" s="170"/>
      <c r="B729" s="170"/>
      <c r="C729" s="171"/>
      <c r="D729" s="166"/>
      <c r="E729" s="170"/>
      <c r="F729" s="170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  <c r="Y729" s="166"/>
      <c r="Z729" s="166"/>
    </row>
    <row r="730">
      <c r="A730" s="170"/>
      <c r="B730" s="170"/>
      <c r="C730" s="171"/>
      <c r="D730" s="166"/>
      <c r="E730" s="170"/>
      <c r="F730" s="170"/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  <c r="Z730" s="166"/>
    </row>
    <row r="731">
      <c r="A731" s="170"/>
      <c r="B731" s="170"/>
      <c r="C731" s="171"/>
      <c r="D731" s="166"/>
      <c r="E731" s="170"/>
      <c r="F731" s="170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  <c r="Y731" s="166"/>
      <c r="Z731" s="166"/>
    </row>
    <row r="732">
      <c r="A732" s="170"/>
      <c r="B732" s="170"/>
      <c r="C732" s="171"/>
      <c r="D732" s="166"/>
      <c r="E732" s="170"/>
      <c r="F732" s="170"/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  <c r="Z732" s="166"/>
    </row>
    <row r="733">
      <c r="A733" s="170"/>
      <c r="B733" s="170"/>
      <c r="C733" s="171"/>
      <c r="D733" s="166"/>
      <c r="E733" s="170"/>
      <c r="F733" s="170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  <c r="Z733" s="166"/>
    </row>
    <row r="734">
      <c r="A734" s="170"/>
      <c r="B734" s="170"/>
      <c r="C734" s="171"/>
      <c r="D734" s="166"/>
      <c r="E734" s="170"/>
      <c r="F734" s="170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  <c r="Y734" s="166"/>
      <c r="Z734" s="166"/>
    </row>
    <row r="735">
      <c r="A735" s="170"/>
      <c r="B735" s="170"/>
      <c r="C735" s="171"/>
      <c r="D735" s="166"/>
      <c r="E735" s="170"/>
      <c r="F735" s="170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  <c r="Y735" s="166"/>
      <c r="Z735" s="166"/>
    </row>
    <row r="736">
      <c r="A736" s="170"/>
      <c r="B736" s="170"/>
      <c r="C736" s="171"/>
      <c r="D736" s="166"/>
      <c r="E736" s="170"/>
      <c r="F736" s="170"/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  <c r="Y736" s="166"/>
      <c r="Z736" s="166"/>
    </row>
    <row r="737">
      <c r="A737" s="170"/>
      <c r="B737" s="170"/>
      <c r="C737" s="171"/>
      <c r="D737" s="166"/>
      <c r="E737" s="170"/>
      <c r="F737" s="170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  <c r="Y737" s="166"/>
      <c r="Z737" s="166"/>
    </row>
    <row r="738">
      <c r="A738" s="170"/>
      <c r="B738" s="170"/>
      <c r="C738" s="171"/>
      <c r="D738" s="166"/>
      <c r="E738" s="170"/>
      <c r="F738" s="170"/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  <c r="Z738" s="166"/>
    </row>
    <row r="739">
      <c r="A739" s="170"/>
      <c r="B739" s="170"/>
      <c r="C739" s="171"/>
      <c r="D739" s="166"/>
      <c r="E739" s="170"/>
      <c r="F739" s="170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  <c r="Y739" s="166"/>
      <c r="Z739" s="166"/>
    </row>
    <row r="740">
      <c r="A740" s="170"/>
      <c r="B740" s="170"/>
      <c r="C740" s="171"/>
      <c r="D740" s="166"/>
      <c r="E740" s="170"/>
      <c r="F740" s="170"/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  <c r="Y740" s="166"/>
      <c r="Z740" s="166"/>
    </row>
    <row r="741">
      <c r="A741" s="170"/>
      <c r="B741" s="170"/>
      <c r="C741" s="171"/>
      <c r="D741" s="166"/>
      <c r="E741" s="170"/>
      <c r="F741" s="170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  <c r="Y741" s="166"/>
      <c r="Z741" s="166"/>
    </row>
    <row r="742">
      <c r="A742" s="170"/>
      <c r="B742" s="170"/>
      <c r="C742" s="171"/>
      <c r="D742" s="166"/>
      <c r="E742" s="170"/>
      <c r="F742" s="170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  <c r="Z742" s="166"/>
    </row>
    <row r="743">
      <c r="A743" s="170"/>
      <c r="B743" s="170"/>
      <c r="C743" s="171"/>
      <c r="D743" s="166"/>
      <c r="E743" s="170"/>
      <c r="F743" s="170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  <c r="Y743" s="166"/>
      <c r="Z743" s="166"/>
    </row>
    <row r="744">
      <c r="A744" s="170"/>
      <c r="B744" s="170"/>
      <c r="C744" s="171"/>
      <c r="D744" s="166"/>
      <c r="E744" s="170"/>
      <c r="F744" s="170"/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  <c r="Z744" s="166"/>
    </row>
    <row r="745">
      <c r="A745" s="170"/>
      <c r="B745" s="170"/>
      <c r="C745" s="171"/>
      <c r="D745" s="166"/>
      <c r="E745" s="170"/>
      <c r="F745" s="170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  <c r="Y745" s="166"/>
      <c r="Z745" s="166"/>
    </row>
    <row r="746">
      <c r="A746" s="170"/>
      <c r="B746" s="170"/>
      <c r="C746" s="171"/>
      <c r="D746" s="166"/>
      <c r="E746" s="170"/>
      <c r="F746" s="170"/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  <c r="Y746" s="166"/>
      <c r="Z746" s="166"/>
    </row>
    <row r="747">
      <c r="A747" s="170"/>
      <c r="B747" s="170"/>
      <c r="C747" s="171"/>
      <c r="D747" s="166"/>
      <c r="E747" s="170"/>
      <c r="F747" s="170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  <c r="Y747" s="166"/>
      <c r="Z747" s="166"/>
    </row>
    <row r="748">
      <c r="A748" s="170"/>
      <c r="B748" s="170"/>
      <c r="C748" s="171"/>
      <c r="D748" s="166"/>
      <c r="E748" s="170"/>
      <c r="F748" s="170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  <c r="Z748" s="166"/>
    </row>
    <row r="749">
      <c r="A749" s="170"/>
      <c r="B749" s="170"/>
      <c r="C749" s="171"/>
      <c r="D749" s="166"/>
      <c r="E749" s="170"/>
      <c r="F749" s="170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  <c r="Y749" s="166"/>
      <c r="Z749" s="166"/>
    </row>
    <row r="750">
      <c r="A750" s="170"/>
      <c r="B750" s="170"/>
      <c r="C750" s="171"/>
      <c r="D750" s="166"/>
      <c r="E750" s="170"/>
      <c r="F750" s="170"/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  <c r="Z750" s="166"/>
    </row>
    <row r="751">
      <c r="A751" s="170"/>
      <c r="B751" s="170"/>
      <c r="C751" s="171"/>
      <c r="D751" s="166"/>
      <c r="E751" s="170"/>
      <c r="F751" s="170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  <c r="Y751" s="166"/>
      <c r="Z751" s="166"/>
    </row>
    <row r="752">
      <c r="A752" s="170"/>
      <c r="B752" s="170"/>
      <c r="C752" s="171"/>
      <c r="D752" s="166"/>
      <c r="E752" s="170"/>
      <c r="F752" s="170"/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  <c r="Z752" s="166"/>
    </row>
    <row r="753">
      <c r="A753" s="170"/>
      <c r="B753" s="170"/>
      <c r="C753" s="171"/>
      <c r="D753" s="166"/>
      <c r="E753" s="170"/>
      <c r="F753" s="170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  <c r="Y753" s="166"/>
      <c r="Z753" s="166"/>
    </row>
    <row r="754">
      <c r="A754" s="170"/>
      <c r="B754" s="170"/>
      <c r="C754" s="171"/>
      <c r="D754" s="166"/>
      <c r="E754" s="170"/>
      <c r="F754" s="170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  <c r="Z754" s="166"/>
    </row>
    <row r="755">
      <c r="A755" s="170"/>
      <c r="B755" s="170"/>
      <c r="C755" s="171"/>
      <c r="D755" s="166"/>
      <c r="E755" s="170"/>
      <c r="F755" s="170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  <c r="Y755" s="166"/>
      <c r="Z755" s="166"/>
    </row>
    <row r="756">
      <c r="A756" s="170"/>
      <c r="B756" s="170"/>
      <c r="C756" s="171"/>
      <c r="D756" s="166"/>
      <c r="E756" s="170"/>
      <c r="F756" s="170"/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  <c r="Z756" s="166"/>
    </row>
    <row r="757">
      <c r="A757" s="170"/>
      <c r="B757" s="170"/>
      <c r="C757" s="171"/>
      <c r="D757" s="166"/>
      <c r="E757" s="170"/>
      <c r="F757" s="170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  <c r="Z757" s="166"/>
    </row>
    <row r="758">
      <c r="A758" s="170"/>
      <c r="B758" s="170"/>
      <c r="C758" s="171"/>
      <c r="D758" s="166"/>
      <c r="E758" s="170"/>
      <c r="F758" s="170"/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  <c r="Y758" s="166"/>
      <c r="Z758" s="166"/>
    </row>
    <row r="759">
      <c r="A759" s="170"/>
      <c r="B759" s="170"/>
      <c r="C759" s="171"/>
      <c r="D759" s="166"/>
      <c r="E759" s="170"/>
      <c r="F759" s="170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  <c r="Y759" s="166"/>
      <c r="Z759" s="166"/>
    </row>
    <row r="760">
      <c r="A760" s="170"/>
      <c r="B760" s="170"/>
      <c r="C760" s="171"/>
      <c r="D760" s="166"/>
      <c r="E760" s="170"/>
      <c r="F760" s="170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  <c r="Y760" s="166"/>
      <c r="Z760" s="166"/>
    </row>
    <row r="761">
      <c r="A761" s="170"/>
      <c r="B761" s="170"/>
      <c r="C761" s="171"/>
      <c r="D761" s="166"/>
      <c r="E761" s="170"/>
      <c r="F761" s="170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  <c r="Z761" s="166"/>
    </row>
    <row r="762">
      <c r="A762" s="170"/>
      <c r="B762" s="170"/>
      <c r="C762" s="171"/>
      <c r="D762" s="166"/>
      <c r="E762" s="170"/>
      <c r="F762" s="170"/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  <c r="Y762" s="166"/>
      <c r="Z762" s="166"/>
    </row>
    <row r="763">
      <c r="A763" s="170"/>
      <c r="B763" s="170"/>
      <c r="C763" s="171"/>
      <c r="D763" s="166"/>
      <c r="E763" s="170"/>
      <c r="F763" s="170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  <c r="Y763" s="166"/>
      <c r="Z763" s="166"/>
    </row>
    <row r="764">
      <c r="A764" s="170"/>
      <c r="B764" s="170"/>
      <c r="C764" s="171"/>
      <c r="D764" s="166"/>
      <c r="E764" s="170"/>
      <c r="F764" s="170"/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/>
      <c r="Z764" s="166"/>
    </row>
    <row r="765">
      <c r="A765" s="170"/>
      <c r="B765" s="170"/>
      <c r="C765" s="171"/>
      <c r="D765" s="166"/>
      <c r="E765" s="170"/>
      <c r="F765" s="170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  <c r="Y765" s="166"/>
      <c r="Z765" s="166"/>
    </row>
    <row r="766">
      <c r="A766" s="170"/>
      <c r="B766" s="170"/>
      <c r="C766" s="171"/>
      <c r="D766" s="166"/>
      <c r="E766" s="170"/>
      <c r="F766" s="170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  <c r="Z766" s="166"/>
    </row>
    <row r="767">
      <c r="A767" s="170"/>
      <c r="B767" s="170"/>
      <c r="C767" s="171"/>
      <c r="D767" s="166"/>
      <c r="E767" s="170"/>
      <c r="F767" s="170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  <c r="Y767" s="166"/>
      <c r="Z767" s="166"/>
    </row>
    <row r="768">
      <c r="A768" s="170"/>
      <c r="B768" s="170"/>
      <c r="C768" s="171"/>
      <c r="D768" s="166"/>
      <c r="E768" s="170"/>
      <c r="F768" s="170"/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  <c r="Z768" s="166"/>
    </row>
    <row r="769">
      <c r="A769" s="170"/>
      <c r="B769" s="170"/>
      <c r="C769" s="171"/>
      <c r="D769" s="166"/>
      <c r="E769" s="170"/>
      <c r="F769" s="170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  <c r="Y769" s="166"/>
      <c r="Z769" s="166"/>
    </row>
    <row r="770">
      <c r="A770" s="170"/>
      <c r="B770" s="170"/>
      <c r="C770" s="171"/>
      <c r="D770" s="166"/>
      <c r="E770" s="170"/>
      <c r="F770" s="170"/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  <c r="Z770" s="166"/>
    </row>
    <row r="771">
      <c r="A771" s="170"/>
      <c r="B771" s="170"/>
      <c r="C771" s="171"/>
      <c r="D771" s="166"/>
      <c r="E771" s="170"/>
      <c r="F771" s="170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  <c r="Y771" s="166"/>
      <c r="Z771" s="166"/>
    </row>
    <row r="772">
      <c r="A772" s="170"/>
      <c r="B772" s="170"/>
      <c r="C772" s="171"/>
      <c r="D772" s="166"/>
      <c r="E772" s="170"/>
      <c r="F772" s="170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</row>
    <row r="773">
      <c r="A773" s="170"/>
      <c r="B773" s="170"/>
      <c r="C773" s="171"/>
      <c r="D773" s="166"/>
      <c r="E773" s="170"/>
      <c r="F773" s="170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  <c r="Z773" s="166"/>
    </row>
    <row r="774">
      <c r="A774" s="170"/>
      <c r="B774" s="170"/>
      <c r="C774" s="171"/>
      <c r="D774" s="166"/>
      <c r="E774" s="170"/>
      <c r="F774" s="170"/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  <c r="Z774" s="166"/>
    </row>
    <row r="775">
      <c r="A775" s="170"/>
      <c r="B775" s="170"/>
      <c r="C775" s="171"/>
      <c r="D775" s="166"/>
      <c r="E775" s="170"/>
      <c r="F775" s="170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  <c r="Y775" s="166"/>
      <c r="Z775" s="166"/>
    </row>
    <row r="776">
      <c r="A776" s="170"/>
      <c r="B776" s="170"/>
      <c r="C776" s="171"/>
      <c r="D776" s="166"/>
      <c r="E776" s="170"/>
      <c r="F776" s="170"/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/>
      <c r="Z776" s="166"/>
    </row>
    <row r="777">
      <c r="A777" s="170"/>
      <c r="B777" s="170"/>
      <c r="C777" s="171"/>
      <c r="D777" s="166"/>
      <c r="E777" s="170"/>
      <c r="F777" s="170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  <c r="Y777" s="166"/>
      <c r="Z777" s="166"/>
    </row>
    <row r="778">
      <c r="A778" s="170"/>
      <c r="B778" s="170"/>
      <c r="C778" s="171"/>
      <c r="D778" s="166"/>
      <c r="E778" s="170"/>
      <c r="F778" s="170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  <c r="Y778" s="166"/>
      <c r="Z778" s="166"/>
    </row>
    <row r="779">
      <c r="A779" s="170"/>
      <c r="B779" s="170"/>
      <c r="C779" s="171"/>
      <c r="D779" s="166"/>
      <c r="E779" s="170"/>
      <c r="F779" s="170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  <c r="Y779" s="166"/>
      <c r="Z779" s="166"/>
    </row>
    <row r="780">
      <c r="A780" s="170"/>
      <c r="B780" s="170"/>
      <c r="C780" s="171"/>
      <c r="D780" s="166"/>
      <c r="E780" s="170"/>
      <c r="F780" s="170"/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  <c r="Y780" s="166"/>
      <c r="Z780" s="166"/>
    </row>
    <row r="781">
      <c r="A781" s="170"/>
      <c r="B781" s="170"/>
      <c r="C781" s="171"/>
      <c r="D781" s="166"/>
      <c r="E781" s="170"/>
      <c r="F781" s="170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  <c r="Z781" s="166"/>
    </row>
    <row r="782">
      <c r="A782" s="170"/>
      <c r="B782" s="170"/>
      <c r="C782" s="171"/>
      <c r="D782" s="166"/>
      <c r="E782" s="170"/>
      <c r="F782" s="170"/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  <c r="Y782" s="166"/>
      <c r="Z782" s="166"/>
    </row>
    <row r="783">
      <c r="A783" s="170"/>
      <c r="B783" s="170"/>
      <c r="C783" s="171"/>
      <c r="D783" s="166"/>
      <c r="E783" s="170"/>
      <c r="F783" s="170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  <c r="Z783" s="166"/>
    </row>
    <row r="784">
      <c r="A784" s="170"/>
      <c r="B784" s="170"/>
      <c r="C784" s="171"/>
      <c r="D784" s="166"/>
      <c r="E784" s="170"/>
      <c r="F784" s="170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  <c r="Y784" s="166"/>
      <c r="Z784" s="166"/>
    </row>
    <row r="785">
      <c r="A785" s="170"/>
      <c r="B785" s="170"/>
      <c r="C785" s="171"/>
      <c r="D785" s="166"/>
      <c r="E785" s="170"/>
      <c r="F785" s="170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  <c r="Y785" s="166"/>
      <c r="Z785" s="166"/>
    </row>
    <row r="786">
      <c r="A786" s="170"/>
      <c r="B786" s="170"/>
      <c r="C786" s="171"/>
      <c r="D786" s="166"/>
      <c r="E786" s="170"/>
      <c r="F786" s="170"/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  <c r="Y786" s="166"/>
      <c r="Z786" s="166"/>
    </row>
    <row r="787">
      <c r="A787" s="170"/>
      <c r="B787" s="170"/>
      <c r="C787" s="171"/>
      <c r="D787" s="166"/>
      <c r="E787" s="170"/>
      <c r="F787" s="170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  <c r="Y787" s="166"/>
      <c r="Z787" s="166"/>
    </row>
    <row r="788">
      <c r="A788" s="170"/>
      <c r="B788" s="170"/>
      <c r="C788" s="171"/>
      <c r="D788" s="166"/>
      <c r="E788" s="170"/>
      <c r="F788" s="170"/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  <c r="Y788" s="166"/>
      <c r="Z788" s="166"/>
    </row>
    <row r="789">
      <c r="A789" s="170"/>
      <c r="B789" s="170"/>
      <c r="C789" s="171"/>
      <c r="D789" s="166"/>
      <c r="E789" s="170"/>
      <c r="F789" s="170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  <c r="Y789" s="166"/>
      <c r="Z789" s="166"/>
    </row>
    <row r="790">
      <c r="A790" s="170"/>
      <c r="B790" s="170"/>
      <c r="C790" s="171"/>
      <c r="D790" s="166"/>
      <c r="E790" s="170"/>
      <c r="F790" s="170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  <c r="Y790" s="166"/>
      <c r="Z790" s="166"/>
    </row>
    <row r="791">
      <c r="A791" s="170"/>
      <c r="B791" s="170"/>
      <c r="C791" s="171"/>
      <c r="D791" s="166"/>
      <c r="E791" s="170"/>
      <c r="F791" s="170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  <c r="Z791" s="166"/>
    </row>
    <row r="792">
      <c r="A792" s="170"/>
      <c r="B792" s="170"/>
      <c r="C792" s="171"/>
      <c r="D792" s="166"/>
      <c r="E792" s="170"/>
      <c r="F792" s="170"/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  <c r="Z792" s="166"/>
    </row>
    <row r="793">
      <c r="A793" s="170"/>
      <c r="B793" s="170"/>
      <c r="C793" s="171"/>
      <c r="D793" s="166"/>
      <c r="E793" s="170"/>
      <c r="F793" s="170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/>
      <c r="Z793" s="166"/>
    </row>
    <row r="794">
      <c r="A794" s="170"/>
      <c r="B794" s="170"/>
      <c r="C794" s="171"/>
      <c r="D794" s="166"/>
      <c r="E794" s="170"/>
      <c r="F794" s="170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  <c r="Y794" s="166"/>
      <c r="Z794" s="166"/>
    </row>
    <row r="795">
      <c r="A795" s="170"/>
      <c r="B795" s="170"/>
      <c r="C795" s="171"/>
      <c r="D795" s="166"/>
      <c r="E795" s="170"/>
      <c r="F795" s="170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  <c r="Y795" s="166"/>
      <c r="Z795" s="166"/>
    </row>
    <row r="796">
      <c r="A796" s="170"/>
      <c r="B796" s="170"/>
      <c r="C796" s="171"/>
      <c r="D796" s="166"/>
      <c r="E796" s="170"/>
      <c r="F796" s="170"/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/>
      <c r="Z796" s="166"/>
    </row>
    <row r="797">
      <c r="A797" s="170"/>
      <c r="B797" s="170"/>
      <c r="C797" s="171"/>
      <c r="D797" s="166"/>
      <c r="E797" s="170"/>
      <c r="F797" s="170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  <c r="Y797" s="166"/>
      <c r="Z797" s="166"/>
    </row>
    <row r="798">
      <c r="A798" s="170"/>
      <c r="B798" s="170"/>
      <c r="C798" s="171"/>
      <c r="D798" s="166"/>
      <c r="E798" s="170"/>
      <c r="F798" s="170"/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  <c r="Z798" s="166"/>
    </row>
    <row r="799">
      <c r="A799" s="170"/>
      <c r="B799" s="170"/>
      <c r="C799" s="171"/>
      <c r="D799" s="166"/>
      <c r="E799" s="170"/>
      <c r="F799" s="170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  <c r="Y799" s="166"/>
      <c r="Z799" s="166"/>
    </row>
    <row r="800">
      <c r="A800" s="170"/>
      <c r="B800" s="170"/>
      <c r="C800" s="171"/>
      <c r="D800" s="166"/>
      <c r="E800" s="170"/>
      <c r="F800" s="170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  <c r="Z800" s="166"/>
    </row>
    <row r="801">
      <c r="A801" s="170"/>
      <c r="B801" s="170"/>
      <c r="C801" s="171"/>
      <c r="D801" s="166"/>
      <c r="E801" s="170"/>
      <c r="F801" s="170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  <c r="Y801" s="166"/>
      <c r="Z801" s="166"/>
    </row>
    <row r="802">
      <c r="A802" s="170"/>
      <c r="B802" s="170"/>
      <c r="C802" s="171"/>
      <c r="D802" s="166"/>
      <c r="E802" s="170"/>
      <c r="F802" s="170"/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  <c r="Z802" s="166"/>
    </row>
    <row r="803">
      <c r="A803" s="170"/>
      <c r="B803" s="170"/>
      <c r="C803" s="171"/>
      <c r="D803" s="166"/>
      <c r="E803" s="170"/>
      <c r="F803" s="170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  <c r="Y803" s="166"/>
      <c r="Z803" s="166"/>
    </row>
    <row r="804">
      <c r="A804" s="170"/>
      <c r="B804" s="170"/>
      <c r="C804" s="171"/>
      <c r="D804" s="166"/>
      <c r="E804" s="170"/>
      <c r="F804" s="170"/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  <c r="Z804" s="166"/>
    </row>
    <row r="805">
      <c r="A805" s="170"/>
      <c r="B805" s="170"/>
      <c r="C805" s="171"/>
      <c r="D805" s="166"/>
      <c r="E805" s="170"/>
      <c r="F805" s="170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  <c r="Y805" s="166"/>
      <c r="Z805" s="166"/>
    </row>
    <row r="806">
      <c r="A806" s="170"/>
      <c r="B806" s="170"/>
      <c r="C806" s="171"/>
      <c r="D806" s="166"/>
      <c r="E806" s="170"/>
      <c r="F806" s="170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  <c r="Z806" s="166"/>
    </row>
    <row r="807">
      <c r="A807" s="170"/>
      <c r="B807" s="170"/>
      <c r="C807" s="171"/>
      <c r="D807" s="166"/>
      <c r="E807" s="170"/>
      <c r="F807" s="170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  <c r="X807" s="166"/>
      <c r="Y807" s="166"/>
      <c r="Z807" s="166"/>
    </row>
    <row r="808">
      <c r="A808" s="170"/>
      <c r="B808" s="170"/>
      <c r="C808" s="171"/>
      <c r="D808" s="166"/>
      <c r="E808" s="170"/>
      <c r="F808" s="170"/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  <c r="Z808" s="166"/>
    </row>
    <row r="809">
      <c r="A809" s="170"/>
      <c r="B809" s="170"/>
      <c r="C809" s="171"/>
      <c r="D809" s="166"/>
      <c r="E809" s="170"/>
      <c r="F809" s="170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  <c r="Y809" s="166"/>
      <c r="Z809" s="166"/>
    </row>
    <row r="810">
      <c r="A810" s="170"/>
      <c r="B810" s="170"/>
      <c r="C810" s="171"/>
      <c r="D810" s="166"/>
      <c r="E810" s="170"/>
      <c r="F810" s="170"/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  <c r="Z810" s="166"/>
    </row>
    <row r="811">
      <c r="A811" s="170"/>
      <c r="B811" s="170"/>
      <c r="C811" s="171"/>
      <c r="D811" s="166"/>
      <c r="E811" s="170"/>
      <c r="F811" s="170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  <c r="Y811" s="166"/>
      <c r="Z811" s="166"/>
    </row>
    <row r="812">
      <c r="A812" s="170"/>
      <c r="B812" s="170"/>
      <c r="C812" s="171"/>
      <c r="D812" s="166"/>
      <c r="E812" s="170"/>
      <c r="F812" s="170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/>
      <c r="Z812" s="166"/>
    </row>
    <row r="813">
      <c r="A813" s="170"/>
      <c r="B813" s="170"/>
      <c r="C813" s="171"/>
      <c r="D813" s="166"/>
      <c r="E813" s="170"/>
      <c r="F813" s="170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  <c r="Y813" s="166"/>
      <c r="Z813" s="166"/>
    </row>
    <row r="814">
      <c r="A814" s="170"/>
      <c r="B814" s="170"/>
      <c r="C814" s="171"/>
      <c r="D814" s="166"/>
      <c r="E814" s="170"/>
      <c r="F814" s="170"/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  <c r="Z814" s="166"/>
    </row>
    <row r="815">
      <c r="A815" s="170"/>
      <c r="B815" s="170"/>
      <c r="C815" s="171"/>
      <c r="D815" s="166"/>
      <c r="E815" s="170"/>
      <c r="F815" s="170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  <c r="Y815" s="166"/>
      <c r="Z815" s="166"/>
    </row>
    <row r="816">
      <c r="A816" s="170"/>
      <c r="B816" s="170"/>
      <c r="C816" s="171"/>
      <c r="D816" s="166"/>
      <c r="E816" s="170"/>
      <c r="F816" s="170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  <c r="Z816" s="166"/>
    </row>
    <row r="817">
      <c r="A817" s="170"/>
      <c r="B817" s="170"/>
      <c r="C817" s="171"/>
      <c r="D817" s="166"/>
      <c r="E817" s="170"/>
      <c r="F817" s="170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  <c r="Y817" s="166"/>
      <c r="Z817" s="166"/>
    </row>
    <row r="818">
      <c r="A818" s="170"/>
      <c r="B818" s="170"/>
      <c r="C818" s="171"/>
      <c r="D818" s="166"/>
      <c r="E818" s="170"/>
      <c r="F818" s="170"/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</row>
    <row r="819">
      <c r="A819" s="170"/>
      <c r="B819" s="170"/>
      <c r="C819" s="171"/>
      <c r="D819" s="166"/>
      <c r="E819" s="170"/>
      <c r="F819" s="170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  <c r="Y819" s="166"/>
      <c r="Z819" s="166"/>
    </row>
    <row r="820">
      <c r="A820" s="170"/>
      <c r="B820" s="170"/>
      <c r="C820" s="171"/>
      <c r="D820" s="166"/>
      <c r="E820" s="170"/>
      <c r="F820" s="170"/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  <c r="Z820" s="166"/>
    </row>
    <row r="821">
      <c r="A821" s="170"/>
      <c r="B821" s="170"/>
      <c r="C821" s="171"/>
      <c r="D821" s="166"/>
      <c r="E821" s="170"/>
      <c r="F821" s="170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  <c r="Y821" s="166"/>
      <c r="Z821" s="166"/>
    </row>
    <row r="822">
      <c r="A822" s="170"/>
      <c r="B822" s="170"/>
      <c r="C822" s="171"/>
      <c r="D822" s="166"/>
      <c r="E822" s="170"/>
      <c r="F822" s="170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  <c r="Y822" s="166"/>
      <c r="Z822" s="166"/>
    </row>
    <row r="823">
      <c r="A823" s="170"/>
      <c r="B823" s="170"/>
      <c r="C823" s="171"/>
      <c r="D823" s="166"/>
      <c r="E823" s="170"/>
      <c r="F823" s="170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  <c r="Y823" s="166"/>
      <c r="Z823" s="166"/>
    </row>
    <row r="824">
      <c r="A824" s="170"/>
      <c r="B824" s="170"/>
      <c r="C824" s="171"/>
      <c r="D824" s="166"/>
      <c r="E824" s="170"/>
      <c r="F824" s="170"/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  <c r="Y824" s="166"/>
      <c r="Z824" s="166"/>
    </row>
    <row r="825">
      <c r="A825" s="170"/>
      <c r="B825" s="170"/>
      <c r="C825" s="171"/>
      <c r="D825" s="166"/>
      <c r="E825" s="170"/>
      <c r="F825" s="170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  <c r="Y825" s="166"/>
      <c r="Z825" s="166"/>
    </row>
    <row r="826">
      <c r="A826" s="170"/>
      <c r="B826" s="170"/>
      <c r="C826" s="171"/>
      <c r="D826" s="166"/>
      <c r="E826" s="170"/>
      <c r="F826" s="170"/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  <c r="Y826" s="166"/>
      <c r="Z826" s="166"/>
    </row>
    <row r="827">
      <c r="A827" s="170"/>
      <c r="B827" s="170"/>
      <c r="C827" s="171"/>
      <c r="D827" s="166"/>
      <c r="E827" s="170"/>
      <c r="F827" s="170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  <c r="Y827" s="166"/>
      <c r="Z827" s="166"/>
    </row>
    <row r="828">
      <c r="A828" s="170"/>
      <c r="B828" s="170"/>
      <c r="C828" s="171"/>
      <c r="D828" s="166"/>
      <c r="E828" s="170"/>
      <c r="F828" s="170"/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  <c r="Y828" s="166"/>
      <c r="Z828" s="166"/>
    </row>
    <row r="829">
      <c r="A829" s="170"/>
      <c r="B829" s="170"/>
      <c r="C829" s="171"/>
      <c r="D829" s="166"/>
      <c r="E829" s="170"/>
      <c r="F829" s="170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  <c r="Z829" s="166"/>
    </row>
    <row r="830">
      <c r="A830" s="170"/>
      <c r="B830" s="170"/>
      <c r="C830" s="171"/>
      <c r="D830" s="166"/>
      <c r="E830" s="170"/>
      <c r="F830" s="170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  <c r="Y830" s="166"/>
      <c r="Z830" s="166"/>
    </row>
    <row r="831">
      <c r="A831" s="170"/>
      <c r="B831" s="170"/>
      <c r="C831" s="171"/>
      <c r="D831" s="166"/>
      <c r="E831" s="170"/>
      <c r="F831" s="170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  <c r="Z831" s="166"/>
    </row>
    <row r="832">
      <c r="A832" s="170"/>
      <c r="B832" s="170"/>
      <c r="C832" s="171"/>
      <c r="D832" s="166"/>
      <c r="E832" s="170"/>
      <c r="F832" s="170"/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  <c r="Y832" s="166"/>
      <c r="Z832" s="166"/>
    </row>
    <row r="833">
      <c r="A833" s="170"/>
      <c r="B833" s="170"/>
      <c r="C833" s="171"/>
      <c r="D833" s="166"/>
      <c r="E833" s="170"/>
      <c r="F833" s="170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/>
      <c r="Z833" s="166"/>
    </row>
    <row r="834">
      <c r="A834" s="170"/>
      <c r="B834" s="170"/>
      <c r="C834" s="171"/>
      <c r="D834" s="166"/>
      <c r="E834" s="170"/>
      <c r="F834" s="170"/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  <c r="Y834" s="166"/>
      <c r="Z834" s="166"/>
    </row>
    <row r="835">
      <c r="A835" s="170"/>
      <c r="B835" s="170"/>
      <c r="C835" s="171"/>
      <c r="D835" s="166"/>
      <c r="E835" s="170"/>
      <c r="F835" s="170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/>
      <c r="Z835" s="166"/>
    </row>
    <row r="836">
      <c r="A836" s="170"/>
      <c r="B836" s="170"/>
      <c r="C836" s="171"/>
      <c r="D836" s="166"/>
      <c r="E836" s="170"/>
      <c r="F836" s="170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  <c r="Y836" s="166"/>
      <c r="Z836" s="166"/>
    </row>
    <row r="837">
      <c r="A837" s="170"/>
      <c r="B837" s="170"/>
      <c r="C837" s="171"/>
      <c r="D837" s="166"/>
      <c r="E837" s="170"/>
      <c r="F837" s="170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  <c r="Z837" s="166"/>
    </row>
    <row r="838">
      <c r="A838" s="170"/>
      <c r="B838" s="170"/>
      <c r="C838" s="171"/>
      <c r="D838" s="166"/>
      <c r="E838" s="170"/>
      <c r="F838" s="170"/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  <c r="Y838" s="166"/>
      <c r="Z838" s="166"/>
    </row>
    <row r="839">
      <c r="A839" s="170"/>
      <c r="B839" s="170"/>
      <c r="C839" s="171"/>
      <c r="D839" s="166"/>
      <c r="E839" s="170"/>
      <c r="F839" s="170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  <c r="Z839" s="166"/>
    </row>
    <row r="840">
      <c r="A840" s="170"/>
      <c r="B840" s="170"/>
      <c r="C840" s="171"/>
      <c r="D840" s="166"/>
      <c r="E840" s="170"/>
      <c r="F840" s="170"/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  <c r="Y840" s="166"/>
      <c r="Z840" s="166"/>
    </row>
    <row r="841">
      <c r="A841" s="170"/>
      <c r="B841" s="170"/>
      <c r="C841" s="171"/>
      <c r="D841" s="166"/>
      <c r="E841" s="170"/>
      <c r="F841" s="170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  <c r="Z841" s="166"/>
    </row>
    <row r="842">
      <c r="A842" s="170"/>
      <c r="B842" s="170"/>
      <c r="C842" s="171"/>
      <c r="D842" s="166"/>
      <c r="E842" s="170"/>
      <c r="F842" s="170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  <c r="Y842" s="166"/>
      <c r="Z842" s="166"/>
    </row>
    <row r="843">
      <c r="A843" s="170"/>
      <c r="B843" s="170"/>
      <c r="C843" s="171"/>
      <c r="D843" s="166"/>
      <c r="E843" s="170"/>
      <c r="F843" s="170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  <c r="Z843" s="166"/>
    </row>
    <row r="844">
      <c r="A844" s="170"/>
      <c r="B844" s="170"/>
      <c r="C844" s="171"/>
      <c r="D844" s="166"/>
      <c r="E844" s="170"/>
      <c r="F844" s="170"/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  <c r="Y844" s="166"/>
      <c r="Z844" s="166"/>
    </row>
    <row r="845">
      <c r="A845" s="170"/>
      <c r="B845" s="170"/>
      <c r="C845" s="171"/>
      <c r="D845" s="166"/>
      <c r="E845" s="170"/>
      <c r="F845" s="170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  <c r="Z845" s="166"/>
    </row>
    <row r="846">
      <c r="A846" s="170"/>
      <c r="B846" s="170"/>
      <c r="C846" s="171"/>
      <c r="D846" s="166"/>
      <c r="E846" s="170"/>
      <c r="F846" s="170"/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  <c r="Y846" s="166"/>
      <c r="Z846" s="166"/>
    </row>
    <row r="847">
      <c r="A847" s="170"/>
      <c r="B847" s="170"/>
      <c r="C847" s="171"/>
      <c r="D847" s="166"/>
      <c r="E847" s="170"/>
      <c r="F847" s="170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  <c r="Z847" s="166"/>
    </row>
    <row r="848">
      <c r="A848" s="170"/>
      <c r="B848" s="170"/>
      <c r="C848" s="171"/>
      <c r="D848" s="166"/>
      <c r="E848" s="170"/>
      <c r="F848" s="170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  <c r="Y848" s="166"/>
      <c r="Z848" s="166"/>
    </row>
    <row r="849">
      <c r="A849" s="170"/>
      <c r="B849" s="170"/>
      <c r="C849" s="171"/>
      <c r="D849" s="166"/>
      <c r="E849" s="170"/>
      <c r="F849" s="170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  <c r="Z849" s="166"/>
    </row>
    <row r="850">
      <c r="A850" s="170"/>
      <c r="B850" s="170"/>
      <c r="C850" s="171"/>
      <c r="D850" s="166"/>
      <c r="E850" s="170"/>
      <c r="F850" s="170"/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  <c r="Y850" s="166"/>
      <c r="Z850" s="166"/>
    </row>
    <row r="851">
      <c r="A851" s="170"/>
      <c r="B851" s="170"/>
      <c r="C851" s="171"/>
      <c r="D851" s="166"/>
      <c r="E851" s="170"/>
      <c r="F851" s="170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  <c r="Z851" s="166"/>
    </row>
    <row r="852">
      <c r="A852" s="170"/>
      <c r="B852" s="170"/>
      <c r="C852" s="171"/>
      <c r="D852" s="166"/>
      <c r="E852" s="170"/>
      <c r="F852" s="170"/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  <c r="Y852" s="166"/>
      <c r="Z852" s="166"/>
    </row>
    <row r="853">
      <c r="A853" s="170"/>
      <c r="B853" s="170"/>
      <c r="C853" s="171"/>
      <c r="D853" s="166"/>
      <c r="E853" s="170"/>
      <c r="F853" s="170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  <c r="Z853" s="166"/>
    </row>
    <row r="854">
      <c r="A854" s="170"/>
      <c r="B854" s="170"/>
      <c r="C854" s="171"/>
      <c r="D854" s="166"/>
      <c r="E854" s="170"/>
      <c r="F854" s="170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  <c r="Y854" s="166"/>
      <c r="Z854" s="166"/>
    </row>
    <row r="855">
      <c r="A855" s="170"/>
      <c r="B855" s="170"/>
      <c r="C855" s="171"/>
      <c r="D855" s="166"/>
      <c r="E855" s="170"/>
      <c r="F855" s="170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  <c r="Z855" s="166"/>
    </row>
    <row r="856">
      <c r="A856" s="170"/>
      <c r="B856" s="170"/>
      <c r="C856" s="171"/>
      <c r="D856" s="166"/>
      <c r="E856" s="170"/>
      <c r="F856" s="170"/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  <c r="Y856" s="166"/>
      <c r="Z856" s="166"/>
    </row>
    <row r="857">
      <c r="A857" s="170"/>
      <c r="B857" s="170"/>
      <c r="C857" s="171"/>
      <c r="D857" s="166"/>
      <c r="E857" s="170"/>
      <c r="F857" s="170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  <c r="Z857" s="166"/>
    </row>
    <row r="858">
      <c r="A858" s="170"/>
      <c r="B858" s="170"/>
      <c r="C858" s="171"/>
      <c r="D858" s="166"/>
      <c r="E858" s="170"/>
      <c r="F858" s="170"/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  <c r="Y858" s="166"/>
      <c r="Z858" s="166"/>
    </row>
    <row r="859">
      <c r="A859" s="170"/>
      <c r="B859" s="170"/>
      <c r="C859" s="171"/>
      <c r="D859" s="166"/>
      <c r="E859" s="170"/>
      <c r="F859" s="170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  <c r="Z859" s="166"/>
    </row>
    <row r="860">
      <c r="A860" s="170"/>
      <c r="B860" s="170"/>
      <c r="C860" s="171"/>
      <c r="D860" s="166"/>
      <c r="E860" s="170"/>
      <c r="F860" s="170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  <c r="Y860" s="166"/>
      <c r="Z860" s="166"/>
    </row>
    <row r="861">
      <c r="A861" s="170"/>
      <c r="B861" s="170"/>
      <c r="C861" s="171"/>
      <c r="D861" s="166"/>
      <c r="E861" s="170"/>
      <c r="F861" s="170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  <c r="Z861" s="166"/>
    </row>
    <row r="862">
      <c r="A862" s="170"/>
      <c r="B862" s="170"/>
      <c r="C862" s="171"/>
      <c r="D862" s="166"/>
      <c r="E862" s="170"/>
      <c r="F862" s="170"/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  <c r="Z862" s="166"/>
    </row>
    <row r="863">
      <c r="A863" s="170"/>
      <c r="B863" s="170"/>
      <c r="C863" s="171"/>
      <c r="D863" s="166"/>
      <c r="E863" s="170"/>
      <c r="F863" s="170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  <c r="Y863" s="166"/>
      <c r="Z863" s="166"/>
    </row>
    <row r="864">
      <c r="A864" s="170"/>
      <c r="B864" s="170"/>
      <c r="C864" s="171"/>
      <c r="D864" s="166"/>
      <c r="E864" s="170"/>
      <c r="F864" s="170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  <c r="Z864" s="166"/>
    </row>
    <row r="865">
      <c r="A865" s="170"/>
      <c r="B865" s="170"/>
      <c r="C865" s="171"/>
      <c r="D865" s="166"/>
      <c r="E865" s="170"/>
      <c r="F865" s="170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  <c r="Y865" s="166"/>
      <c r="Z865" s="166"/>
    </row>
    <row r="866">
      <c r="A866" s="170"/>
      <c r="B866" s="170"/>
      <c r="C866" s="171"/>
      <c r="D866" s="166"/>
      <c r="E866" s="170"/>
      <c r="F866" s="170"/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  <c r="Y866" s="166"/>
      <c r="Z866" s="166"/>
    </row>
    <row r="867">
      <c r="A867" s="170"/>
      <c r="B867" s="170"/>
      <c r="C867" s="171"/>
      <c r="D867" s="166"/>
      <c r="E867" s="170"/>
      <c r="F867" s="170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  <c r="Y867" s="166"/>
      <c r="Z867" s="166"/>
    </row>
    <row r="868">
      <c r="A868" s="170"/>
      <c r="B868" s="170"/>
      <c r="C868" s="171"/>
      <c r="D868" s="166"/>
      <c r="E868" s="170"/>
      <c r="F868" s="170"/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  <c r="Z868" s="166"/>
    </row>
    <row r="869">
      <c r="A869" s="170"/>
      <c r="B869" s="170"/>
      <c r="C869" s="171"/>
      <c r="D869" s="166"/>
      <c r="E869" s="170"/>
      <c r="F869" s="170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  <c r="Y869" s="166"/>
      <c r="Z869" s="166"/>
    </row>
    <row r="870">
      <c r="A870" s="170"/>
      <c r="B870" s="170"/>
      <c r="C870" s="171"/>
      <c r="D870" s="166"/>
      <c r="E870" s="170"/>
      <c r="F870" s="170"/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  <c r="Y870" s="166"/>
      <c r="Z870" s="166"/>
    </row>
    <row r="871">
      <c r="A871" s="170"/>
      <c r="B871" s="170"/>
      <c r="C871" s="171"/>
      <c r="D871" s="166"/>
      <c r="E871" s="170"/>
      <c r="F871" s="170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  <c r="Y871" s="166"/>
      <c r="Z871" s="166"/>
    </row>
    <row r="872">
      <c r="A872" s="170"/>
      <c r="B872" s="170"/>
      <c r="C872" s="171"/>
      <c r="D872" s="166"/>
      <c r="E872" s="170"/>
      <c r="F872" s="170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  <c r="Z872" s="166"/>
    </row>
    <row r="873">
      <c r="A873" s="170"/>
      <c r="B873" s="170"/>
      <c r="C873" s="171"/>
      <c r="D873" s="166"/>
      <c r="E873" s="170"/>
      <c r="F873" s="170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  <c r="Y873" s="166"/>
      <c r="Z873" s="166"/>
    </row>
    <row r="874">
      <c r="A874" s="170"/>
      <c r="B874" s="170"/>
      <c r="C874" s="171"/>
      <c r="D874" s="166"/>
      <c r="E874" s="170"/>
      <c r="F874" s="170"/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  <c r="Y874" s="166"/>
      <c r="Z874" s="166"/>
    </row>
    <row r="875">
      <c r="A875" s="170"/>
      <c r="B875" s="170"/>
      <c r="C875" s="171"/>
      <c r="D875" s="166"/>
      <c r="E875" s="170"/>
      <c r="F875" s="170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  <c r="Y875" s="166"/>
      <c r="Z875" s="166"/>
    </row>
    <row r="876">
      <c r="A876" s="170"/>
      <c r="B876" s="170"/>
      <c r="C876" s="171"/>
      <c r="D876" s="166"/>
      <c r="E876" s="170"/>
      <c r="F876" s="170"/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  <c r="Z876" s="166"/>
    </row>
    <row r="877">
      <c r="A877" s="170"/>
      <c r="B877" s="170"/>
      <c r="C877" s="171"/>
      <c r="D877" s="166"/>
      <c r="E877" s="170"/>
      <c r="F877" s="170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  <c r="Y877" s="166"/>
      <c r="Z877" s="166"/>
    </row>
    <row r="878">
      <c r="A878" s="170"/>
      <c r="B878" s="170"/>
      <c r="C878" s="171"/>
      <c r="D878" s="166"/>
      <c r="E878" s="170"/>
      <c r="F878" s="170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  <c r="Z878" s="166"/>
    </row>
    <row r="879">
      <c r="A879" s="170"/>
      <c r="B879" s="170"/>
      <c r="C879" s="171"/>
      <c r="D879" s="166"/>
      <c r="E879" s="170"/>
      <c r="F879" s="170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66"/>
      <c r="Z879" s="166"/>
    </row>
    <row r="880">
      <c r="A880" s="170"/>
      <c r="B880" s="170"/>
      <c r="C880" s="171"/>
      <c r="D880" s="166"/>
      <c r="E880" s="170"/>
      <c r="F880" s="170"/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  <c r="Z880" s="166"/>
    </row>
    <row r="881">
      <c r="A881" s="170"/>
      <c r="B881" s="170"/>
      <c r="C881" s="171"/>
      <c r="D881" s="166"/>
      <c r="E881" s="170"/>
      <c r="F881" s="170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  <c r="Y881" s="166"/>
      <c r="Z881" s="166"/>
    </row>
    <row r="882">
      <c r="A882" s="170"/>
      <c r="B882" s="170"/>
      <c r="C882" s="171"/>
      <c r="D882" s="166"/>
      <c r="E882" s="170"/>
      <c r="F882" s="170"/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  <c r="Z882" s="166"/>
    </row>
    <row r="883">
      <c r="A883" s="170"/>
      <c r="B883" s="170"/>
      <c r="C883" s="171"/>
      <c r="D883" s="166"/>
      <c r="E883" s="170"/>
      <c r="F883" s="170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  <c r="Y883" s="166"/>
      <c r="Z883" s="166"/>
    </row>
    <row r="884">
      <c r="A884" s="170"/>
      <c r="B884" s="170"/>
      <c r="C884" s="171"/>
      <c r="D884" s="166"/>
      <c r="E884" s="170"/>
      <c r="F884" s="170"/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  <c r="Z884" s="166"/>
    </row>
    <row r="885">
      <c r="A885" s="170"/>
      <c r="B885" s="170"/>
      <c r="C885" s="171"/>
      <c r="D885" s="166"/>
      <c r="E885" s="170"/>
      <c r="F885" s="170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  <c r="Y885" s="166"/>
      <c r="Z885" s="166"/>
    </row>
    <row r="886">
      <c r="A886" s="170"/>
      <c r="B886" s="170"/>
      <c r="C886" s="171"/>
      <c r="D886" s="166"/>
      <c r="E886" s="170"/>
      <c r="F886" s="170"/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  <c r="Z886" s="166"/>
    </row>
    <row r="887">
      <c r="A887" s="170"/>
      <c r="B887" s="170"/>
      <c r="C887" s="171"/>
      <c r="D887" s="166"/>
      <c r="E887" s="170"/>
      <c r="F887" s="170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  <c r="Y887" s="166"/>
      <c r="Z887" s="166"/>
    </row>
    <row r="888">
      <c r="A888" s="170"/>
      <c r="B888" s="170"/>
      <c r="C888" s="171"/>
      <c r="D888" s="166"/>
      <c r="E888" s="170"/>
      <c r="F888" s="170"/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/>
      <c r="Z888" s="166"/>
    </row>
    <row r="889">
      <c r="A889" s="170"/>
      <c r="B889" s="170"/>
      <c r="C889" s="171"/>
      <c r="D889" s="166"/>
      <c r="E889" s="170"/>
      <c r="F889" s="170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  <c r="Y889" s="166"/>
      <c r="Z889" s="166"/>
    </row>
    <row r="890">
      <c r="A890" s="170"/>
      <c r="B890" s="170"/>
      <c r="C890" s="171"/>
      <c r="D890" s="166"/>
      <c r="E890" s="170"/>
      <c r="F890" s="170"/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  <c r="Z890" s="166"/>
    </row>
    <row r="891">
      <c r="A891" s="170"/>
      <c r="B891" s="170"/>
      <c r="C891" s="171"/>
      <c r="D891" s="166"/>
      <c r="E891" s="170"/>
      <c r="F891" s="170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  <c r="Y891" s="166"/>
      <c r="Z891" s="166"/>
    </row>
    <row r="892">
      <c r="A892" s="170"/>
      <c r="B892" s="170"/>
      <c r="C892" s="171"/>
      <c r="D892" s="166"/>
      <c r="E892" s="170"/>
      <c r="F892" s="170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  <c r="Y892" s="166"/>
      <c r="Z892" s="166"/>
    </row>
    <row r="893">
      <c r="A893" s="170"/>
      <c r="B893" s="170"/>
      <c r="C893" s="171"/>
      <c r="D893" s="166"/>
      <c r="E893" s="170"/>
      <c r="F893" s="170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  <c r="Y893" s="166"/>
      <c r="Z893" s="166"/>
    </row>
    <row r="894">
      <c r="A894" s="170"/>
      <c r="B894" s="170"/>
      <c r="C894" s="171"/>
      <c r="D894" s="166"/>
      <c r="E894" s="170"/>
      <c r="F894" s="170"/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  <c r="Y894" s="166"/>
      <c r="Z894" s="166"/>
    </row>
    <row r="895">
      <c r="A895" s="170"/>
      <c r="B895" s="170"/>
      <c r="C895" s="171"/>
      <c r="D895" s="166"/>
      <c r="E895" s="170"/>
      <c r="F895" s="170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  <c r="Y895" s="166"/>
      <c r="Z895" s="166"/>
    </row>
    <row r="896">
      <c r="A896" s="170"/>
      <c r="B896" s="170"/>
      <c r="C896" s="171"/>
      <c r="D896" s="166"/>
      <c r="E896" s="170"/>
      <c r="F896" s="170"/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  <c r="Y896" s="166"/>
      <c r="Z896" s="166"/>
    </row>
    <row r="897">
      <c r="A897" s="170"/>
      <c r="B897" s="170"/>
      <c r="C897" s="171"/>
      <c r="D897" s="166"/>
      <c r="E897" s="170"/>
      <c r="F897" s="170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  <c r="Y897" s="166"/>
      <c r="Z897" s="166"/>
    </row>
    <row r="898">
      <c r="A898" s="170"/>
      <c r="B898" s="170"/>
      <c r="C898" s="171"/>
      <c r="D898" s="166"/>
      <c r="E898" s="170"/>
      <c r="F898" s="170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  <c r="Y898" s="166"/>
      <c r="Z898" s="166"/>
    </row>
    <row r="899">
      <c r="A899" s="170"/>
      <c r="B899" s="170"/>
      <c r="C899" s="171"/>
      <c r="D899" s="166"/>
      <c r="E899" s="170"/>
      <c r="F899" s="170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  <c r="Y899" s="166"/>
      <c r="Z899" s="166"/>
    </row>
    <row r="900">
      <c r="A900" s="170"/>
      <c r="B900" s="170"/>
      <c r="C900" s="171"/>
      <c r="D900" s="166"/>
      <c r="E900" s="170"/>
      <c r="F900" s="170"/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  <c r="Y900" s="166"/>
      <c r="Z900" s="166"/>
    </row>
    <row r="901">
      <c r="A901" s="170"/>
      <c r="B901" s="170"/>
      <c r="C901" s="171"/>
      <c r="D901" s="166"/>
      <c r="E901" s="170"/>
      <c r="F901" s="170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  <c r="Y901" s="166"/>
      <c r="Z901" s="166"/>
    </row>
    <row r="902">
      <c r="A902" s="170"/>
      <c r="B902" s="170"/>
      <c r="C902" s="171"/>
      <c r="D902" s="166"/>
      <c r="E902" s="170"/>
      <c r="F902" s="170"/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  <c r="Y902" s="166"/>
      <c r="Z902" s="166"/>
    </row>
    <row r="903">
      <c r="A903" s="170"/>
      <c r="B903" s="170"/>
      <c r="C903" s="171"/>
      <c r="D903" s="166"/>
      <c r="E903" s="170"/>
      <c r="F903" s="170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  <c r="Y903" s="166"/>
      <c r="Z903" s="166"/>
    </row>
    <row r="904">
      <c r="A904" s="170"/>
      <c r="B904" s="170"/>
      <c r="C904" s="171"/>
      <c r="D904" s="166"/>
      <c r="E904" s="170"/>
      <c r="F904" s="170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  <c r="Y904" s="166"/>
      <c r="Z904" s="166"/>
    </row>
    <row r="905">
      <c r="A905" s="170"/>
      <c r="B905" s="170"/>
      <c r="C905" s="171"/>
      <c r="D905" s="166"/>
      <c r="E905" s="170"/>
      <c r="F905" s="170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  <c r="Y905" s="166"/>
      <c r="Z905" s="166"/>
    </row>
    <row r="906">
      <c r="A906" s="170"/>
      <c r="B906" s="170"/>
      <c r="C906" s="171"/>
      <c r="D906" s="166"/>
      <c r="E906" s="170"/>
      <c r="F906" s="170"/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  <c r="Y906" s="166"/>
      <c r="Z906" s="166"/>
    </row>
    <row r="907">
      <c r="A907" s="170"/>
      <c r="B907" s="170"/>
      <c r="C907" s="171"/>
      <c r="D907" s="166"/>
      <c r="E907" s="170"/>
      <c r="F907" s="170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  <c r="Y907" s="166"/>
      <c r="Z907" s="166"/>
    </row>
    <row r="908">
      <c r="A908" s="170"/>
      <c r="B908" s="170"/>
      <c r="C908" s="171"/>
      <c r="D908" s="166"/>
      <c r="E908" s="170"/>
      <c r="F908" s="170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  <c r="Y908" s="166"/>
      <c r="Z908" s="166"/>
    </row>
    <row r="909">
      <c r="A909" s="170"/>
      <c r="B909" s="170"/>
      <c r="C909" s="171"/>
      <c r="D909" s="166"/>
      <c r="E909" s="170"/>
      <c r="F909" s="170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  <c r="Y909" s="166"/>
      <c r="Z909" s="166"/>
    </row>
    <row r="910">
      <c r="A910" s="170"/>
      <c r="B910" s="170"/>
      <c r="C910" s="171"/>
      <c r="D910" s="166"/>
      <c r="E910" s="170"/>
      <c r="F910" s="170"/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  <c r="Y910" s="166"/>
      <c r="Z910" s="166"/>
    </row>
    <row r="911">
      <c r="A911" s="170"/>
      <c r="B911" s="170"/>
      <c r="C911" s="171"/>
      <c r="D911" s="166"/>
      <c r="E911" s="170"/>
      <c r="F911" s="170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  <c r="Y911" s="166"/>
      <c r="Z911" s="166"/>
    </row>
    <row r="912">
      <c r="A912" s="170"/>
      <c r="B912" s="170"/>
      <c r="C912" s="171"/>
      <c r="D912" s="166"/>
      <c r="E912" s="170"/>
      <c r="F912" s="170"/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  <c r="Y912" s="166"/>
      <c r="Z912" s="166"/>
    </row>
    <row r="913">
      <c r="A913" s="170"/>
      <c r="B913" s="170"/>
      <c r="C913" s="171"/>
      <c r="D913" s="166"/>
      <c r="E913" s="170"/>
      <c r="F913" s="170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  <c r="Y913" s="166"/>
      <c r="Z913" s="166"/>
    </row>
    <row r="914">
      <c r="A914" s="170"/>
      <c r="B914" s="170"/>
      <c r="C914" s="171"/>
      <c r="D914" s="166"/>
      <c r="E914" s="170"/>
      <c r="F914" s="170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  <c r="Y914" s="166"/>
      <c r="Z914" s="166"/>
    </row>
    <row r="915">
      <c r="A915" s="170"/>
      <c r="B915" s="170"/>
      <c r="C915" s="171"/>
      <c r="D915" s="166"/>
      <c r="E915" s="170"/>
      <c r="F915" s="170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  <c r="Y915" s="166"/>
      <c r="Z915" s="166"/>
    </row>
    <row r="916">
      <c r="A916" s="170"/>
      <c r="B916" s="170"/>
      <c r="C916" s="171"/>
      <c r="D916" s="166"/>
      <c r="E916" s="170"/>
      <c r="F916" s="170"/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  <c r="Y916" s="166"/>
      <c r="Z916" s="166"/>
    </row>
    <row r="917">
      <c r="A917" s="170"/>
      <c r="B917" s="170"/>
      <c r="C917" s="171"/>
      <c r="D917" s="166"/>
      <c r="E917" s="170"/>
      <c r="F917" s="170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  <c r="Y917" s="166"/>
      <c r="Z917" s="166"/>
    </row>
    <row r="918">
      <c r="A918" s="170"/>
      <c r="B918" s="170"/>
      <c r="C918" s="171"/>
      <c r="D918" s="166"/>
      <c r="E918" s="170"/>
      <c r="F918" s="170"/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  <c r="X918" s="166"/>
      <c r="Y918" s="166"/>
      <c r="Z918" s="166"/>
    </row>
    <row r="919">
      <c r="A919" s="170"/>
      <c r="B919" s="170"/>
      <c r="C919" s="171"/>
      <c r="D919" s="166"/>
      <c r="E919" s="170"/>
      <c r="F919" s="170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  <c r="X919" s="166"/>
      <c r="Y919" s="166"/>
      <c r="Z919" s="166"/>
    </row>
    <row r="920">
      <c r="A920" s="170"/>
      <c r="B920" s="170"/>
      <c r="C920" s="171"/>
      <c r="D920" s="166"/>
      <c r="E920" s="170"/>
      <c r="F920" s="170"/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  <c r="X920" s="166"/>
      <c r="Y920" s="166"/>
      <c r="Z920" s="166"/>
    </row>
    <row r="921">
      <c r="A921" s="170"/>
      <c r="B921" s="170"/>
      <c r="C921" s="171"/>
      <c r="D921" s="166"/>
      <c r="E921" s="170"/>
      <c r="F921" s="170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  <c r="X921" s="166"/>
      <c r="Y921" s="166"/>
      <c r="Z921" s="166"/>
    </row>
    <row r="922">
      <c r="A922" s="170"/>
      <c r="B922" s="170"/>
      <c r="C922" s="171"/>
      <c r="D922" s="166"/>
      <c r="E922" s="170"/>
      <c r="F922" s="170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  <c r="X922" s="166"/>
      <c r="Y922" s="166"/>
      <c r="Z922" s="166"/>
    </row>
    <row r="923">
      <c r="A923" s="170"/>
      <c r="B923" s="170"/>
      <c r="C923" s="171"/>
      <c r="D923" s="166"/>
      <c r="E923" s="170"/>
      <c r="F923" s="170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  <c r="X923" s="166"/>
      <c r="Y923" s="166"/>
      <c r="Z923" s="166"/>
    </row>
    <row r="924">
      <c r="A924" s="170"/>
      <c r="B924" s="170"/>
      <c r="C924" s="171"/>
      <c r="D924" s="166"/>
      <c r="E924" s="170"/>
      <c r="F924" s="170"/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  <c r="X924" s="166"/>
      <c r="Y924" s="166"/>
      <c r="Z924" s="166"/>
    </row>
    <row r="925">
      <c r="A925" s="170"/>
      <c r="B925" s="170"/>
      <c r="C925" s="171"/>
      <c r="D925" s="166"/>
      <c r="E925" s="170"/>
      <c r="F925" s="170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  <c r="X925" s="166"/>
      <c r="Y925" s="166"/>
      <c r="Z925" s="166"/>
    </row>
    <row r="926">
      <c r="A926" s="170"/>
      <c r="B926" s="170"/>
      <c r="C926" s="171"/>
      <c r="D926" s="166"/>
      <c r="E926" s="170"/>
      <c r="F926" s="170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  <c r="X926" s="166"/>
      <c r="Y926" s="166"/>
      <c r="Z926" s="166"/>
    </row>
    <row r="927">
      <c r="A927" s="170"/>
      <c r="B927" s="170"/>
      <c r="C927" s="171"/>
      <c r="D927" s="166"/>
      <c r="E927" s="170"/>
      <c r="F927" s="170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  <c r="X927" s="166"/>
      <c r="Y927" s="166"/>
      <c r="Z927" s="166"/>
    </row>
    <row r="928">
      <c r="A928" s="170"/>
      <c r="B928" s="170"/>
      <c r="C928" s="171"/>
      <c r="D928" s="166"/>
      <c r="E928" s="170"/>
      <c r="F928" s="170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  <c r="X928" s="166"/>
      <c r="Y928" s="166"/>
      <c r="Z928" s="166"/>
    </row>
    <row r="929">
      <c r="A929" s="170"/>
      <c r="B929" s="170"/>
      <c r="C929" s="171"/>
      <c r="D929" s="166"/>
      <c r="E929" s="170"/>
      <c r="F929" s="170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  <c r="X929" s="166"/>
      <c r="Y929" s="166"/>
      <c r="Z929" s="166"/>
    </row>
    <row r="930">
      <c r="A930" s="170"/>
      <c r="B930" s="170"/>
      <c r="C930" s="171"/>
      <c r="D930" s="166"/>
      <c r="E930" s="170"/>
      <c r="F930" s="170"/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  <c r="X930" s="166"/>
      <c r="Y930" s="166"/>
      <c r="Z930" s="166"/>
    </row>
    <row r="931">
      <c r="A931" s="170"/>
      <c r="B931" s="170"/>
      <c r="C931" s="171"/>
      <c r="D931" s="166"/>
      <c r="E931" s="170"/>
      <c r="F931" s="170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  <c r="X931" s="166"/>
      <c r="Y931" s="166"/>
      <c r="Z931" s="166"/>
    </row>
    <row r="932">
      <c r="A932" s="170"/>
      <c r="B932" s="170"/>
      <c r="C932" s="171"/>
      <c r="D932" s="166"/>
      <c r="E932" s="170"/>
      <c r="F932" s="170"/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  <c r="X932" s="166"/>
      <c r="Y932" s="166"/>
      <c r="Z932" s="166"/>
    </row>
    <row r="933">
      <c r="A933" s="170"/>
      <c r="B933" s="170"/>
      <c r="C933" s="171"/>
      <c r="D933" s="166"/>
      <c r="E933" s="170"/>
      <c r="F933" s="170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  <c r="X933" s="166"/>
      <c r="Y933" s="166"/>
      <c r="Z933" s="166"/>
    </row>
    <row r="934">
      <c r="A934" s="170"/>
      <c r="B934" s="170"/>
      <c r="C934" s="171"/>
      <c r="D934" s="166"/>
      <c r="E934" s="170"/>
      <c r="F934" s="170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  <c r="X934" s="166"/>
      <c r="Y934" s="166"/>
      <c r="Z934" s="166"/>
    </row>
    <row r="935">
      <c r="A935" s="170"/>
      <c r="B935" s="170"/>
      <c r="C935" s="171"/>
      <c r="D935" s="166"/>
      <c r="E935" s="170"/>
      <c r="F935" s="170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  <c r="X935" s="166"/>
      <c r="Y935" s="166"/>
      <c r="Z935" s="166"/>
    </row>
    <row r="936">
      <c r="A936" s="170"/>
      <c r="B936" s="170"/>
      <c r="C936" s="171"/>
      <c r="D936" s="166"/>
      <c r="E936" s="170"/>
      <c r="F936" s="170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  <c r="X936" s="166"/>
      <c r="Y936" s="166"/>
      <c r="Z936" s="166"/>
    </row>
    <row r="937">
      <c r="A937" s="170"/>
      <c r="B937" s="170"/>
      <c r="C937" s="171"/>
      <c r="D937" s="166"/>
      <c r="E937" s="170"/>
      <c r="F937" s="170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  <c r="X937" s="166"/>
      <c r="Y937" s="166"/>
      <c r="Z937" s="166"/>
    </row>
    <row r="938">
      <c r="A938" s="170"/>
      <c r="B938" s="170"/>
      <c r="C938" s="171"/>
      <c r="D938" s="166"/>
      <c r="E938" s="170"/>
      <c r="F938" s="170"/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  <c r="X938" s="166"/>
      <c r="Y938" s="166"/>
      <c r="Z938" s="166"/>
    </row>
    <row r="939">
      <c r="A939" s="170"/>
      <c r="B939" s="170"/>
      <c r="C939" s="171"/>
      <c r="D939" s="166"/>
      <c r="E939" s="170"/>
      <c r="F939" s="170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  <c r="X939" s="166"/>
      <c r="Y939" s="166"/>
      <c r="Z939" s="166"/>
    </row>
    <row r="940">
      <c r="A940" s="170"/>
      <c r="B940" s="170"/>
      <c r="C940" s="171"/>
      <c r="D940" s="166"/>
      <c r="E940" s="170"/>
      <c r="F940" s="170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  <c r="X940" s="166"/>
      <c r="Y940" s="166"/>
      <c r="Z940" s="166"/>
    </row>
    <row r="941">
      <c r="A941" s="170"/>
      <c r="B941" s="170"/>
      <c r="C941" s="171"/>
      <c r="D941" s="166"/>
      <c r="E941" s="170"/>
      <c r="F941" s="170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  <c r="X941" s="166"/>
      <c r="Y941" s="166"/>
      <c r="Z941" s="166"/>
    </row>
    <row r="942">
      <c r="A942" s="170"/>
      <c r="B942" s="170"/>
      <c r="C942" s="171"/>
      <c r="D942" s="166"/>
      <c r="E942" s="170"/>
      <c r="F942" s="170"/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  <c r="X942" s="166"/>
      <c r="Y942" s="166"/>
      <c r="Z942" s="166"/>
    </row>
    <row r="943">
      <c r="A943" s="170"/>
      <c r="B943" s="170"/>
      <c r="C943" s="171"/>
      <c r="D943" s="166"/>
      <c r="E943" s="170"/>
      <c r="F943" s="170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  <c r="X943" s="166"/>
      <c r="Y943" s="166"/>
      <c r="Z943" s="166"/>
    </row>
    <row r="944">
      <c r="A944" s="170"/>
      <c r="B944" s="170"/>
      <c r="C944" s="171"/>
      <c r="D944" s="166"/>
      <c r="E944" s="170"/>
      <c r="F944" s="170"/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  <c r="X944" s="166"/>
      <c r="Y944" s="166"/>
      <c r="Z944" s="166"/>
    </row>
    <row r="945">
      <c r="A945" s="170"/>
      <c r="B945" s="170"/>
      <c r="C945" s="171"/>
      <c r="D945" s="166"/>
      <c r="E945" s="170"/>
      <c r="F945" s="170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  <c r="X945" s="166"/>
      <c r="Y945" s="166"/>
      <c r="Z945" s="166"/>
    </row>
    <row r="946">
      <c r="A946" s="170"/>
      <c r="B946" s="170"/>
      <c r="C946" s="171"/>
      <c r="D946" s="166"/>
      <c r="E946" s="170"/>
      <c r="F946" s="170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  <c r="X946" s="166"/>
      <c r="Y946" s="166"/>
      <c r="Z946" s="166"/>
    </row>
    <row r="947">
      <c r="A947" s="170"/>
      <c r="B947" s="170"/>
      <c r="C947" s="171"/>
      <c r="D947" s="166"/>
      <c r="E947" s="170"/>
      <c r="F947" s="170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  <c r="X947" s="166"/>
      <c r="Y947" s="166"/>
      <c r="Z947" s="166"/>
    </row>
    <row r="948">
      <c r="A948" s="170"/>
      <c r="B948" s="170"/>
      <c r="C948" s="171"/>
      <c r="D948" s="166"/>
      <c r="E948" s="170"/>
      <c r="F948" s="170"/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  <c r="X948" s="166"/>
      <c r="Y948" s="166"/>
      <c r="Z948" s="166"/>
    </row>
    <row r="949">
      <c r="A949" s="170"/>
      <c r="B949" s="170"/>
      <c r="C949" s="171"/>
      <c r="D949" s="166"/>
      <c r="E949" s="170"/>
      <c r="F949" s="170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  <c r="X949" s="166"/>
      <c r="Y949" s="166"/>
      <c r="Z949" s="166"/>
    </row>
    <row r="950">
      <c r="A950" s="170"/>
      <c r="B950" s="170"/>
      <c r="C950" s="171"/>
      <c r="D950" s="166"/>
      <c r="E950" s="170"/>
      <c r="F950" s="170"/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  <c r="X950" s="166"/>
      <c r="Y950" s="166"/>
      <c r="Z950" s="166"/>
    </row>
    <row r="951">
      <c r="A951" s="170"/>
      <c r="B951" s="170"/>
      <c r="C951" s="171"/>
      <c r="D951" s="166"/>
      <c r="E951" s="170"/>
      <c r="F951" s="170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  <c r="X951" s="166"/>
      <c r="Y951" s="166"/>
      <c r="Z951" s="166"/>
    </row>
    <row r="952">
      <c r="A952" s="170"/>
      <c r="B952" s="170"/>
      <c r="C952" s="171"/>
      <c r="D952" s="166"/>
      <c r="E952" s="170"/>
      <c r="F952" s="170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  <c r="X952" s="166"/>
      <c r="Y952" s="166"/>
      <c r="Z952" s="166"/>
    </row>
    <row r="953">
      <c r="A953" s="170"/>
      <c r="B953" s="170"/>
      <c r="C953" s="171"/>
      <c r="D953" s="166"/>
      <c r="E953" s="170"/>
      <c r="F953" s="170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  <c r="X953" s="166"/>
      <c r="Y953" s="166"/>
      <c r="Z953" s="166"/>
    </row>
    <row r="954">
      <c r="A954" s="170"/>
      <c r="B954" s="170"/>
      <c r="C954" s="171"/>
      <c r="D954" s="166"/>
      <c r="E954" s="170"/>
      <c r="F954" s="170"/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  <c r="X954" s="166"/>
      <c r="Y954" s="166"/>
      <c r="Z954" s="166"/>
    </row>
    <row r="955">
      <c r="A955" s="170"/>
      <c r="B955" s="170"/>
      <c r="C955" s="171"/>
      <c r="D955" s="166"/>
      <c r="E955" s="170"/>
      <c r="F955" s="170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  <c r="W955" s="166"/>
      <c r="X955" s="166"/>
      <c r="Y955" s="166"/>
      <c r="Z955" s="166"/>
    </row>
    <row r="956">
      <c r="A956" s="170"/>
      <c r="B956" s="170"/>
      <c r="C956" s="171"/>
      <c r="D956" s="166"/>
      <c r="E956" s="170"/>
      <c r="F956" s="170"/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  <c r="V956" s="166"/>
      <c r="W956" s="166"/>
      <c r="X956" s="166"/>
      <c r="Y956" s="166"/>
      <c r="Z956" s="166"/>
    </row>
    <row r="957">
      <c r="A957" s="170"/>
      <c r="B957" s="170"/>
      <c r="C957" s="171"/>
      <c r="D957" s="166"/>
      <c r="E957" s="170"/>
      <c r="F957" s="170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  <c r="V957" s="166"/>
      <c r="W957" s="166"/>
      <c r="X957" s="166"/>
      <c r="Y957" s="166"/>
      <c r="Z957" s="166"/>
    </row>
    <row r="958">
      <c r="A958" s="170"/>
      <c r="B958" s="170"/>
      <c r="C958" s="171"/>
      <c r="D958" s="166"/>
      <c r="E958" s="170"/>
      <c r="F958" s="170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  <c r="V958" s="166"/>
      <c r="W958" s="166"/>
      <c r="X958" s="166"/>
      <c r="Y958" s="166"/>
      <c r="Z958" s="166"/>
    </row>
    <row r="959">
      <c r="A959" s="170"/>
      <c r="B959" s="170"/>
      <c r="C959" s="171"/>
      <c r="D959" s="166"/>
      <c r="E959" s="170"/>
      <c r="F959" s="170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  <c r="V959" s="166"/>
      <c r="W959" s="166"/>
      <c r="X959" s="166"/>
      <c r="Y959" s="166"/>
      <c r="Z959" s="166"/>
    </row>
    <row r="960">
      <c r="A960" s="170"/>
      <c r="B960" s="170"/>
      <c r="C960" s="171"/>
      <c r="D960" s="166"/>
      <c r="E960" s="170"/>
      <c r="F960" s="170"/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  <c r="V960" s="166"/>
      <c r="W960" s="166"/>
      <c r="X960" s="166"/>
      <c r="Y960" s="166"/>
      <c r="Z960" s="166"/>
    </row>
    <row r="961">
      <c r="A961" s="170"/>
      <c r="B961" s="170"/>
      <c r="C961" s="171"/>
      <c r="D961" s="166"/>
      <c r="E961" s="170"/>
      <c r="F961" s="170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  <c r="V961" s="166"/>
      <c r="W961" s="166"/>
      <c r="X961" s="166"/>
      <c r="Y961" s="166"/>
      <c r="Z961" s="166"/>
    </row>
    <row r="962">
      <c r="A962" s="170"/>
      <c r="B962" s="170"/>
      <c r="C962" s="171"/>
      <c r="D962" s="166"/>
      <c r="E962" s="170"/>
      <c r="F962" s="170"/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  <c r="V962" s="166"/>
      <c r="W962" s="166"/>
      <c r="X962" s="166"/>
      <c r="Y962" s="166"/>
      <c r="Z962" s="166"/>
    </row>
    <row r="963">
      <c r="A963" s="170"/>
      <c r="B963" s="170"/>
      <c r="C963" s="171"/>
      <c r="D963" s="166"/>
      <c r="E963" s="170"/>
      <c r="F963" s="170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  <c r="V963" s="166"/>
      <c r="W963" s="166"/>
      <c r="X963" s="166"/>
      <c r="Y963" s="166"/>
      <c r="Z963" s="166"/>
    </row>
    <row r="964">
      <c r="A964" s="170"/>
      <c r="B964" s="170"/>
      <c r="C964" s="171"/>
      <c r="D964" s="166"/>
      <c r="E964" s="170"/>
      <c r="F964" s="170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  <c r="V964" s="166"/>
      <c r="W964" s="166"/>
      <c r="X964" s="166"/>
      <c r="Y964" s="166"/>
      <c r="Z964" s="166"/>
    </row>
    <row r="965">
      <c r="A965" s="170"/>
      <c r="B965" s="170"/>
      <c r="C965" s="171"/>
      <c r="D965" s="166"/>
      <c r="E965" s="170"/>
      <c r="F965" s="170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  <c r="V965" s="166"/>
      <c r="W965" s="166"/>
      <c r="X965" s="166"/>
      <c r="Y965" s="166"/>
      <c r="Z965" s="166"/>
    </row>
    <row r="966">
      <c r="A966" s="170"/>
      <c r="B966" s="170"/>
      <c r="C966" s="171"/>
      <c r="D966" s="166"/>
      <c r="E966" s="170"/>
      <c r="F966" s="170"/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  <c r="V966" s="166"/>
      <c r="W966" s="166"/>
      <c r="X966" s="166"/>
      <c r="Y966" s="166"/>
      <c r="Z966" s="166"/>
    </row>
    <row r="967">
      <c r="A967" s="170"/>
      <c r="B967" s="170"/>
      <c r="C967" s="171"/>
      <c r="D967" s="166"/>
      <c r="E967" s="170"/>
      <c r="F967" s="170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  <c r="V967" s="166"/>
      <c r="W967" s="166"/>
      <c r="X967" s="166"/>
      <c r="Y967" s="166"/>
      <c r="Z967" s="166"/>
    </row>
    <row r="968">
      <c r="A968" s="170"/>
      <c r="B968" s="170"/>
      <c r="C968" s="171"/>
      <c r="D968" s="166"/>
      <c r="E968" s="170"/>
      <c r="F968" s="170"/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  <c r="V968" s="166"/>
      <c r="W968" s="166"/>
      <c r="X968" s="166"/>
      <c r="Y968" s="166"/>
      <c r="Z968" s="166"/>
    </row>
    <row r="969">
      <c r="A969" s="170"/>
      <c r="B969" s="170"/>
      <c r="C969" s="171"/>
      <c r="D969" s="166"/>
      <c r="E969" s="170"/>
      <c r="F969" s="170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  <c r="V969" s="166"/>
      <c r="W969" s="166"/>
      <c r="X969" s="166"/>
      <c r="Y969" s="166"/>
      <c r="Z969" s="166"/>
    </row>
    <row r="970">
      <c r="A970" s="170"/>
      <c r="B970" s="170"/>
      <c r="C970" s="171"/>
      <c r="D970" s="166"/>
      <c r="E970" s="170"/>
      <c r="F970" s="170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  <c r="V970" s="166"/>
      <c r="W970" s="166"/>
      <c r="X970" s="166"/>
      <c r="Y970" s="166"/>
      <c r="Z970" s="166"/>
    </row>
    <row r="971">
      <c r="A971" s="170"/>
      <c r="B971" s="170"/>
      <c r="C971" s="171"/>
      <c r="D971" s="166"/>
      <c r="E971" s="170"/>
      <c r="F971" s="170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  <c r="V971" s="166"/>
      <c r="W971" s="166"/>
      <c r="X971" s="166"/>
      <c r="Y971" s="166"/>
      <c r="Z971" s="166"/>
    </row>
    <row r="972">
      <c r="A972" s="170"/>
      <c r="B972" s="170"/>
      <c r="C972" s="171"/>
      <c r="D972" s="166"/>
      <c r="E972" s="170"/>
      <c r="F972" s="170"/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  <c r="V972" s="166"/>
      <c r="W972" s="166"/>
      <c r="X972" s="166"/>
      <c r="Y972" s="166"/>
      <c r="Z972" s="166"/>
    </row>
    <row r="973">
      <c r="A973" s="170"/>
      <c r="B973" s="170"/>
      <c r="C973" s="171"/>
      <c r="D973" s="166"/>
      <c r="E973" s="170"/>
      <c r="F973" s="170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  <c r="V973" s="166"/>
      <c r="W973" s="166"/>
      <c r="X973" s="166"/>
      <c r="Y973" s="166"/>
      <c r="Z973" s="166"/>
    </row>
    <row r="974">
      <c r="A974" s="170"/>
      <c r="B974" s="170"/>
      <c r="C974" s="171"/>
      <c r="D974" s="166"/>
      <c r="E974" s="170"/>
      <c r="F974" s="170"/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  <c r="V974" s="166"/>
      <c r="W974" s="166"/>
      <c r="X974" s="166"/>
      <c r="Y974" s="166"/>
      <c r="Z974" s="166"/>
    </row>
    <row r="975">
      <c r="A975" s="170"/>
      <c r="B975" s="170"/>
      <c r="C975" s="171"/>
      <c r="D975" s="166"/>
      <c r="E975" s="170"/>
      <c r="F975" s="170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  <c r="V975" s="166"/>
      <c r="W975" s="166"/>
      <c r="X975" s="166"/>
      <c r="Y975" s="166"/>
      <c r="Z975" s="166"/>
    </row>
    <row r="976">
      <c r="A976" s="170"/>
      <c r="B976" s="170"/>
      <c r="C976" s="171"/>
      <c r="D976" s="166"/>
      <c r="E976" s="170"/>
      <c r="F976" s="170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  <c r="R976" s="166"/>
      <c r="S976" s="166"/>
      <c r="T976" s="166"/>
      <c r="U976" s="166"/>
      <c r="V976" s="166"/>
      <c r="W976" s="166"/>
      <c r="X976" s="166"/>
      <c r="Y976" s="166"/>
      <c r="Z976" s="166"/>
    </row>
    <row r="977">
      <c r="A977" s="170"/>
      <c r="B977" s="170"/>
      <c r="C977" s="171"/>
      <c r="D977" s="166"/>
      <c r="E977" s="170"/>
      <c r="F977" s="170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  <c r="T977" s="166"/>
      <c r="U977" s="166"/>
      <c r="V977" s="166"/>
      <c r="W977" s="166"/>
      <c r="X977" s="166"/>
      <c r="Y977" s="166"/>
      <c r="Z977" s="166"/>
    </row>
    <row r="978">
      <c r="A978" s="170"/>
      <c r="B978" s="170"/>
      <c r="C978" s="171"/>
      <c r="D978" s="166"/>
      <c r="E978" s="170"/>
      <c r="F978" s="170"/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  <c r="R978" s="166"/>
      <c r="S978" s="166"/>
      <c r="T978" s="166"/>
      <c r="U978" s="166"/>
      <c r="V978" s="166"/>
      <c r="W978" s="166"/>
      <c r="X978" s="166"/>
      <c r="Y978" s="166"/>
      <c r="Z978" s="166"/>
    </row>
    <row r="979">
      <c r="A979" s="170"/>
      <c r="B979" s="170"/>
      <c r="C979" s="171"/>
      <c r="D979" s="166"/>
      <c r="E979" s="170"/>
      <c r="F979" s="170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  <c r="T979" s="166"/>
      <c r="U979" s="166"/>
      <c r="V979" s="166"/>
      <c r="W979" s="166"/>
      <c r="X979" s="166"/>
      <c r="Y979" s="166"/>
      <c r="Z979" s="166"/>
    </row>
    <row r="980">
      <c r="A980" s="170"/>
      <c r="B980" s="170"/>
      <c r="C980" s="171"/>
      <c r="D980" s="166"/>
      <c r="E980" s="170"/>
      <c r="F980" s="170"/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  <c r="R980" s="166"/>
      <c r="S980" s="166"/>
      <c r="T980" s="166"/>
      <c r="U980" s="166"/>
      <c r="V980" s="166"/>
      <c r="W980" s="166"/>
      <c r="X980" s="166"/>
      <c r="Y980" s="166"/>
      <c r="Z980" s="166"/>
    </row>
    <row r="981">
      <c r="A981" s="170"/>
      <c r="B981" s="170"/>
      <c r="C981" s="171"/>
      <c r="D981" s="166"/>
      <c r="E981" s="170"/>
      <c r="F981" s="170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  <c r="T981" s="166"/>
      <c r="U981" s="166"/>
      <c r="V981" s="166"/>
      <c r="W981" s="166"/>
      <c r="X981" s="166"/>
      <c r="Y981" s="166"/>
      <c r="Z981" s="166"/>
    </row>
    <row r="982">
      <c r="A982" s="170"/>
      <c r="B982" s="170"/>
      <c r="C982" s="171"/>
      <c r="D982" s="166"/>
      <c r="E982" s="170"/>
      <c r="F982" s="170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  <c r="R982" s="166"/>
      <c r="S982" s="166"/>
      <c r="T982" s="166"/>
      <c r="U982" s="166"/>
      <c r="V982" s="166"/>
      <c r="W982" s="166"/>
      <c r="X982" s="166"/>
      <c r="Y982" s="166"/>
      <c r="Z982" s="166"/>
    </row>
    <row r="983">
      <c r="A983" s="170"/>
      <c r="B983" s="170"/>
      <c r="C983" s="171"/>
      <c r="D983" s="166"/>
      <c r="E983" s="170"/>
      <c r="F983" s="170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  <c r="T983" s="166"/>
      <c r="U983" s="166"/>
      <c r="V983" s="166"/>
      <c r="W983" s="166"/>
      <c r="X983" s="166"/>
      <c r="Y983" s="166"/>
      <c r="Z983" s="166"/>
    </row>
    <row r="984">
      <c r="A984" s="170"/>
      <c r="B984" s="170"/>
      <c r="C984" s="171"/>
      <c r="D984" s="166"/>
      <c r="E984" s="170"/>
      <c r="F984" s="170"/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  <c r="R984" s="166"/>
      <c r="S984" s="166"/>
      <c r="T984" s="166"/>
      <c r="U984" s="166"/>
      <c r="V984" s="166"/>
      <c r="W984" s="166"/>
      <c r="X984" s="166"/>
      <c r="Y984" s="166"/>
      <c r="Z984" s="166"/>
    </row>
    <row r="985">
      <c r="A985" s="170"/>
      <c r="B985" s="170"/>
      <c r="C985" s="171"/>
      <c r="D985" s="166"/>
      <c r="E985" s="170"/>
      <c r="F985" s="170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  <c r="R985" s="166"/>
      <c r="S985" s="166"/>
      <c r="T985" s="166"/>
      <c r="U985" s="166"/>
      <c r="V985" s="166"/>
      <c r="W985" s="166"/>
      <c r="X985" s="166"/>
      <c r="Y985" s="166"/>
      <c r="Z985" s="166"/>
    </row>
    <row r="986">
      <c r="A986" s="170"/>
      <c r="B986" s="170"/>
      <c r="C986" s="171"/>
      <c r="D986" s="166"/>
      <c r="E986" s="170"/>
      <c r="F986" s="170"/>
      <c r="G986" s="166"/>
      <c r="H986" s="166"/>
      <c r="I986" s="166"/>
      <c r="J986" s="166"/>
      <c r="K986" s="166"/>
      <c r="L986" s="166"/>
      <c r="M986" s="166"/>
      <c r="N986" s="166"/>
      <c r="O986" s="166"/>
      <c r="P986" s="166"/>
      <c r="Q986" s="166"/>
      <c r="R986" s="166"/>
      <c r="S986" s="166"/>
      <c r="T986" s="166"/>
      <c r="U986" s="166"/>
      <c r="V986" s="166"/>
      <c r="W986" s="166"/>
      <c r="X986" s="166"/>
      <c r="Y986" s="166"/>
      <c r="Z986" s="166"/>
    </row>
    <row r="987">
      <c r="A987" s="170"/>
      <c r="B987" s="170"/>
      <c r="C987" s="171"/>
      <c r="D987" s="166"/>
      <c r="E987" s="170"/>
      <c r="F987" s="170"/>
      <c r="G987" s="166"/>
      <c r="H987" s="166"/>
      <c r="I987" s="166"/>
      <c r="J987" s="166"/>
      <c r="K987" s="166"/>
      <c r="L987" s="166"/>
      <c r="M987" s="166"/>
      <c r="N987" s="166"/>
      <c r="O987" s="166"/>
      <c r="P987" s="166"/>
      <c r="Q987" s="166"/>
      <c r="R987" s="166"/>
      <c r="S987" s="166"/>
      <c r="T987" s="166"/>
      <c r="U987" s="166"/>
      <c r="V987" s="166"/>
      <c r="W987" s="166"/>
      <c r="X987" s="166"/>
      <c r="Y987" s="166"/>
      <c r="Z987" s="166"/>
    </row>
    <row r="988">
      <c r="A988" s="170"/>
      <c r="B988" s="170"/>
      <c r="C988" s="171"/>
      <c r="D988" s="166"/>
      <c r="E988" s="170"/>
      <c r="F988" s="170"/>
      <c r="G988" s="166"/>
      <c r="H988" s="166"/>
      <c r="I988" s="166"/>
      <c r="J988" s="166"/>
      <c r="K988" s="166"/>
      <c r="L988" s="166"/>
      <c r="M988" s="166"/>
      <c r="N988" s="166"/>
      <c r="O988" s="166"/>
      <c r="P988" s="166"/>
      <c r="Q988" s="166"/>
      <c r="R988" s="166"/>
      <c r="S988" s="166"/>
      <c r="T988" s="166"/>
      <c r="U988" s="166"/>
      <c r="V988" s="166"/>
      <c r="W988" s="166"/>
      <c r="X988" s="166"/>
      <c r="Y988" s="166"/>
      <c r="Z988" s="166"/>
    </row>
    <row r="989">
      <c r="A989" s="170"/>
      <c r="B989" s="170"/>
      <c r="C989" s="171"/>
      <c r="D989" s="166"/>
      <c r="E989" s="170"/>
      <c r="F989" s="170"/>
      <c r="G989" s="166"/>
      <c r="H989" s="166"/>
      <c r="I989" s="166"/>
      <c r="J989" s="166"/>
      <c r="K989" s="166"/>
      <c r="L989" s="166"/>
      <c r="M989" s="166"/>
      <c r="N989" s="166"/>
      <c r="O989" s="166"/>
      <c r="P989" s="166"/>
      <c r="Q989" s="166"/>
      <c r="R989" s="166"/>
      <c r="S989" s="166"/>
      <c r="T989" s="166"/>
      <c r="U989" s="166"/>
      <c r="V989" s="166"/>
      <c r="W989" s="166"/>
      <c r="X989" s="166"/>
      <c r="Y989" s="166"/>
      <c r="Z989" s="166"/>
    </row>
    <row r="990">
      <c r="A990" s="170"/>
      <c r="B990" s="170"/>
      <c r="C990" s="171"/>
      <c r="D990" s="166"/>
      <c r="E990" s="170"/>
      <c r="F990" s="170"/>
      <c r="G990" s="166"/>
      <c r="H990" s="166"/>
      <c r="I990" s="166"/>
      <c r="J990" s="166"/>
      <c r="K990" s="166"/>
      <c r="L990" s="166"/>
      <c r="M990" s="166"/>
      <c r="N990" s="166"/>
      <c r="O990" s="166"/>
      <c r="P990" s="166"/>
      <c r="Q990" s="166"/>
      <c r="R990" s="166"/>
      <c r="S990" s="166"/>
      <c r="T990" s="166"/>
      <c r="U990" s="166"/>
      <c r="V990" s="166"/>
      <c r="W990" s="166"/>
      <c r="X990" s="166"/>
      <c r="Y990" s="166"/>
      <c r="Z990" s="166"/>
    </row>
    <row r="991">
      <c r="A991" s="170"/>
      <c r="B991" s="170"/>
      <c r="C991" s="171"/>
      <c r="D991" s="166"/>
      <c r="E991" s="170"/>
      <c r="F991" s="170"/>
      <c r="G991" s="166"/>
      <c r="H991" s="166"/>
      <c r="I991" s="166"/>
      <c r="J991" s="166"/>
      <c r="K991" s="166"/>
      <c r="L991" s="166"/>
      <c r="M991" s="166"/>
      <c r="N991" s="166"/>
      <c r="O991" s="166"/>
      <c r="P991" s="166"/>
      <c r="Q991" s="166"/>
      <c r="R991" s="166"/>
      <c r="S991" s="166"/>
      <c r="T991" s="166"/>
      <c r="U991" s="166"/>
      <c r="V991" s="166"/>
      <c r="W991" s="166"/>
      <c r="X991" s="166"/>
      <c r="Y991" s="166"/>
      <c r="Z991" s="166"/>
    </row>
    <row r="992">
      <c r="A992" s="170"/>
      <c r="B992" s="170"/>
      <c r="C992" s="171"/>
      <c r="D992" s="166"/>
      <c r="E992" s="170"/>
      <c r="F992" s="170"/>
      <c r="G992" s="166"/>
      <c r="H992" s="166"/>
      <c r="I992" s="166"/>
      <c r="J992" s="166"/>
      <c r="K992" s="166"/>
      <c r="L992" s="166"/>
      <c r="M992" s="166"/>
      <c r="N992" s="166"/>
      <c r="O992" s="166"/>
      <c r="P992" s="166"/>
      <c r="Q992" s="166"/>
      <c r="R992" s="166"/>
      <c r="S992" s="166"/>
      <c r="T992" s="166"/>
      <c r="U992" s="166"/>
      <c r="V992" s="166"/>
      <c r="W992" s="166"/>
      <c r="X992" s="166"/>
      <c r="Y992" s="166"/>
      <c r="Z992" s="166"/>
    </row>
    <row r="993">
      <c r="A993" s="170"/>
      <c r="B993" s="170"/>
      <c r="C993" s="171"/>
      <c r="D993" s="166"/>
      <c r="E993" s="170"/>
      <c r="F993" s="170"/>
      <c r="G993" s="166"/>
      <c r="H993" s="166"/>
      <c r="I993" s="166"/>
      <c r="J993" s="166"/>
      <c r="K993" s="166"/>
      <c r="L993" s="166"/>
      <c r="M993" s="166"/>
      <c r="N993" s="166"/>
      <c r="O993" s="166"/>
      <c r="P993" s="166"/>
      <c r="Q993" s="166"/>
      <c r="R993" s="166"/>
      <c r="S993" s="166"/>
      <c r="T993" s="166"/>
      <c r="U993" s="166"/>
      <c r="V993" s="166"/>
      <c r="W993" s="166"/>
      <c r="X993" s="166"/>
      <c r="Y993" s="166"/>
      <c r="Z993" s="166"/>
    </row>
    <row r="994">
      <c r="A994" s="170"/>
      <c r="B994" s="170"/>
      <c r="C994" s="171"/>
      <c r="D994" s="166"/>
      <c r="E994" s="170"/>
      <c r="F994" s="170"/>
      <c r="G994" s="166"/>
      <c r="H994" s="166"/>
      <c r="I994" s="166"/>
      <c r="J994" s="166"/>
      <c r="K994" s="166"/>
      <c r="L994" s="166"/>
      <c r="M994" s="166"/>
      <c r="N994" s="166"/>
      <c r="O994" s="166"/>
      <c r="P994" s="166"/>
      <c r="Q994" s="166"/>
      <c r="R994" s="166"/>
      <c r="S994" s="166"/>
      <c r="T994" s="166"/>
      <c r="U994" s="166"/>
      <c r="V994" s="166"/>
      <c r="W994" s="166"/>
      <c r="X994" s="166"/>
      <c r="Y994" s="166"/>
      <c r="Z994" s="166"/>
    </row>
    <row r="995">
      <c r="A995" s="170"/>
      <c r="B995" s="170"/>
      <c r="C995" s="171"/>
      <c r="D995" s="166"/>
      <c r="E995" s="170"/>
      <c r="F995" s="170"/>
      <c r="G995" s="166"/>
      <c r="H995" s="166"/>
      <c r="I995" s="166"/>
      <c r="J995" s="166"/>
      <c r="K995" s="166"/>
      <c r="L995" s="166"/>
      <c r="M995" s="166"/>
      <c r="N995" s="166"/>
      <c r="O995" s="166"/>
      <c r="P995" s="166"/>
      <c r="Q995" s="166"/>
      <c r="R995" s="166"/>
      <c r="S995" s="166"/>
      <c r="T995" s="166"/>
      <c r="U995" s="166"/>
      <c r="V995" s="166"/>
      <c r="W995" s="166"/>
      <c r="X995" s="166"/>
      <c r="Y995" s="166"/>
      <c r="Z995" s="166"/>
    </row>
    <row r="996">
      <c r="A996" s="170"/>
      <c r="B996" s="170"/>
      <c r="C996" s="171"/>
      <c r="D996" s="166"/>
      <c r="E996" s="170"/>
      <c r="F996" s="170"/>
      <c r="G996" s="166"/>
      <c r="H996" s="166"/>
      <c r="I996" s="166"/>
      <c r="J996" s="166"/>
      <c r="K996" s="166"/>
      <c r="L996" s="166"/>
      <c r="M996" s="166"/>
      <c r="N996" s="166"/>
      <c r="O996" s="166"/>
      <c r="P996" s="166"/>
      <c r="Q996" s="166"/>
      <c r="R996" s="166"/>
      <c r="S996" s="166"/>
      <c r="T996" s="166"/>
      <c r="U996" s="166"/>
      <c r="V996" s="166"/>
      <c r="W996" s="166"/>
      <c r="X996" s="166"/>
      <c r="Y996" s="166"/>
      <c r="Z996" s="166"/>
    </row>
    <row r="997">
      <c r="A997" s="170"/>
      <c r="B997" s="170"/>
      <c r="C997" s="171"/>
      <c r="D997" s="166"/>
      <c r="E997" s="170"/>
      <c r="F997" s="170"/>
      <c r="G997" s="166"/>
      <c r="H997" s="166"/>
      <c r="I997" s="166"/>
      <c r="J997" s="166"/>
      <c r="K997" s="166"/>
      <c r="L997" s="166"/>
      <c r="M997" s="166"/>
      <c r="N997" s="166"/>
      <c r="O997" s="166"/>
      <c r="P997" s="166"/>
      <c r="Q997" s="166"/>
      <c r="R997" s="166"/>
      <c r="S997" s="166"/>
      <c r="T997" s="166"/>
      <c r="U997" s="166"/>
      <c r="V997" s="166"/>
      <c r="W997" s="166"/>
      <c r="X997" s="166"/>
      <c r="Y997" s="166"/>
      <c r="Z997" s="166"/>
    </row>
    <row r="998">
      <c r="A998" s="170"/>
      <c r="B998" s="170"/>
      <c r="C998" s="171"/>
      <c r="D998" s="166"/>
      <c r="E998" s="170"/>
      <c r="F998" s="170"/>
      <c r="G998" s="166"/>
      <c r="H998" s="166"/>
      <c r="I998" s="166"/>
      <c r="J998" s="166"/>
      <c r="K998" s="166"/>
      <c r="L998" s="166"/>
      <c r="M998" s="166"/>
      <c r="N998" s="166"/>
      <c r="O998" s="166"/>
      <c r="P998" s="166"/>
      <c r="Q998" s="166"/>
      <c r="R998" s="166"/>
      <c r="S998" s="166"/>
      <c r="T998" s="166"/>
      <c r="U998" s="166"/>
      <c r="V998" s="166"/>
      <c r="W998" s="166"/>
      <c r="X998" s="166"/>
      <c r="Y998" s="166"/>
      <c r="Z998" s="166"/>
    </row>
    <row r="999">
      <c r="A999" s="170"/>
      <c r="B999" s="170"/>
      <c r="C999" s="171"/>
      <c r="D999" s="166"/>
      <c r="E999" s="170"/>
      <c r="F999" s="170"/>
      <c r="G999" s="166"/>
      <c r="H999" s="166"/>
      <c r="I999" s="166"/>
      <c r="J999" s="166"/>
      <c r="K999" s="166"/>
      <c r="L999" s="166"/>
      <c r="M999" s="166"/>
      <c r="N999" s="166"/>
      <c r="O999" s="166"/>
      <c r="P999" s="166"/>
      <c r="Q999" s="166"/>
      <c r="R999" s="166"/>
      <c r="S999" s="166"/>
      <c r="T999" s="166"/>
      <c r="U999" s="166"/>
      <c r="V999" s="166"/>
      <c r="W999" s="166"/>
      <c r="X999" s="166"/>
      <c r="Y999" s="166"/>
      <c r="Z999" s="166"/>
    </row>
    <row r="1000">
      <c r="A1000" s="170"/>
      <c r="B1000" s="170"/>
      <c r="C1000" s="171"/>
      <c r="D1000" s="166"/>
      <c r="E1000" s="170"/>
      <c r="F1000" s="170"/>
      <c r="G1000" s="166"/>
      <c r="H1000" s="166"/>
      <c r="I1000" s="166"/>
      <c r="J1000" s="166"/>
      <c r="K1000" s="166"/>
      <c r="L1000" s="166"/>
      <c r="M1000" s="166"/>
      <c r="N1000" s="166"/>
      <c r="O1000" s="166"/>
      <c r="P1000" s="166"/>
      <c r="Q1000" s="166"/>
      <c r="R1000" s="166"/>
      <c r="S1000" s="166"/>
      <c r="T1000" s="166"/>
      <c r="U1000" s="166"/>
      <c r="V1000" s="166"/>
      <c r="W1000" s="166"/>
      <c r="X1000" s="166"/>
      <c r="Y1000" s="166"/>
      <c r="Z1000" s="166"/>
    </row>
    <row r="1001">
      <c r="A1001" s="170"/>
      <c r="B1001" s="170"/>
      <c r="C1001" s="171"/>
      <c r="D1001" s="166"/>
      <c r="E1001" s="170"/>
      <c r="F1001" s="170"/>
      <c r="G1001" s="166"/>
      <c r="H1001" s="166"/>
      <c r="I1001" s="166"/>
      <c r="J1001" s="166"/>
      <c r="K1001" s="166"/>
      <c r="L1001" s="166"/>
      <c r="M1001" s="166"/>
      <c r="N1001" s="166"/>
      <c r="O1001" s="166"/>
      <c r="P1001" s="166"/>
      <c r="Q1001" s="166"/>
      <c r="R1001" s="166"/>
      <c r="S1001" s="166"/>
      <c r="T1001" s="166"/>
      <c r="U1001" s="166"/>
      <c r="V1001" s="166"/>
      <c r="W1001" s="166"/>
      <c r="X1001" s="166"/>
      <c r="Y1001" s="166"/>
      <c r="Z1001" s="166"/>
    </row>
    <row r="1002">
      <c r="A1002" s="170"/>
      <c r="B1002" s="170"/>
      <c r="C1002" s="171"/>
      <c r="D1002" s="166"/>
      <c r="E1002" s="170"/>
      <c r="F1002" s="170"/>
      <c r="G1002" s="166"/>
      <c r="H1002" s="166"/>
      <c r="I1002" s="166"/>
      <c r="J1002" s="166"/>
      <c r="K1002" s="166"/>
      <c r="L1002" s="166"/>
      <c r="M1002" s="166"/>
      <c r="N1002" s="166"/>
      <c r="O1002" s="166"/>
      <c r="P1002" s="166"/>
      <c r="Q1002" s="166"/>
      <c r="R1002" s="166"/>
      <c r="S1002" s="166"/>
      <c r="T1002" s="166"/>
      <c r="U1002" s="166"/>
      <c r="V1002" s="166"/>
      <c r="W1002" s="166"/>
      <c r="X1002" s="166"/>
      <c r="Y1002" s="166"/>
      <c r="Z1002" s="166"/>
    </row>
    <row r="1003">
      <c r="A1003" s="170"/>
      <c r="B1003" s="170"/>
      <c r="C1003" s="171"/>
      <c r="D1003" s="166"/>
      <c r="E1003" s="170"/>
      <c r="F1003" s="170"/>
      <c r="G1003" s="166"/>
      <c r="H1003" s="166"/>
      <c r="I1003" s="166"/>
      <c r="J1003" s="166"/>
      <c r="K1003" s="166"/>
      <c r="L1003" s="166"/>
      <c r="M1003" s="166"/>
      <c r="N1003" s="166"/>
      <c r="O1003" s="166"/>
      <c r="P1003" s="166"/>
      <c r="Q1003" s="166"/>
      <c r="R1003" s="166"/>
      <c r="S1003" s="166"/>
      <c r="T1003" s="166"/>
      <c r="U1003" s="166"/>
      <c r="V1003" s="166"/>
      <c r="W1003" s="166"/>
      <c r="X1003" s="166"/>
      <c r="Y1003" s="166"/>
      <c r="Z1003" s="166"/>
    </row>
    <row r="1004">
      <c r="A1004" s="170"/>
      <c r="B1004" s="170"/>
      <c r="C1004" s="171"/>
      <c r="D1004" s="166"/>
      <c r="E1004" s="170"/>
      <c r="F1004" s="170"/>
      <c r="G1004" s="166"/>
      <c r="H1004" s="166"/>
      <c r="I1004" s="166"/>
      <c r="J1004" s="166"/>
      <c r="K1004" s="166"/>
      <c r="L1004" s="166"/>
      <c r="M1004" s="166"/>
      <c r="N1004" s="166"/>
      <c r="O1004" s="166"/>
      <c r="P1004" s="166"/>
      <c r="Q1004" s="166"/>
      <c r="R1004" s="166"/>
      <c r="S1004" s="166"/>
      <c r="T1004" s="166"/>
      <c r="U1004" s="166"/>
      <c r="V1004" s="166"/>
      <c r="W1004" s="166"/>
      <c r="X1004" s="166"/>
      <c r="Y1004" s="166"/>
      <c r="Z1004" s="166"/>
    </row>
    <row r="1005">
      <c r="A1005" s="170"/>
      <c r="B1005" s="170"/>
      <c r="C1005" s="171"/>
      <c r="D1005" s="166"/>
      <c r="E1005" s="170"/>
      <c r="F1005" s="170"/>
      <c r="G1005" s="166"/>
      <c r="H1005" s="166"/>
      <c r="I1005" s="166"/>
      <c r="J1005" s="166"/>
      <c r="K1005" s="166"/>
      <c r="L1005" s="166"/>
      <c r="M1005" s="166"/>
      <c r="N1005" s="166"/>
      <c r="O1005" s="166"/>
      <c r="P1005" s="166"/>
      <c r="Q1005" s="166"/>
      <c r="R1005" s="166"/>
      <c r="S1005" s="166"/>
      <c r="T1005" s="166"/>
      <c r="U1005" s="166"/>
      <c r="V1005" s="166"/>
      <c r="W1005" s="166"/>
      <c r="X1005" s="166"/>
      <c r="Y1005" s="166"/>
      <c r="Z1005" s="166"/>
    </row>
    <row r="1006">
      <c r="A1006" s="170"/>
      <c r="B1006" s="170"/>
      <c r="C1006" s="171"/>
      <c r="D1006" s="166"/>
      <c r="E1006" s="170"/>
      <c r="F1006" s="170"/>
      <c r="G1006" s="166"/>
      <c r="H1006" s="166"/>
      <c r="I1006" s="166"/>
      <c r="J1006" s="166"/>
      <c r="K1006" s="166"/>
      <c r="L1006" s="166"/>
      <c r="M1006" s="166"/>
      <c r="N1006" s="166"/>
      <c r="O1006" s="166"/>
      <c r="P1006" s="166"/>
      <c r="Q1006" s="166"/>
      <c r="R1006" s="166"/>
      <c r="S1006" s="166"/>
      <c r="T1006" s="166"/>
      <c r="U1006" s="166"/>
      <c r="V1006" s="166"/>
      <c r="W1006" s="166"/>
      <c r="X1006" s="166"/>
      <c r="Y1006" s="166"/>
      <c r="Z1006" s="166"/>
    </row>
    <row r="1007">
      <c r="A1007" s="170"/>
      <c r="B1007" s="170"/>
      <c r="C1007" s="171"/>
      <c r="D1007" s="166"/>
      <c r="E1007" s="170"/>
      <c r="F1007" s="170"/>
      <c r="G1007" s="166"/>
      <c r="H1007" s="166"/>
      <c r="I1007" s="166"/>
      <c r="J1007" s="166"/>
      <c r="K1007" s="166"/>
      <c r="L1007" s="166"/>
      <c r="M1007" s="166"/>
      <c r="N1007" s="166"/>
      <c r="O1007" s="166"/>
      <c r="P1007" s="166"/>
      <c r="Q1007" s="166"/>
      <c r="R1007" s="166"/>
      <c r="S1007" s="166"/>
      <c r="T1007" s="166"/>
      <c r="U1007" s="166"/>
      <c r="V1007" s="166"/>
      <c r="W1007" s="166"/>
      <c r="X1007" s="166"/>
      <c r="Y1007" s="166"/>
      <c r="Z1007" s="166"/>
    </row>
    <row r="1008">
      <c r="A1008" s="170"/>
      <c r="B1008" s="170"/>
      <c r="C1008" s="171"/>
      <c r="D1008" s="166"/>
      <c r="E1008" s="170"/>
      <c r="F1008" s="170"/>
      <c r="G1008" s="166"/>
      <c r="H1008" s="166"/>
      <c r="I1008" s="166"/>
      <c r="J1008" s="166"/>
      <c r="K1008" s="166"/>
      <c r="L1008" s="166"/>
      <c r="M1008" s="166"/>
      <c r="N1008" s="166"/>
      <c r="O1008" s="166"/>
      <c r="P1008" s="166"/>
      <c r="Q1008" s="166"/>
      <c r="R1008" s="166"/>
      <c r="S1008" s="166"/>
      <c r="T1008" s="166"/>
      <c r="U1008" s="166"/>
      <c r="V1008" s="166"/>
      <c r="W1008" s="166"/>
      <c r="X1008" s="166"/>
      <c r="Y1008" s="166"/>
      <c r="Z1008" s="166"/>
    </row>
    <row r="1009">
      <c r="A1009" s="170"/>
      <c r="B1009" s="170"/>
      <c r="C1009" s="171"/>
      <c r="D1009" s="166"/>
      <c r="E1009" s="170"/>
      <c r="F1009" s="170"/>
      <c r="G1009" s="166"/>
      <c r="H1009" s="166"/>
      <c r="I1009" s="166"/>
      <c r="J1009" s="166"/>
      <c r="K1009" s="166"/>
      <c r="L1009" s="166"/>
      <c r="M1009" s="166"/>
      <c r="N1009" s="166"/>
      <c r="O1009" s="166"/>
      <c r="P1009" s="166"/>
      <c r="Q1009" s="166"/>
      <c r="R1009" s="166"/>
      <c r="S1009" s="166"/>
      <c r="T1009" s="166"/>
      <c r="U1009" s="166"/>
      <c r="V1009" s="166"/>
      <c r="W1009" s="166"/>
      <c r="X1009" s="166"/>
      <c r="Y1009" s="166"/>
      <c r="Z1009" s="166"/>
    </row>
  </sheetData>
  <dataValidations>
    <dataValidation type="custom" allowBlank="1" showDropDown="1" sqref="F2:F216">
      <formula1>AND(ISNUMBER(F2),(NOT(OR(NOT(ISERROR(DATEVALUE(F2))), AND(ISNUMBER(F2), LEFT(CELL("format", F2))="D")))))</formula1>
    </dataValidation>
    <dataValidation allowBlank="1" showDropDown="1" sqref="C2:E216"/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7.75"/>
    <col customWidth="1" min="3" max="3" width="35.25"/>
    <col customWidth="1" min="4" max="4" width="35.13"/>
    <col customWidth="1" min="5" max="5" width="20.38"/>
    <col customWidth="1" min="6" max="6" width="22.25"/>
    <col customWidth="1" min="7" max="7" width="20.38"/>
    <col customWidth="1" min="8" max="8" width="18.63"/>
  </cols>
  <sheetData>
    <row r="1" ht="22.5" customHeight="1">
      <c r="A1" s="1" t="s">
        <v>1943</v>
      </c>
      <c r="B1" s="1" t="s">
        <v>2</v>
      </c>
      <c r="C1" s="4" t="s">
        <v>1215</v>
      </c>
      <c r="D1" s="4" t="s">
        <v>1216</v>
      </c>
      <c r="E1" s="157" t="s">
        <v>1217</v>
      </c>
      <c r="F1" s="157" t="s">
        <v>1021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10" t="s">
        <v>1946</v>
      </c>
      <c r="B2" s="10" t="s">
        <v>28</v>
      </c>
      <c r="C2" s="158" t="s">
        <v>1947</v>
      </c>
      <c r="D2" s="158" t="s">
        <v>1948</v>
      </c>
      <c r="E2" s="159" t="s">
        <v>1232</v>
      </c>
      <c r="F2" s="152">
        <v>3.0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10" t="s">
        <v>1950</v>
      </c>
      <c r="B3" s="10" t="s">
        <v>28</v>
      </c>
      <c r="C3" s="158" t="s">
        <v>1952</v>
      </c>
      <c r="D3" s="158" t="s">
        <v>1953</v>
      </c>
      <c r="E3" s="159" t="s">
        <v>1954</v>
      </c>
      <c r="F3" s="152">
        <v>2.0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10" t="s">
        <v>1955</v>
      </c>
      <c r="B4" s="10" t="s">
        <v>28</v>
      </c>
      <c r="C4" s="158" t="s">
        <v>1957</v>
      </c>
      <c r="D4" s="158" t="s">
        <v>1948</v>
      </c>
      <c r="E4" s="159" t="s">
        <v>1232</v>
      </c>
      <c r="F4" s="152">
        <v>2.0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10" t="s">
        <v>1958</v>
      </c>
      <c r="B5" s="10" t="s">
        <v>67</v>
      </c>
      <c r="C5" s="158" t="s">
        <v>1947</v>
      </c>
      <c r="D5" s="158" t="s">
        <v>1948</v>
      </c>
      <c r="E5" s="159" t="s">
        <v>1232</v>
      </c>
      <c r="F5" s="152">
        <v>3.0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10" t="s">
        <v>1960</v>
      </c>
      <c r="B6" s="10" t="s">
        <v>67</v>
      </c>
      <c r="C6" s="158" t="s">
        <v>1952</v>
      </c>
      <c r="D6" s="158" t="s">
        <v>1953</v>
      </c>
      <c r="E6" s="159" t="s">
        <v>1954</v>
      </c>
      <c r="F6" s="152">
        <v>2.0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10" t="s">
        <v>1962</v>
      </c>
      <c r="B7" s="10" t="s">
        <v>67</v>
      </c>
      <c r="C7" s="158" t="s">
        <v>1957</v>
      </c>
      <c r="D7" s="158" t="s">
        <v>1948</v>
      </c>
      <c r="E7" s="159" t="s">
        <v>1232</v>
      </c>
      <c r="F7" s="152">
        <v>2.0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10" t="s">
        <v>1964</v>
      </c>
      <c r="B8" s="10" t="s">
        <v>133</v>
      </c>
      <c r="C8" s="158" t="s">
        <v>1536</v>
      </c>
      <c r="D8" s="158" t="s">
        <v>1965</v>
      </c>
      <c r="E8" s="159" t="s">
        <v>1232</v>
      </c>
      <c r="F8" s="152">
        <v>3.0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10" t="s">
        <v>1967</v>
      </c>
      <c r="B9" s="10" t="s">
        <v>133</v>
      </c>
      <c r="C9" s="158" t="s">
        <v>1540</v>
      </c>
      <c r="D9" s="158" t="s">
        <v>1968</v>
      </c>
      <c r="E9" s="159" t="s">
        <v>1232</v>
      </c>
      <c r="F9" s="152">
        <v>1.0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10" t="s">
        <v>1970</v>
      </c>
      <c r="B10" s="10" t="s">
        <v>133</v>
      </c>
      <c r="C10" s="158" t="s">
        <v>1952</v>
      </c>
      <c r="D10" s="158" t="s">
        <v>1971</v>
      </c>
      <c r="E10" s="159" t="s">
        <v>1972</v>
      </c>
      <c r="F10" s="152">
        <v>2.0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10" t="s">
        <v>1974</v>
      </c>
      <c r="B11" s="10" t="s">
        <v>133</v>
      </c>
      <c r="C11" s="158" t="s">
        <v>1957</v>
      </c>
      <c r="D11" s="158" t="s">
        <v>1971</v>
      </c>
      <c r="E11" s="159" t="s">
        <v>1232</v>
      </c>
      <c r="F11" s="152">
        <v>2.0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10" t="s">
        <v>1976</v>
      </c>
      <c r="B12" s="10" t="s">
        <v>103</v>
      </c>
      <c r="C12" s="158" t="s">
        <v>1536</v>
      </c>
      <c r="D12" s="158" t="s">
        <v>1965</v>
      </c>
      <c r="E12" s="159" t="s">
        <v>1232</v>
      </c>
      <c r="F12" s="152">
        <v>3.0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10" t="s">
        <v>1978</v>
      </c>
      <c r="B13" s="10" t="s">
        <v>103</v>
      </c>
      <c r="C13" s="158" t="s">
        <v>1540</v>
      </c>
      <c r="D13" s="158" t="s">
        <v>1968</v>
      </c>
      <c r="E13" s="159" t="s">
        <v>1232</v>
      </c>
      <c r="F13" s="152">
        <v>1.0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10" t="s">
        <v>1980</v>
      </c>
      <c r="B14" s="10" t="s">
        <v>103</v>
      </c>
      <c r="C14" s="158" t="s">
        <v>1952</v>
      </c>
      <c r="D14" s="158" t="s">
        <v>1971</v>
      </c>
      <c r="E14" s="159" t="s">
        <v>1972</v>
      </c>
      <c r="F14" s="152">
        <v>2.0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10" t="s">
        <v>1982</v>
      </c>
      <c r="B15" s="10" t="s">
        <v>103</v>
      </c>
      <c r="C15" s="158" t="s">
        <v>1957</v>
      </c>
      <c r="D15" s="158" t="s">
        <v>1971</v>
      </c>
      <c r="E15" s="159" t="s">
        <v>1232</v>
      </c>
      <c r="F15" s="152">
        <v>2.0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10" t="s">
        <v>1984</v>
      </c>
      <c r="B16" s="10" t="s">
        <v>142</v>
      </c>
      <c r="C16" s="158" t="s">
        <v>1947</v>
      </c>
      <c r="D16" s="158" t="s">
        <v>1985</v>
      </c>
      <c r="E16" s="159" t="s">
        <v>1232</v>
      </c>
      <c r="F16" s="152">
        <v>3.0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.5" customHeight="1">
      <c r="A17" s="10" t="s">
        <v>1987</v>
      </c>
      <c r="B17" s="10" t="s">
        <v>142</v>
      </c>
      <c r="C17" s="158" t="s">
        <v>1952</v>
      </c>
      <c r="D17" s="158" t="s">
        <v>1985</v>
      </c>
      <c r="E17" s="159" t="s">
        <v>1954</v>
      </c>
      <c r="F17" s="152">
        <v>2.0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2.5" customHeight="1">
      <c r="A18" s="10" t="s">
        <v>1990</v>
      </c>
      <c r="B18" s="10" t="s">
        <v>142</v>
      </c>
      <c r="C18" s="158" t="s">
        <v>1957</v>
      </c>
      <c r="D18" s="158" t="s">
        <v>1985</v>
      </c>
      <c r="E18" s="159" t="s">
        <v>1232</v>
      </c>
      <c r="F18" s="152">
        <v>2.0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2.5" customHeight="1">
      <c r="A19" s="10" t="s">
        <v>1991</v>
      </c>
      <c r="B19" s="10" t="s">
        <v>169</v>
      </c>
      <c r="C19" s="158" t="s">
        <v>1947</v>
      </c>
      <c r="D19" s="158" t="s">
        <v>1971</v>
      </c>
      <c r="E19" s="159" t="s">
        <v>1232</v>
      </c>
      <c r="F19" s="152">
        <v>3.0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2.5" customHeight="1">
      <c r="A20" s="10" t="s">
        <v>1993</v>
      </c>
      <c r="B20" s="10" t="s">
        <v>169</v>
      </c>
      <c r="C20" s="158" t="s">
        <v>1952</v>
      </c>
      <c r="D20" s="158" t="s">
        <v>1971</v>
      </c>
      <c r="E20" s="159" t="s">
        <v>1972</v>
      </c>
      <c r="F20" s="152">
        <v>2.0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2.5" customHeight="1">
      <c r="A21" s="10" t="s">
        <v>1995</v>
      </c>
      <c r="B21" s="10" t="s">
        <v>169</v>
      </c>
      <c r="C21" s="158" t="s">
        <v>1957</v>
      </c>
      <c r="D21" s="158" t="s">
        <v>1971</v>
      </c>
      <c r="E21" s="159" t="s">
        <v>1232</v>
      </c>
      <c r="F21" s="152">
        <v>2.0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2.5" customHeight="1">
      <c r="A22" s="10" t="s">
        <v>1997</v>
      </c>
      <c r="B22" s="10" t="s">
        <v>188</v>
      </c>
      <c r="C22" s="158" t="s">
        <v>1947</v>
      </c>
      <c r="D22" s="158" t="s">
        <v>1948</v>
      </c>
      <c r="E22" s="159" t="s">
        <v>1232</v>
      </c>
      <c r="F22" s="152">
        <v>3.0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2.5" customHeight="1">
      <c r="A23" s="10" t="s">
        <v>1999</v>
      </c>
      <c r="B23" s="10" t="s">
        <v>188</v>
      </c>
      <c r="C23" s="158" t="s">
        <v>1952</v>
      </c>
      <c r="D23" s="158" t="s">
        <v>1953</v>
      </c>
      <c r="E23" s="159" t="s">
        <v>1954</v>
      </c>
      <c r="F23" s="152">
        <v>2.0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2.5" customHeight="1">
      <c r="A24" s="10" t="s">
        <v>2001</v>
      </c>
      <c r="B24" s="10" t="s">
        <v>188</v>
      </c>
      <c r="C24" s="158" t="s">
        <v>1957</v>
      </c>
      <c r="D24" s="158" t="s">
        <v>1948</v>
      </c>
      <c r="E24" s="159" t="s">
        <v>1232</v>
      </c>
      <c r="F24" s="152">
        <v>2.0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2.5" customHeight="1">
      <c r="A25" s="10" t="s">
        <v>2003</v>
      </c>
      <c r="B25" s="10" t="s">
        <v>207</v>
      </c>
      <c r="C25" s="158" t="s">
        <v>1536</v>
      </c>
      <c r="D25" s="158" t="s">
        <v>1965</v>
      </c>
      <c r="E25" s="159" t="s">
        <v>1232</v>
      </c>
      <c r="F25" s="152">
        <v>3.0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2.5" customHeight="1">
      <c r="A26" s="10" t="s">
        <v>2005</v>
      </c>
      <c r="B26" s="10" t="s">
        <v>207</v>
      </c>
      <c r="C26" s="158" t="s">
        <v>1540</v>
      </c>
      <c r="D26" s="158" t="s">
        <v>1968</v>
      </c>
      <c r="E26" s="159" t="s">
        <v>1232</v>
      </c>
      <c r="F26" s="152">
        <v>1.0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2.5" customHeight="1">
      <c r="A27" s="10" t="s">
        <v>2007</v>
      </c>
      <c r="B27" s="10" t="s">
        <v>207</v>
      </c>
      <c r="C27" s="158" t="s">
        <v>1952</v>
      </c>
      <c r="D27" s="158" t="s">
        <v>1971</v>
      </c>
      <c r="E27" s="159" t="s">
        <v>1972</v>
      </c>
      <c r="F27" s="152">
        <v>2.0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2.5" customHeight="1">
      <c r="A28" s="10" t="s">
        <v>2010</v>
      </c>
      <c r="B28" s="10" t="s">
        <v>207</v>
      </c>
      <c r="C28" s="158" t="s">
        <v>1957</v>
      </c>
      <c r="D28" s="158" t="s">
        <v>1971</v>
      </c>
      <c r="E28" s="159" t="s">
        <v>1232</v>
      </c>
      <c r="F28" s="152">
        <v>2.0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2.5" customHeight="1">
      <c r="A29" s="10" t="s">
        <v>2013</v>
      </c>
      <c r="B29" s="10" t="s">
        <v>239</v>
      </c>
      <c r="C29" s="158" t="s">
        <v>1947</v>
      </c>
      <c r="D29" s="158" t="s">
        <v>1948</v>
      </c>
      <c r="E29" s="159" t="s">
        <v>1232</v>
      </c>
      <c r="F29" s="152">
        <v>3.0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2.5" customHeight="1">
      <c r="A30" s="10" t="s">
        <v>2016</v>
      </c>
      <c r="B30" s="10" t="s">
        <v>239</v>
      </c>
      <c r="C30" s="158" t="s">
        <v>1952</v>
      </c>
      <c r="D30" s="158" t="s">
        <v>1953</v>
      </c>
      <c r="E30" s="159" t="s">
        <v>1954</v>
      </c>
      <c r="F30" s="152">
        <v>2.0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2.5" customHeight="1">
      <c r="A31" s="10" t="s">
        <v>2019</v>
      </c>
      <c r="B31" s="10" t="s">
        <v>239</v>
      </c>
      <c r="C31" s="158" t="s">
        <v>1957</v>
      </c>
      <c r="D31" s="158" t="s">
        <v>1948</v>
      </c>
      <c r="E31" s="159" t="s">
        <v>1232</v>
      </c>
      <c r="F31" s="152">
        <v>2.0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2.5" customHeight="1">
      <c r="A32" s="10" t="s">
        <v>2021</v>
      </c>
      <c r="B32" s="10" t="s">
        <v>245</v>
      </c>
      <c r="C32" s="158" t="s">
        <v>1947</v>
      </c>
      <c r="D32" s="158" t="s">
        <v>1971</v>
      </c>
      <c r="E32" s="159" t="s">
        <v>1232</v>
      </c>
      <c r="F32" s="152">
        <v>3.0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2.5" customHeight="1">
      <c r="A33" s="10" t="s">
        <v>2024</v>
      </c>
      <c r="B33" s="10" t="s">
        <v>245</v>
      </c>
      <c r="C33" s="158" t="s">
        <v>1952</v>
      </c>
      <c r="D33" s="158" t="s">
        <v>1971</v>
      </c>
      <c r="E33" s="159" t="s">
        <v>1972</v>
      </c>
      <c r="F33" s="152">
        <v>2.0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2.5" customHeight="1">
      <c r="A34" s="10" t="s">
        <v>2026</v>
      </c>
      <c r="B34" s="10" t="s">
        <v>245</v>
      </c>
      <c r="C34" s="158" t="s">
        <v>1957</v>
      </c>
      <c r="D34" s="158" t="s">
        <v>1971</v>
      </c>
      <c r="E34" s="159" t="s">
        <v>1232</v>
      </c>
      <c r="F34" s="152">
        <v>2.0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2.5" customHeight="1">
      <c r="A35" s="10" t="s">
        <v>2029</v>
      </c>
      <c r="B35" s="10" t="s">
        <v>268</v>
      </c>
      <c r="C35" s="158" t="s">
        <v>1947</v>
      </c>
      <c r="D35" s="158" t="s">
        <v>1948</v>
      </c>
      <c r="E35" s="159" t="s">
        <v>1232</v>
      </c>
      <c r="F35" s="152">
        <v>3.0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2.5" customHeight="1">
      <c r="A36" s="10" t="s">
        <v>2032</v>
      </c>
      <c r="B36" s="10" t="s">
        <v>268</v>
      </c>
      <c r="C36" s="158" t="s">
        <v>1952</v>
      </c>
      <c r="D36" s="158" t="s">
        <v>1953</v>
      </c>
      <c r="E36" s="159" t="s">
        <v>1954</v>
      </c>
      <c r="F36" s="152">
        <v>2.0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2.5" customHeight="1">
      <c r="A37" s="10" t="s">
        <v>2035</v>
      </c>
      <c r="B37" s="10" t="s">
        <v>268</v>
      </c>
      <c r="C37" s="158" t="s">
        <v>1957</v>
      </c>
      <c r="D37" s="158" t="s">
        <v>1948</v>
      </c>
      <c r="E37" s="159" t="s">
        <v>1232</v>
      </c>
      <c r="F37" s="152">
        <v>2.0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2.5" customHeight="1">
      <c r="A38" s="10" t="s">
        <v>2038</v>
      </c>
      <c r="B38" s="10" t="s">
        <v>292</v>
      </c>
      <c r="C38" s="158" t="s">
        <v>2039</v>
      </c>
      <c r="D38" s="158" t="s">
        <v>2040</v>
      </c>
      <c r="E38" s="159" t="s">
        <v>1232</v>
      </c>
      <c r="F38" s="152">
        <v>3.0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2.5" customHeight="1">
      <c r="A39" s="10" t="s">
        <v>2043</v>
      </c>
      <c r="B39" s="10" t="s">
        <v>292</v>
      </c>
      <c r="C39" s="158" t="s">
        <v>1952</v>
      </c>
      <c r="D39" s="158" t="s">
        <v>2044</v>
      </c>
      <c r="E39" s="159" t="s">
        <v>1954</v>
      </c>
      <c r="F39" s="152">
        <v>2.0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2.5" customHeight="1">
      <c r="A40" s="10" t="s">
        <v>2047</v>
      </c>
      <c r="B40" s="10" t="s">
        <v>292</v>
      </c>
      <c r="C40" s="158" t="s">
        <v>1957</v>
      </c>
      <c r="D40" s="158" t="s">
        <v>2040</v>
      </c>
      <c r="E40" s="159" t="s">
        <v>1232</v>
      </c>
      <c r="F40" s="152">
        <v>2.0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2.5" customHeight="1">
      <c r="A41" s="10" t="s">
        <v>2050</v>
      </c>
      <c r="B41" s="10" t="s">
        <v>317</v>
      </c>
      <c r="C41" s="158" t="s">
        <v>1536</v>
      </c>
      <c r="D41" s="158" t="s">
        <v>1965</v>
      </c>
      <c r="E41" s="159" t="s">
        <v>1232</v>
      </c>
      <c r="F41" s="152">
        <v>3.0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2.5" customHeight="1">
      <c r="A42" s="10" t="s">
        <v>2053</v>
      </c>
      <c r="B42" s="10" t="s">
        <v>317</v>
      </c>
      <c r="C42" s="158" t="s">
        <v>1540</v>
      </c>
      <c r="D42" s="158" t="s">
        <v>1968</v>
      </c>
      <c r="E42" s="159" t="s">
        <v>1232</v>
      </c>
      <c r="F42" s="152">
        <v>1.0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2.5" customHeight="1">
      <c r="A43" s="10" t="s">
        <v>2056</v>
      </c>
      <c r="B43" s="10" t="s">
        <v>317</v>
      </c>
      <c r="C43" s="158" t="s">
        <v>1952</v>
      </c>
      <c r="D43" s="158" t="s">
        <v>1971</v>
      </c>
      <c r="E43" s="159" t="s">
        <v>1972</v>
      </c>
      <c r="F43" s="152">
        <v>2.0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2.5" customHeight="1">
      <c r="A44" s="10" t="s">
        <v>2058</v>
      </c>
      <c r="B44" s="10" t="s">
        <v>317</v>
      </c>
      <c r="C44" s="158" t="s">
        <v>1957</v>
      </c>
      <c r="D44" s="158" t="s">
        <v>1971</v>
      </c>
      <c r="E44" s="159" t="s">
        <v>1232</v>
      </c>
      <c r="F44" s="152">
        <v>2.0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60"/>
      <c r="B45" s="60"/>
      <c r="C45" s="8"/>
      <c r="D45" s="8"/>
      <c r="E45" s="60"/>
      <c r="F45" s="60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60"/>
      <c r="B46" s="60"/>
      <c r="C46" s="8"/>
      <c r="D46" s="8"/>
      <c r="E46" s="60"/>
      <c r="F46" s="60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60"/>
      <c r="B47" s="60"/>
      <c r="C47" s="8"/>
      <c r="D47" s="8"/>
      <c r="E47" s="60"/>
      <c r="F47" s="60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60"/>
      <c r="B48" s="60"/>
      <c r="C48" s="8"/>
      <c r="D48" s="8"/>
      <c r="E48" s="60"/>
      <c r="F48" s="60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60"/>
      <c r="B49" s="60"/>
      <c r="C49" s="8"/>
      <c r="D49" s="8"/>
      <c r="E49" s="60"/>
      <c r="F49" s="60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60"/>
      <c r="B50" s="60"/>
      <c r="C50" s="8"/>
      <c r="D50" s="8"/>
      <c r="E50" s="60"/>
      <c r="F50" s="60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60"/>
      <c r="B51" s="60"/>
      <c r="C51" s="8"/>
      <c r="D51" s="8"/>
      <c r="E51" s="60"/>
      <c r="F51" s="60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60"/>
      <c r="B52" s="60"/>
      <c r="C52" s="8"/>
      <c r="D52" s="8"/>
      <c r="E52" s="60"/>
      <c r="F52" s="60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60"/>
      <c r="B53" s="60"/>
      <c r="C53" s="8"/>
      <c r="D53" s="8"/>
      <c r="E53" s="60"/>
      <c r="F53" s="60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60"/>
      <c r="B54" s="60"/>
      <c r="C54" s="8"/>
      <c r="D54" s="8"/>
      <c r="E54" s="60"/>
      <c r="F54" s="60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60"/>
      <c r="B55" s="60"/>
      <c r="C55" s="8"/>
      <c r="D55" s="8"/>
      <c r="E55" s="60"/>
      <c r="F55" s="60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60"/>
      <c r="B56" s="60"/>
      <c r="C56" s="8"/>
      <c r="D56" s="8"/>
      <c r="E56" s="60"/>
      <c r="F56" s="60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60"/>
      <c r="B57" s="60"/>
      <c r="C57" s="8"/>
      <c r="D57" s="8"/>
      <c r="E57" s="60"/>
      <c r="F57" s="6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60"/>
      <c r="B58" s="60"/>
      <c r="C58" s="8"/>
      <c r="D58" s="8"/>
      <c r="E58" s="60"/>
      <c r="F58" s="6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60"/>
      <c r="B59" s="60"/>
      <c r="C59" s="8"/>
      <c r="D59" s="8"/>
      <c r="E59" s="60"/>
      <c r="F59" s="6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60"/>
      <c r="B60" s="60"/>
      <c r="C60" s="8"/>
      <c r="D60" s="8"/>
      <c r="E60" s="60"/>
      <c r="F60" s="6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60"/>
      <c r="B61" s="60"/>
      <c r="C61" s="8"/>
      <c r="D61" s="8"/>
      <c r="E61" s="60"/>
      <c r="F61" s="6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60"/>
      <c r="B62" s="60"/>
      <c r="C62" s="8"/>
      <c r="D62" s="8"/>
      <c r="E62" s="60"/>
      <c r="F62" s="6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60"/>
      <c r="B63" s="60"/>
      <c r="C63" s="8"/>
      <c r="D63" s="8"/>
      <c r="E63" s="60"/>
      <c r="F63" s="6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60"/>
      <c r="B64" s="60"/>
      <c r="C64" s="8"/>
      <c r="D64" s="8"/>
      <c r="E64" s="60"/>
      <c r="F64" s="6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60"/>
      <c r="B65" s="60"/>
      <c r="C65" s="8"/>
      <c r="D65" s="8"/>
      <c r="E65" s="60"/>
      <c r="F65" s="6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60"/>
      <c r="B66" s="60"/>
      <c r="C66" s="8"/>
      <c r="D66" s="8"/>
      <c r="E66" s="60"/>
      <c r="F66" s="6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60"/>
      <c r="B67" s="60"/>
      <c r="C67" s="8"/>
      <c r="D67" s="8"/>
      <c r="E67" s="60"/>
      <c r="F67" s="6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60"/>
      <c r="B68" s="60"/>
      <c r="C68" s="8"/>
      <c r="D68" s="8"/>
      <c r="E68" s="60"/>
      <c r="F68" s="6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60"/>
      <c r="B69" s="60"/>
      <c r="C69" s="8"/>
      <c r="D69" s="8"/>
      <c r="E69" s="60"/>
      <c r="F69" s="6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60"/>
      <c r="B70" s="60"/>
      <c r="C70" s="8"/>
      <c r="D70" s="8"/>
      <c r="E70" s="60"/>
      <c r="F70" s="6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60"/>
      <c r="B71" s="60"/>
      <c r="C71" s="8"/>
      <c r="D71" s="8"/>
      <c r="E71" s="60"/>
      <c r="F71" s="6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60"/>
      <c r="B72" s="60"/>
      <c r="C72" s="8"/>
      <c r="D72" s="8"/>
      <c r="E72" s="60"/>
      <c r="F72" s="6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60"/>
      <c r="B73" s="60"/>
      <c r="C73" s="8"/>
      <c r="D73" s="8"/>
      <c r="E73" s="60"/>
      <c r="F73" s="6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60"/>
      <c r="B74" s="60"/>
      <c r="C74" s="8"/>
      <c r="D74" s="8"/>
      <c r="E74" s="60"/>
      <c r="F74" s="6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60"/>
      <c r="B75" s="60"/>
      <c r="C75" s="8"/>
      <c r="D75" s="8"/>
      <c r="E75" s="60"/>
      <c r="F75" s="6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60"/>
      <c r="B76" s="60"/>
      <c r="C76" s="8"/>
      <c r="D76" s="8"/>
      <c r="E76" s="60"/>
      <c r="F76" s="6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60"/>
      <c r="B77" s="60"/>
      <c r="C77" s="8"/>
      <c r="D77" s="8"/>
      <c r="E77" s="60"/>
      <c r="F77" s="6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60"/>
      <c r="B78" s="60"/>
      <c r="C78" s="8"/>
      <c r="D78" s="8"/>
      <c r="E78" s="60"/>
      <c r="F78" s="6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60"/>
      <c r="B79" s="60"/>
      <c r="C79" s="8"/>
      <c r="D79" s="8"/>
      <c r="E79" s="60"/>
      <c r="F79" s="6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60"/>
      <c r="B80" s="60"/>
      <c r="C80" s="8"/>
      <c r="D80" s="8"/>
      <c r="E80" s="60"/>
      <c r="F80" s="6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60"/>
      <c r="B81" s="60"/>
      <c r="C81" s="8"/>
      <c r="D81" s="8"/>
      <c r="E81" s="60"/>
      <c r="F81" s="6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60"/>
      <c r="B82" s="60"/>
      <c r="C82" s="8"/>
      <c r="D82" s="8"/>
      <c r="E82" s="60"/>
      <c r="F82" s="6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60"/>
      <c r="B83" s="60"/>
      <c r="C83" s="8"/>
      <c r="D83" s="8"/>
      <c r="E83" s="60"/>
      <c r="F83" s="6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60"/>
      <c r="B84" s="60"/>
      <c r="C84" s="8"/>
      <c r="D84" s="8"/>
      <c r="E84" s="60"/>
      <c r="F84" s="6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60"/>
      <c r="B85" s="60"/>
      <c r="C85" s="8"/>
      <c r="D85" s="8"/>
      <c r="E85" s="60"/>
      <c r="F85" s="6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60"/>
      <c r="B86" s="60"/>
      <c r="C86" s="8"/>
      <c r="D86" s="8"/>
      <c r="E86" s="60"/>
      <c r="F86" s="6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60"/>
      <c r="B87" s="60"/>
      <c r="C87" s="8"/>
      <c r="D87" s="8"/>
      <c r="E87" s="60"/>
      <c r="F87" s="6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60"/>
      <c r="B88" s="60"/>
      <c r="C88" s="8"/>
      <c r="D88" s="8"/>
      <c r="E88" s="60"/>
      <c r="F88" s="6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60"/>
      <c r="B89" s="60"/>
      <c r="C89" s="8"/>
      <c r="D89" s="8"/>
      <c r="E89" s="60"/>
      <c r="F89" s="6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60"/>
      <c r="B90" s="60"/>
      <c r="C90" s="8"/>
      <c r="D90" s="8"/>
      <c r="E90" s="60"/>
      <c r="F90" s="6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60"/>
      <c r="B91" s="60"/>
      <c r="C91" s="8"/>
      <c r="D91" s="8"/>
      <c r="E91" s="60"/>
      <c r="F91" s="6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60"/>
      <c r="B92" s="60"/>
      <c r="C92" s="8"/>
      <c r="D92" s="8"/>
      <c r="E92" s="60"/>
      <c r="F92" s="6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60"/>
      <c r="B93" s="60"/>
      <c r="C93" s="8"/>
      <c r="D93" s="8"/>
      <c r="E93" s="60"/>
      <c r="F93" s="6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60"/>
      <c r="B94" s="60"/>
      <c r="C94" s="8"/>
      <c r="D94" s="8"/>
      <c r="E94" s="60"/>
      <c r="F94" s="6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60"/>
      <c r="B95" s="60"/>
      <c r="C95" s="8"/>
      <c r="D95" s="8"/>
      <c r="E95" s="60"/>
      <c r="F95" s="6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60"/>
      <c r="B96" s="60"/>
      <c r="C96" s="8"/>
      <c r="D96" s="8"/>
      <c r="E96" s="60"/>
      <c r="F96" s="6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60"/>
      <c r="B97" s="60"/>
      <c r="C97" s="8"/>
      <c r="D97" s="8"/>
      <c r="E97" s="60"/>
      <c r="F97" s="6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60"/>
      <c r="B98" s="60"/>
      <c r="C98" s="8"/>
      <c r="D98" s="8"/>
      <c r="E98" s="60"/>
      <c r="F98" s="6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60"/>
      <c r="B99" s="60"/>
      <c r="C99" s="8"/>
      <c r="D99" s="8"/>
      <c r="E99" s="60"/>
      <c r="F99" s="6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60"/>
      <c r="B100" s="60"/>
      <c r="C100" s="8"/>
      <c r="D100" s="8"/>
      <c r="E100" s="60"/>
      <c r="F100" s="6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60"/>
      <c r="B101" s="60"/>
      <c r="C101" s="8"/>
      <c r="D101" s="8"/>
      <c r="E101" s="60"/>
      <c r="F101" s="6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60"/>
      <c r="B102" s="60"/>
      <c r="C102" s="8"/>
      <c r="D102" s="8"/>
      <c r="E102" s="60"/>
      <c r="F102" s="60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60"/>
      <c r="B103" s="60"/>
      <c r="C103" s="8"/>
      <c r="D103" s="8"/>
      <c r="E103" s="60"/>
      <c r="F103" s="6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60"/>
      <c r="B104" s="60"/>
      <c r="C104" s="8"/>
      <c r="D104" s="8"/>
      <c r="E104" s="60"/>
      <c r="F104" s="6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60"/>
      <c r="B105" s="60"/>
      <c r="C105" s="8"/>
      <c r="D105" s="8"/>
      <c r="E105" s="60"/>
      <c r="F105" s="60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60"/>
      <c r="B106" s="60"/>
      <c r="C106" s="8"/>
      <c r="D106" s="8"/>
      <c r="E106" s="60"/>
      <c r="F106" s="60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60"/>
      <c r="B107" s="60"/>
      <c r="C107" s="8"/>
      <c r="D107" s="8"/>
      <c r="E107" s="60"/>
      <c r="F107" s="6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60"/>
      <c r="B108" s="60"/>
      <c r="C108" s="8"/>
      <c r="D108" s="8"/>
      <c r="E108" s="60"/>
      <c r="F108" s="60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60"/>
      <c r="B109" s="60"/>
      <c r="C109" s="8"/>
      <c r="D109" s="8"/>
      <c r="E109" s="60"/>
      <c r="F109" s="6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60"/>
      <c r="B110" s="60"/>
      <c r="C110" s="8"/>
      <c r="D110" s="8"/>
      <c r="E110" s="60"/>
      <c r="F110" s="6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60"/>
      <c r="B111" s="60"/>
      <c r="C111" s="8"/>
      <c r="D111" s="8"/>
      <c r="E111" s="60"/>
      <c r="F111" s="6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60"/>
      <c r="B112" s="60"/>
      <c r="C112" s="8"/>
      <c r="D112" s="8"/>
      <c r="E112" s="60"/>
      <c r="F112" s="6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60"/>
      <c r="B113" s="60"/>
      <c r="C113" s="8"/>
      <c r="D113" s="8"/>
      <c r="E113" s="60"/>
      <c r="F113" s="6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60"/>
      <c r="B114" s="60"/>
      <c r="C114" s="8"/>
      <c r="D114" s="8"/>
      <c r="E114" s="60"/>
      <c r="F114" s="60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60"/>
      <c r="B115" s="60"/>
      <c r="C115" s="8"/>
      <c r="D115" s="8"/>
      <c r="E115" s="60"/>
      <c r="F115" s="60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60"/>
      <c r="B116" s="60"/>
      <c r="C116" s="8"/>
      <c r="D116" s="8"/>
      <c r="E116" s="60"/>
      <c r="F116" s="60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60"/>
      <c r="B117" s="60"/>
      <c r="C117" s="8"/>
      <c r="D117" s="8"/>
      <c r="E117" s="60"/>
      <c r="F117" s="60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60"/>
      <c r="B118" s="60"/>
      <c r="C118" s="8"/>
      <c r="D118" s="8"/>
      <c r="E118" s="60"/>
      <c r="F118" s="60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60"/>
      <c r="B119" s="60"/>
      <c r="C119" s="8"/>
      <c r="D119" s="8"/>
      <c r="E119" s="60"/>
      <c r="F119" s="6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60"/>
      <c r="B120" s="60"/>
      <c r="C120" s="8"/>
      <c r="D120" s="8"/>
      <c r="E120" s="60"/>
      <c r="F120" s="6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60"/>
      <c r="B121" s="60"/>
      <c r="C121" s="8"/>
      <c r="D121" s="8"/>
      <c r="E121" s="60"/>
      <c r="F121" s="6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60"/>
      <c r="B122" s="60"/>
      <c r="C122" s="8"/>
      <c r="D122" s="8"/>
      <c r="E122" s="60"/>
      <c r="F122" s="6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60"/>
      <c r="B123" s="60"/>
      <c r="C123" s="8"/>
      <c r="D123" s="8"/>
      <c r="E123" s="60"/>
      <c r="F123" s="6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60"/>
      <c r="B124" s="60"/>
      <c r="C124" s="8"/>
      <c r="D124" s="8"/>
      <c r="E124" s="60"/>
      <c r="F124" s="6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60"/>
      <c r="B125" s="60"/>
      <c r="C125" s="8"/>
      <c r="D125" s="8"/>
      <c r="E125" s="60"/>
      <c r="F125" s="6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60"/>
      <c r="B126" s="60"/>
      <c r="C126" s="8"/>
      <c r="D126" s="8"/>
      <c r="E126" s="60"/>
      <c r="F126" s="6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60"/>
      <c r="B127" s="60"/>
      <c r="C127" s="8"/>
      <c r="D127" s="8"/>
      <c r="E127" s="60"/>
      <c r="F127" s="6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60"/>
      <c r="B128" s="60"/>
      <c r="C128" s="8"/>
      <c r="D128" s="8"/>
      <c r="E128" s="60"/>
      <c r="F128" s="6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60"/>
      <c r="B129" s="60"/>
      <c r="C129" s="8"/>
      <c r="D129" s="8"/>
      <c r="E129" s="60"/>
      <c r="F129" s="6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60"/>
      <c r="B130" s="60"/>
      <c r="C130" s="8"/>
      <c r="D130" s="8"/>
      <c r="E130" s="60"/>
      <c r="F130" s="6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60"/>
      <c r="B131" s="60"/>
      <c r="C131" s="8"/>
      <c r="D131" s="8"/>
      <c r="E131" s="60"/>
      <c r="F131" s="6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60"/>
      <c r="B132" s="60"/>
      <c r="C132" s="8"/>
      <c r="D132" s="8"/>
      <c r="E132" s="60"/>
      <c r="F132" s="6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60"/>
      <c r="B133" s="60"/>
      <c r="C133" s="8"/>
      <c r="D133" s="8"/>
      <c r="E133" s="60"/>
      <c r="F133" s="6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60"/>
      <c r="B134" s="60"/>
      <c r="C134" s="8"/>
      <c r="D134" s="8"/>
      <c r="E134" s="60"/>
      <c r="F134" s="6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60"/>
      <c r="B135" s="60"/>
      <c r="C135" s="8"/>
      <c r="D135" s="8"/>
      <c r="E135" s="60"/>
      <c r="F135" s="6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60"/>
      <c r="B136" s="60"/>
      <c r="C136" s="8"/>
      <c r="D136" s="8"/>
      <c r="E136" s="60"/>
      <c r="F136" s="6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60"/>
      <c r="B137" s="60"/>
      <c r="C137" s="8"/>
      <c r="D137" s="8"/>
      <c r="E137" s="60"/>
      <c r="F137" s="6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60"/>
      <c r="B138" s="60"/>
      <c r="C138" s="8"/>
      <c r="D138" s="8"/>
      <c r="E138" s="60"/>
      <c r="F138" s="6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60"/>
      <c r="B139" s="60"/>
      <c r="C139" s="8"/>
      <c r="D139" s="8"/>
      <c r="E139" s="60"/>
      <c r="F139" s="6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60"/>
      <c r="B140" s="60"/>
      <c r="C140" s="8"/>
      <c r="D140" s="8"/>
      <c r="E140" s="60"/>
      <c r="F140" s="6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60"/>
      <c r="B141" s="60"/>
      <c r="C141" s="8"/>
      <c r="D141" s="8"/>
      <c r="E141" s="60"/>
      <c r="F141" s="6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60"/>
      <c r="B142" s="60"/>
      <c r="C142" s="8"/>
      <c r="D142" s="8"/>
      <c r="E142" s="60"/>
      <c r="F142" s="6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60"/>
      <c r="B143" s="60"/>
      <c r="C143" s="8"/>
      <c r="D143" s="8"/>
      <c r="E143" s="60"/>
      <c r="F143" s="6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60"/>
      <c r="B144" s="60"/>
      <c r="C144" s="8"/>
      <c r="D144" s="8"/>
      <c r="E144" s="60"/>
      <c r="F144" s="6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60"/>
      <c r="B145" s="60"/>
      <c r="C145" s="8"/>
      <c r="D145" s="8"/>
      <c r="E145" s="60"/>
      <c r="F145" s="6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60"/>
      <c r="B146" s="60"/>
      <c r="C146" s="8"/>
      <c r="D146" s="8"/>
      <c r="E146" s="60"/>
      <c r="F146" s="6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60"/>
      <c r="B147" s="60"/>
      <c r="C147" s="8"/>
      <c r="D147" s="8"/>
      <c r="E147" s="60"/>
      <c r="F147" s="6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60"/>
      <c r="B148" s="60"/>
      <c r="C148" s="8"/>
      <c r="D148" s="8"/>
      <c r="E148" s="60"/>
      <c r="F148" s="6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60"/>
      <c r="B149" s="60"/>
      <c r="C149" s="8"/>
      <c r="D149" s="8"/>
      <c r="E149" s="60"/>
      <c r="F149" s="6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60"/>
      <c r="B150" s="60"/>
      <c r="C150" s="8"/>
      <c r="D150" s="8"/>
      <c r="E150" s="60"/>
      <c r="F150" s="6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60"/>
      <c r="B151" s="60"/>
      <c r="C151" s="8"/>
      <c r="D151" s="8"/>
      <c r="E151" s="60"/>
      <c r="F151" s="6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60"/>
      <c r="B152" s="60"/>
      <c r="C152" s="8"/>
      <c r="D152" s="8"/>
      <c r="E152" s="60"/>
      <c r="F152" s="6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60"/>
      <c r="B153" s="60"/>
      <c r="C153" s="8"/>
      <c r="D153" s="8"/>
      <c r="E153" s="60"/>
      <c r="F153" s="6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60"/>
      <c r="B154" s="60"/>
      <c r="C154" s="8"/>
      <c r="D154" s="8"/>
      <c r="E154" s="60"/>
      <c r="F154" s="6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60"/>
      <c r="B155" s="60"/>
      <c r="C155" s="8"/>
      <c r="D155" s="8"/>
      <c r="E155" s="60"/>
      <c r="F155" s="6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60"/>
      <c r="B156" s="60"/>
      <c r="C156" s="8"/>
      <c r="D156" s="8"/>
      <c r="E156" s="60"/>
      <c r="F156" s="6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60"/>
      <c r="B157" s="60"/>
      <c r="C157" s="8"/>
      <c r="D157" s="8"/>
      <c r="E157" s="60"/>
      <c r="F157" s="6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60"/>
      <c r="B158" s="60"/>
      <c r="C158" s="8"/>
      <c r="D158" s="8"/>
      <c r="E158" s="60"/>
      <c r="F158" s="6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60"/>
      <c r="B159" s="60"/>
      <c r="C159" s="8"/>
      <c r="D159" s="8"/>
      <c r="E159" s="60"/>
      <c r="F159" s="6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60"/>
      <c r="B160" s="60"/>
      <c r="C160" s="8"/>
      <c r="D160" s="8"/>
      <c r="E160" s="60"/>
      <c r="F160" s="6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60"/>
      <c r="B161" s="60"/>
      <c r="C161" s="8"/>
      <c r="D161" s="8"/>
      <c r="E161" s="60"/>
      <c r="F161" s="6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60"/>
      <c r="B162" s="60"/>
      <c r="C162" s="8"/>
      <c r="D162" s="8"/>
      <c r="E162" s="60"/>
      <c r="F162" s="6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60"/>
      <c r="B163" s="60"/>
      <c r="C163" s="8"/>
      <c r="D163" s="8"/>
      <c r="E163" s="60"/>
      <c r="F163" s="6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60"/>
      <c r="B164" s="60"/>
      <c r="C164" s="8"/>
      <c r="D164" s="8"/>
      <c r="E164" s="60"/>
      <c r="F164" s="6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60"/>
      <c r="B165" s="60"/>
      <c r="C165" s="8"/>
      <c r="D165" s="8"/>
      <c r="E165" s="60"/>
      <c r="F165" s="6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60"/>
      <c r="B166" s="60"/>
      <c r="C166" s="8"/>
      <c r="D166" s="8"/>
      <c r="E166" s="60"/>
      <c r="F166" s="6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60"/>
      <c r="B167" s="60"/>
      <c r="C167" s="8"/>
      <c r="D167" s="8"/>
      <c r="E167" s="60"/>
      <c r="F167" s="6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60"/>
      <c r="B168" s="60"/>
      <c r="C168" s="8"/>
      <c r="D168" s="8"/>
      <c r="E168" s="60"/>
      <c r="F168" s="6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60"/>
      <c r="B169" s="60"/>
      <c r="C169" s="8"/>
      <c r="D169" s="8"/>
      <c r="E169" s="60"/>
      <c r="F169" s="6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60"/>
      <c r="B170" s="60"/>
      <c r="C170" s="8"/>
      <c r="D170" s="8"/>
      <c r="E170" s="60"/>
      <c r="F170" s="6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60"/>
      <c r="B171" s="60"/>
      <c r="C171" s="8"/>
      <c r="D171" s="8"/>
      <c r="E171" s="60"/>
      <c r="F171" s="6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60"/>
      <c r="B172" s="60"/>
      <c r="C172" s="8"/>
      <c r="D172" s="8"/>
      <c r="E172" s="60"/>
      <c r="F172" s="6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60"/>
      <c r="B173" s="60"/>
      <c r="C173" s="8"/>
      <c r="D173" s="8"/>
      <c r="E173" s="60"/>
      <c r="F173" s="6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60"/>
      <c r="B174" s="60"/>
      <c r="C174" s="8"/>
      <c r="D174" s="8"/>
      <c r="E174" s="60"/>
      <c r="F174" s="6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60"/>
      <c r="B175" s="60"/>
      <c r="C175" s="8"/>
      <c r="D175" s="8"/>
      <c r="E175" s="60"/>
      <c r="F175" s="6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60"/>
      <c r="B176" s="60"/>
      <c r="C176" s="8"/>
      <c r="D176" s="8"/>
      <c r="E176" s="60"/>
      <c r="F176" s="6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60"/>
      <c r="B177" s="60"/>
      <c r="C177" s="8"/>
      <c r="D177" s="8"/>
      <c r="E177" s="60"/>
      <c r="F177" s="6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60"/>
      <c r="B178" s="60"/>
      <c r="C178" s="8"/>
      <c r="D178" s="8"/>
      <c r="E178" s="60"/>
      <c r="F178" s="6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60"/>
      <c r="B179" s="60"/>
      <c r="C179" s="8"/>
      <c r="D179" s="8"/>
      <c r="E179" s="60"/>
      <c r="F179" s="6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60"/>
      <c r="B180" s="60"/>
      <c r="C180" s="8"/>
      <c r="D180" s="8"/>
      <c r="E180" s="60"/>
      <c r="F180" s="6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60"/>
      <c r="B181" s="60"/>
      <c r="C181" s="8"/>
      <c r="D181" s="8"/>
      <c r="E181" s="60"/>
      <c r="F181" s="6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60"/>
      <c r="B182" s="60"/>
      <c r="C182" s="8"/>
      <c r="D182" s="8"/>
      <c r="E182" s="60"/>
      <c r="F182" s="6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60"/>
      <c r="B183" s="60"/>
      <c r="C183" s="8"/>
      <c r="D183" s="8"/>
      <c r="E183" s="60"/>
      <c r="F183" s="6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60"/>
      <c r="B184" s="60"/>
      <c r="C184" s="8"/>
      <c r="D184" s="8"/>
      <c r="E184" s="60"/>
      <c r="F184" s="6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60"/>
      <c r="B185" s="60"/>
      <c r="C185" s="8"/>
      <c r="D185" s="8"/>
      <c r="E185" s="60"/>
      <c r="F185" s="6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60"/>
      <c r="B186" s="60"/>
      <c r="C186" s="8"/>
      <c r="D186" s="8"/>
      <c r="E186" s="60"/>
      <c r="F186" s="6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60"/>
      <c r="B187" s="60"/>
      <c r="C187" s="8"/>
      <c r="D187" s="8"/>
      <c r="E187" s="60"/>
      <c r="F187" s="6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60"/>
      <c r="B188" s="60"/>
      <c r="C188" s="8"/>
      <c r="D188" s="8"/>
      <c r="E188" s="60"/>
      <c r="F188" s="6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60"/>
      <c r="B189" s="60"/>
      <c r="C189" s="8"/>
      <c r="D189" s="8"/>
      <c r="E189" s="60"/>
      <c r="F189" s="6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60"/>
      <c r="B190" s="60"/>
      <c r="C190" s="8"/>
      <c r="D190" s="8"/>
      <c r="E190" s="60"/>
      <c r="F190" s="6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60"/>
      <c r="B191" s="60"/>
      <c r="C191" s="8"/>
      <c r="D191" s="8"/>
      <c r="E191" s="60"/>
      <c r="F191" s="6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60"/>
      <c r="B192" s="60"/>
      <c r="C192" s="8"/>
      <c r="D192" s="8"/>
      <c r="E192" s="60"/>
      <c r="F192" s="6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60"/>
      <c r="B193" s="60"/>
      <c r="C193" s="8"/>
      <c r="D193" s="8"/>
      <c r="E193" s="60"/>
      <c r="F193" s="6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60"/>
      <c r="B194" s="60"/>
      <c r="C194" s="8"/>
      <c r="D194" s="8"/>
      <c r="E194" s="60"/>
      <c r="F194" s="6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60"/>
      <c r="B195" s="60"/>
      <c r="C195" s="8"/>
      <c r="D195" s="8"/>
      <c r="E195" s="60"/>
      <c r="F195" s="6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60"/>
      <c r="B196" s="60"/>
      <c r="C196" s="8"/>
      <c r="D196" s="8"/>
      <c r="E196" s="60"/>
      <c r="F196" s="6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60"/>
      <c r="B197" s="60"/>
      <c r="C197" s="8"/>
      <c r="D197" s="8"/>
      <c r="E197" s="60"/>
      <c r="F197" s="6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60"/>
      <c r="B198" s="60"/>
      <c r="C198" s="8"/>
      <c r="D198" s="8"/>
      <c r="E198" s="60"/>
      <c r="F198" s="6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60"/>
      <c r="B199" s="60"/>
      <c r="C199" s="8"/>
      <c r="D199" s="8"/>
      <c r="E199" s="60"/>
      <c r="F199" s="6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60"/>
      <c r="B200" s="60"/>
      <c r="C200" s="8"/>
      <c r="D200" s="8"/>
      <c r="E200" s="60"/>
      <c r="F200" s="6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60"/>
      <c r="B201" s="60"/>
      <c r="C201" s="8"/>
      <c r="D201" s="8"/>
      <c r="E201" s="60"/>
      <c r="F201" s="6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60"/>
      <c r="B202" s="60"/>
      <c r="C202" s="8"/>
      <c r="D202" s="8"/>
      <c r="E202" s="60"/>
      <c r="F202" s="6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60"/>
      <c r="B203" s="60"/>
      <c r="C203" s="8"/>
      <c r="D203" s="8"/>
      <c r="E203" s="60"/>
      <c r="F203" s="6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60"/>
      <c r="B204" s="60"/>
      <c r="C204" s="8"/>
      <c r="D204" s="8"/>
      <c r="E204" s="60"/>
      <c r="F204" s="6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60"/>
      <c r="B205" s="60"/>
      <c r="C205" s="8"/>
      <c r="D205" s="8"/>
      <c r="E205" s="60"/>
      <c r="F205" s="6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60"/>
      <c r="B206" s="60"/>
      <c r="C206" s="8"/>
      <c r="D206" s="8"/>
      <c r="E206" s="60"/>
      <c r="F206" s="6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60"/>
      <c r="B207" s="60"/>
      <c r="C207" s="8"/>
      <c r="D207" s="8"/>
      <c r="E207" s="60"/>
      <c r="F207" s="6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60"/>
      <c r="B208" s="60"/>
      <c r="C208" s="8"/>
      <c r="D208" s="8"/>
      <c r="E208" s="60"/>
      <c r="F208" s="6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60"/>
      <c r="B209" s="60"/>
      <c r="C209" s="8"/>
      <c r="D209" s="8"/>
      <c r="E209" s="60"/>
      <c r="F209" s="6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60"/>
      <c r="B210" s="60"/>
      <c r="C210" s="8"/>
      <c r="D210" s="8"/>
      <c r="E210" s="60"/>
      <c r="F210" s="6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60"/>
      <c r="B211" s="60"/>
      <c r="C211" s="8"/>
      <c r="D211" s="8"/>
      <c r="E211" s="60"/>
      <c r="F211" s="6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60"/>
      <c r="B212" s="60"/>
      <c r="C212" s="8"/>
      <c r="D212" s="8"/>
      <c r="E212" s="60"/>
      <c r="F212" s="6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60"/>
      <c r="B213" s="60"/>
      <c r="C213" s="8"/>
      <c r="D213" s="8"/>
      <c r="E213" s="60"/>
      <c r="F213" s="6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60"/>
      <c r="B214" s="60"/>
      <c r="C214" s="8"/>
      <c r="D214" s="8"/>
      <c r="E214" s="60"/>
      <c r="F214" s="6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60"/>
      <c r="B215" s="60"/>
      <c r="C215" s="8"/>
      <c r="D215" s="8"/>
      <c r="E215" s="60"/>
      <c r="F215" s="6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60"/>
      <c r="B216" s="60"/>
      <c r="C216" s="8"/>
      <c r="D216" s="8"/>
      <c r="E216" s="60"/>
      <c r="F216" s="6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60"/>
      <c r="B217" s="60"/>
      <c r="C217" s="8"/>
      <c r="D217" s="8"/>
      <c r="E217" s="60"/>
      <c r="F217" s="6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60"/>
      <c r="B218" s="60"/>
      <c r="C218" s="8"/>
      <c r="D218" s="8"/>
      <c r="E218" s="60"/>
      <c r="F218" s="6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60"/>
      <c r="B219" s="60"/>
      <c r="C219" s="8"/>
      <c r="D219" s="8"/>
      <c r="E219" s="60"/>
      <c r="F219" s="6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60"/>
      <c r="B220" s="60"/>
      <c r="C220" s="8"/>
      <c r="D220" s="8"/>
      <c r="E220" s="60"/>
      <c r="F220" s="6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60"/>
      <c r="B221" s="60"/>
      <c r="C221" s="8"/>
      <c r="D221" s="8"/>
      <c r="E221" s="60"/>
      <c r="F221" s="6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60"/>
      <c r="B222" s="60"/>
      <c r="C222" s="8"/>
      <c r="D222" s="8"/>
      <c r="E222" s="60"/>
      <c r="F222" s="6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60"/>
      <c r="B223" s="60"/>
      <c r="C223" s="8"/>
      <c r="D223" s="8"/>
      <c r="E223" s="60"/>
      <c r="F223" s="60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60"/>
      <c r="B224" s="60"/>
      <c r="C224" s="8"/>
      <c r="D224" s="8"/>
      <c r="E224" s="60"/>
      <c r="F224" s="6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60"/>
      <c r="B225" s="60"/>
      <c r="C225" s="8"/>
      <c r="D225" s="8"/>
      <c r="E225" s="60"/>
      <c r="F225" s="60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60"/>
      <c r="B226" s="60"/>
      <c r="C226" s="8"/>
      <c r="D226" s="8"/>
      <c r="E226" s="60"/>
      <c r="F226" s="60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60"/>
      <c r="B227" s="60"/>
      <c r="C227" s="8"/>
      <c r="D227" s="8"/>
      <c r="E227" s="60"/>
      <c r="F227" s="60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60"/>
      <c r="B228" s="60"/>
      <c r="C228" s="8"/>
      <c r="D228" s="8"/>
      <c r="E228" s="60"/>
      <c r="F228" s="60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60"/>
      <c r="B229" s="60"/>
      <c r="C229" s="8"/>
      <c r="D229" s="8"/>
      <c r="E229" s="60"/>
      <c r="F229" s="6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60"/>
      <c r="B230" s="60"/>
      <c r="C230" s="8"/>
      <c r="D230" s="8"/>
      <c r="E230" s="60"/>
      <c r="F230" s="60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60"/>
      <c r="B231" s="60"/>
      <c r="C231" s="8"/>
      <c r="D231" s="8"/>
      <c r="E231" s="60"/>
      <c r="F231" s="60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60"/>
      <c r="B232" s="60"/>
      <c r="C232" s="8"/>
      <c r="D232" s="8"/>
      <c r="E232" s="60"/>
      <c r="F232" s="60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60"/>
      <c r="B233" s="60"/>
      <c r="C233" s="8"/>
      <c r="D233" s="8"/>
      <c r="E233" s="60"/>
      <c r="F233" s="60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60"/>
      <c r="B234" s="60"/>
      <c r="C234" s="8"/>
      <c r="D234" s="8"/>
      <c r="E234" s="60"/>
      <c r="F234" s="60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60"/>
      <c r="B235" s="60"/>
      <c r="C235" s="8"/>
      <c r="D235" s="8"/>
      <c r="E235" s="60"/>
      <c r="F235" s="6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60"/>
      <c r="B236" s="60"/>
      <c r="C236" s="8"/>
      <c r="D236" s="8"/>
      <c r="E236" s="60"/>
      <c r="F236" s="60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60"/>
      <c r="B237" s="60"/>
      <c r="C237" s="8"/>
      <c r="D237" s="8"/>
      <c r="E237" s="60"/>
      <c r="F237" s="60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60"/>
      <c r="B238" s="60"/>
      <c r="C238" s="8"/>
      <c r="D238" s="8"/>
      <c r="E238" s="60"/>
      <c r="F238" s="60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60"/>
      <c r="B239" s="60"/>
      <c r="C239" s="8"/>
      <c r="D239" s="8"/>
      <c r="E239" s="60"/>
      <c r="F239" s="60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60"/>
      <c r="B240" s="60"/>
      <c r="C240" s="8"/>
      <c r="D240" s="8"/>
      <c r="E240" s="60"/>
      <c r="F240" s="60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60"/>
      <c r="B241" s="60"/>
      <c r="C241" s="8"/>
      <c r="D241" s="8"/>
      <c r="E241" s="60"/>
      <c r="F241" s="6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60"/>
      <c r="B242" s="60"/>
      <c r="C242" s="8"/>
      <c r="D242" s="8"/>
      <c r="E242" s="60"/>
      <c r="F242" s="60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60"/>
      <c r="B243" s="60"/>
      <c r="C243" s="8"/>
      <c r="D243" s="8"/>
      <c r="E243" s="60"/>
      <c r="F243" s="60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60"/>
      <c r="B244" s="60"/>
      <c r="C244" s="8"/>
      <c r="D244" s="8"/>
      <c r="E244" s="60"/>
      <c r="F244" s="60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60"/>
      <c r="B245" s="60"/>
      <c r="C245" s="8"/>
      <c r="D245" s="8"/>
      <c r="E245" s="60"/>
      <c r="F245" s="60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60"/>
      <c r="B246" s="60"/>
      <c r="C246" s="8"/>
      <c r="D246" s="8"/>
      <c r="E246" s="60"/>
      <c r="F246" s="60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60"/>
      <c r="B247" s="60"/>
      <c r="C247" s="8"/>
      <c r="D247" s="8"/>
      <c r="E247" s="60"/>
      <c r="F247" s="60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60"/>
      <c r="B248" s="60"/>
      <c r="C248" s="8"/>
      <c r="D248" s="8"/>
      <c r="E248" s="60"/>
      <c r="F248" s="60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60"/>
      <c r="B249" s="60"/>
      <c r="C249" s="8"/>
      <c r="D249" s="8"/>
      <c r="E249" s="60"/>
      <c r="F249" s="60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60"/>
      <c r="B250" s="60"/>
      <c r="C250" s="8"/>
      <c r="D250" s="8"/>
      <c r="E250" s="60"/>
      <c r="F250" s="60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60"/>
      <c r="B251" s="60"/>
      <c r="C251" s="8"/>
      <c r="D251" s="8"/>
      <c r="E251" s="60"/>
      <c r="F251" s="60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60"/>
      <c r="B252" s="60"/>
      <c r="C252" s="8"/>
      <c r="D252" s="8"/>
      <c r="E252" s="60"/>
      <c r="F252" s="60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60"/>
      <c r="B253" s="60"/>
      <c r="C253" s="8"/>
      <c r="D253" s="8"/>
      <c r="E253" s="60"/>
      <c r="F253" s="60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60"/>
      <c r="B254" s="60"/>
      <c r="C254" s="8"/>
      <c r="D254" s="8"/>
      <c r="E254" s="60"/>
      <c r="F254" s="60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60"/>
      <c r="B255" s="60"/>
      <c r="C255" s="8"/>
      <c r="D255" s="8"/>
      <c r="E255" s="60"/>
      <c r="F255" s="60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60"/>
      <c r="B256" s="60"/>
      <c r="C256" s="8"/>
      <c r="D256" s="8"/>
      <c r="E256" s="60"/>
      <c r="F256" s="60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60"/>
      <c r="B257" s="60"/>
      <c r="C257" s="8"/>
      <c r="D257" s="8"/>
      <c r="E257" s="60"/>
      <c r="F257" s="60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60"/>
      <c r="B258" s="60"/>
      <c r="C258" s="8"/>
      <c r="D258" s="8"/>
      <c r="E258" s="60"/>
      <c r="F258" s="60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60"/>
      <c r="B259" s="60"/>
      <c r="C259" s="8"/>
      <c r="D259" s="8"/>
      <c r="E259" s="60"/>
      <c r="F259" s="60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60"/>
      <c r="B260" s="60"/>
      <c r="C260" s="8"/>
      <c r="D260" s="8"/>
      <c r="E260" s="60"/>
      <c r="F260" s="60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60"/>
      <c r="B261" s="60"/>
      <c r="C261" s="8"/>
      <c r="D261" s="8"/>
      <c r="E261" s="60"/>
      <c r="F261" s="60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60"/>
      <c r="B262" s="60"/>
      <c r="C262" s="8"/>
      <c r="D262" s="8"/>
      <c r="E262" s="60"/>
      <c r="F262" s="6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60"/>
      <c r="B263" s="60"/>
      <c r="C263" s="8"/>
      <c r="D263" s="8"/>
      <c r="E263" s="60"/>
      <c r="F263" s="60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60"/>
      <c r="B264" s="60"/>
      <c r="C264" s="8"/>
      <c r="D264" s="8"/>
      <c r="E264" s="60"/>
      <c r="F264" s="60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60"/>
      <c r="B265" s="60"/>
      <c r="C265" s="8"/>
      <c r="D265" s="8"/>
      <c r="E265" s="60"/>
      <c r="F265" s="60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60"/>
      <c r="B266" s="60"/>
      <c r="C266" s="8"/>
      <c r="D266" s="8"/>
      <c r="E266" s="60"/>
      <c r="F266" s="60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60"/>
      <c r="B267" s="60"/>
      <c r="C267" s="8"/>
      <c r="D267" s="8"/>
      <c r="E267" s="60"/>
      <c r="F267" s="60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60"/>
      <c r="B268" s="60"/>
      <c r="C268" s="8"/>
      <c r="D268" s="8"/>
      <c r="E268" s="60"/>
      <c r="F268" s="60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60"/>
      <c r="B269" s="60"/>
      <c r="C269" s="8"/>
      <c r="D269" s="8"/>
      <c r="E269" s="60"/>
      <c r="F269" s="60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60"/>
      <c r="B270" s="60"/>
      <c r="C270" s="8"/>
      <c r="D270" s="8"/>
      <c r="E270" s="60"/>
      <c r="F270" s="60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60"/>
      <c r="B271" s="60"/>
      <c r="C271" s="8"/>
      <c r="D271" s="8"/>
      <c r="E271" s="60"/>
      <c r="F271" s="60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60"/>
      <c r="B272" s="60"/>
      <c r="C272" s="8"/>
      <c r="D272" s="8"/>
      <c r="E272" s="60"/>
      <c r="F272" s="60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60"/>
      <c r="B273" s="60"/>
      <c r="C273" s="8"/>
      <c r="D273" s="8"/>
      <c r="E273" s="60"/>
      <c r="F273" s="60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60"/>
      <c r="B274" s="60"/>
      <c r="C274" s="8"/>
      <c r="D274" s="8"/>
      <c r="E274" s="60"/>
      <c r="F274" s="60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60"/>
      <c r="B275" s="60"/>
      <c r="C275" s="8"/>
      <c r="D275" s="8"/>
      <c r="E275" s="60"/>
      <c r="F275" s="60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60"/>
      <c r="B276" s="60"/>
      <c r="C276" s="8"/>
      <c r="D276" s="8"/>
      <c r="E276" s="60"/>
      <c r="F276" s="60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60"/>
      <c r="B277" s="60"/>
      <c r="C277" s="8"/>
      <c r="D277" s="8"/>
      <c r="E277" s="60"/>
      <c r="F277" s="60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60"/>
      <c r="B278" s="60"/>
      <c r="C278" s="8"/>
      <c r="D278" s="8"/>
      <c r="E278" s="60"/>
      <c r="F278" s="60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60"/>
      <c r="B279" s="60"/>
      <c r="C279" s="8"/>
      <c r="D279" s="8"/>
      <c r="E279" s="60"/>
      <c r="F279" s="60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60"/>
      <c r="B280" s="60"/>
      <c r="C280" s="8"/>
      <c r="D280" s="8"/>
      <c r="E280" s="60"/>
      <c r="F280" s="60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60"/>
      <c r="B281" s="60"/>
      <c r="C281" s="8"/>
      <c r="D281" s="8"/>
      <c r="E281" s="60"/>
      <c r="F281" s="60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60"/>
      <c r="B282" s="60"/>
      <c r="C282" s="8"/>
      <c r="D282" s="8"/>
      <c r="E282" s="60"/>
      <c r="F282" s="60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60"/>
      <c r="B283" s="60"/>
      <c r="C283" s="8"/>
      <c r="D283" s="8"/>
      <c r="E283" s="60"/>
      <c r="F283" s="60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60"/>
      <c r="B284" s="60"/>
      <c r="C284" s="8"/>
      <c r="D284" s="8"/>
      <c r="E284" s="60"/>
      <c r="F284" s="60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60"/>
      <c r="B285" s="60"/>
      <c r="C285" s="8"/>
      <c r="D285" s="8"/>
      <c r="E285" s="60"/>
      <c r="F285" s="60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60"/>
      <c r="B286" s="60"/>
      <c r="C286" s="8"/>
      <c r="D286" s="8"/>
      <c r="E286" s="60"/>
      <c r="F286" s="60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60"/>
      <c r="B287" s="60"/>
      <c r="C287" s="8"/>
      <c r="D287" s="8"/>
      <c r="E287" s="60"/>
      <c r="F287" s="60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60"/>
      <c r="B288" s="60"/>
      <c r="C288" s="8"/>
      <c r="D288" s="8"/>
      <c r="E288" s="60"/>
      <c r="F288" s="60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60"/>
      <c r="B289" s="60"/>
      <c r="C289" s="8"/>
      <c r="D289" s="8"/>
      <c r="E289" s="60"/>
      <c r="F289" s="60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60"/>
      <c r="B290" s="60"/>
      <c r="C290" s="8"/>
      <c r="D290" s="8"/>
      <c r="E290" s="60"/>
      <c r="F290" s="60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60"/>
      <c r="B291" s="60"/>
      <c r="C291" s="8"/>
      <c r="D291" s="8"/>
      <c r="E291" s="60"/>
      <c r="F291" s="60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60"/>
      <c r="B292" s="60"/>
      <c r="C292" s="8"/>
      <c r="D292" s="8"/>
      <c r="E292" s="60"/>
      <c r="F292" s="60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60"/>
      <c r="B293" s="60"/>
      <c r="C293" s="8"/>
      <c r="D293" s="8"/>
      <c r="E293" s="60"/>
      <c r="F293" s="60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60"/>
      <c r="B294" s="60"/>
      <c r="C294" s="8"/>
      <c r="D294" s="8"/>
      <c r="E294" s="60"/>
      <c r="F294" s="60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60"/>
      <c r="B295" s="60"/>
      <c r="C295" s="8"/>
      <c r="D295" s="8"/>
      <c r="E295" s="60"/>
      <c r="F295" s="60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60"/>
      <c r="B296" s="60"/>
      <c r="C296" s="8"/>
      <c r="D296" s="8"/>
      <c r="E296" s="60"/>
      <c r="F296" s="60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60"/>
      <c r="B297" s="60"/>
      <c r="C297" s="8"/>
      <c r="D297" s="8"/>
      <c r="E297" s="60"/>
      <c r="F297" s="60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60"/>
      <c r="B298" s="60"/>
      <c r="C298" s="8"/>
      <c r="D298" s="8"/>
      <c r="E298" s="60"/>
      <c r="F298" s="60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60"/>
      <c r="B299" s="60"/>
      <c r="C299" s="8"/>
      <c r="D299" s="8"/>
      <c r="E299" s="60"/>
      <c r="F299" s="60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60"/>
      <c r="B300" s="60"/>
      <c r="C300" s="8"/>
      <c r="D300" s="8"/>
      <c r="E300" s="60"/>
      <c r="F300" s="60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60"/>
      <c r="B301" s="60"/>
      <c r="C301" s="8"/>
      <c r="D301" s="8"/>
      <c r="E301" s="60"/>
      <c r="F301" s="60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60"/>
      <c r="B302" s="60"/>
      <c r="C302" s="8"/>
      <c r="D302" s="8"/>
      <c r="E302" s="60"/>
      <c r="F302" s="60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60"/>
      <c r="B303" s="60"/>
      <c r="C303" s="8"/>
      <c r="D303" s="8"/>
      <c r="E303" s="60"/>
      <c r="F303" s="6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60"/>
      <c r="B304" s="60"/>
      <c r="C304" s="8"/>
      <c r="D304" s="8"/>
      <c r="E304" s="60"/>
      <c r="F304" s="60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60"/>
      <c r="B305" s="60"/>
      <c r="C305" s="8"/>
      <c r="D305" s="8"/>
      <c r="E305" s="60"/>
      <c r="F305" s="60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60"/>
      <c r="B306" s="60"/>
      <c r="C306" s="8"/>
      <c r="D306" s="8"/>
      <c r="E306" s="60"/>
      <c r="F306" s="60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60"/>
      <c r="B307" s="60"/>
      <c r="C307" s="8"/>
      <c r="D307" s="8"/>
      <c r="E307" s="60"/>
      <c r="F307" s="60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60"/>
      <c r="B308" s="60"/>
      <c r="C308" s="8"/>
      <c r="D308" s="8"/>
      <c r="E308" s="60"/>
      <c r="F308" s="60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60"/>
      <c r="B309" s="60"/>
      <c r="C309" s="8"/>
      <c r="D309" s="8"/>
      <c r="E309" s="60"/>
      <c r="F309" s="60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60"/>
      <c r="B310" s="60"/>
      <c r="C310" s="8"/>
      <c r="D310" s="8"/>
      <c r="E310" s="60"/>
      <c r="F310" s="60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60"/>
      <c r="B311" s="60"/>
      <c r="C311" s="8"/>
      <c r="D311" s="8"/>
      <c r="E311" s="60"/>
      <c r="F311" s="60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60"/>
      <c r="B312" s="60"/>
      <c r="C312" s="8"/>
      <c r="D312" s="8"/>
      <c r="E312" s="60"/>
      <c r="F312" s="60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60"/>
      <c r="B313" s="60"/>
      <c r="C313" s="8"/>
      <c r="D313" s="8"/>
      <c r="E313" s="60"/>
      <c r="F313" s="60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60"/>
      <c r="B314" s="60"/>
      <c r="C314" s="8"/>
      <c r="D314" s="8"/>
      <c r="E314" s="60"/>
      <c r="F314" s="60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60"/>
      <c r="B315" s="60"/>
      <c r="C315" s="8"/>
      <c r="D315" s="8"/>
      <c r="E315" s="60"/>
      <c r="F315" s="60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60"/>
      <c r="B316" s="60"/>
      <c r="C316" s="8"/>
      <c r="D316" s="8"/>
      <c r="E316" s="60"/>
      <c r="F316" s="60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60"/>
      <c r="B317" s="60"/>
      <c r="C317" s="8"/>
      <c r="D317" s="8"/>
      <c r="E317" s="60"/>
      <c r="F317" s="60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60"/>
      <c r="B318" s="60"/>
      <c r="C318" s="8"/>
      <c r="D318" s="8"/>
      <c r="E318" s="60"/>
      <c r="F318" s="60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60"/>
      <c r="B319" s="60"/>
      <c r="C319" s="8"/>
      <c r="D319" s="8"/>
      <c r="E319" s="60"/>
      <c r="F319" s="60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60"/>
      <c r="B320" s="60"/>
      <c r="C320" s="8"/>
      <c r="D320" s="8"/>
      <c r="E320" s="60"/>
      <c r="F320" s="60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60"/>
      <c r="B321" s="60"/>
      <c r="C321" s="8"/>
      <c r="D321" s="8"/>
      <c r="E321" s="60"/>
      <c r="F321" s="60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60"/>
      <c r="B322" s="60"/>
      <c r="C322" s="8"/>
      <c r="D322" s="8"/>
      <c r="E322" s="60"/>
      <c r="F322" s="60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60"/>
      <c r="B323" s="60"/>
      <c r="C323" s="8"/>
      <c r="D323" s="8"/>
      <c r="E323" s="60"/>
      <c r="F323" s="60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60"/>
      <c r="B324" s="60"/>
      <c r="C324" s="8"/>
      <c r="D324" s="8"/>
      <c r="E324" s="60"/>
      <c r="F324" s="60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60"/>
      <c r="B325" s="60"/>
      <c r="C325" s="8"/>
      <c r="D325" s="8"/>
      <c r="E325" s="60"/>
      <c r="F325" s="60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60"/>
      <c r="B326" s="60"/>
      <c r="C326" s="8"/>
      <c r="D326" s="8"/>
      <c r="E326" s="60"/>
      <c r="F326" s="60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60"/>
      <c r="B327" s="60"/>
      <c r="C327" s="8"/>
      <c r="D327" s="8"/>
      <c r="E327" s="60"/>
      <c r="F327" s="60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60"/>
      <c r="B328" s="60"/>
      <c r="C328" s="8"/>
      <c r="D328" s="8"/>
      <c r="E328" s="60"/>
      <c r="F328" s="60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60"/>
      <c r="B329" s="60"/>
      <c r="C329" s="8"/>
      <c r="D329" s="8"/>
      <c r="E329" s="60"/>
      <c r="F329" s="60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60"/>
      <c r="B330" s="60"/>
      <c r="C330" s="8"/>
      <c r="D330" s="8"/>
      <c r="E330" s="60"/>
      <c r="F330" s="60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60"/>
      <c r="B331" s="60"/>
      <c r="C331" s="8"/>
      <c r="D331" s="8"/>
      <c r="E331" s="60"/>
      <c r="F331" s="60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60"/>
      <c r="B332" s="60"/>
      <c r="C332" s="8"/>
      <c r="D332" s="8"/>
      <c r="E332" s="60"/>
      <c r="F332" s="60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60"/>
      <c r="B333" s="60"/>
      <c r="C333" s="8"/>
      <c r="D333" s="8"/>
      <c r="E333" s="60"/>
      <c r="F333" s="60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60"/>
      <c r="B334" s="60"/>
      <c r="C334" s="8"/>
      <c r="D334" s="8"/>
      <c r="E334" s="60"/>
      <c r="F334" s="60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60"/>
      <c r="B335" s="60"/>
      <c r="C335" s="8"/>
      <c r="D335" s="8"/>
      <c r="E335" s="60"/>
      <c r="F335" s="60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60"/>
      <c r="B336" s="60"/>
      <c r="C336" s="8"/>
      <c r="D336" s="8"/>
      <c r="E336" s="60"/>
      <c r="F336" s="60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60"/>
      <c r="B337" s="60"/>
      <c r="C337" s="8"/>
      <c r="D337" s="8"/>
      <c r="E337" s="60"/>
      <c r="F337" s="60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60"/>
      <c r="B338" s="60"/>
      <c r="C338" s="8"/>
      <c r="D338" s="8"/>
      <c r="E338" s="60"/>
      <c r="F338" s="60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60"/>
      <c r="B339" s="60"/>
      <c r="C339" s="8"/>
      <c r="D339" s="8"/>
      <c r="E339" s="60"/>
      <c r="F339" s="60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60"/>
      <c r="B340" s="60"/>
      <c r="C340" s="8"/>
      <c r="D340" s="8"/>
      <c r="E340" s="60"/>
      <c r="F340" s="60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60"/>
      <c r="B341" s="60"/>
      <c r="C341" s="8"/>
      <c r="D341" s="8"/>
      <c r="E341" s="60"/>
      <c r="F341" s="60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60"/>
      <c r="B342" s="60"/>
      <c r="C342" s="8"/>
      <c r="D342" s="8"/>
      <c r="E342" s="60"/>
      <c r="F342" s="60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60"/>
      <c r="B343" s="60"/>
      <c r="C343" s="8"/>
      <c r="D343" s="8"/>
      <c r="E343" s="60"/>
      <c r="F343" s="60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60"/>
      <c r="B344" s="60"/>
      <c r="C344" s="8"/>
      <c r="D344" s="8"/>
      <c r="E344" s="60"/>
      <c r="F344" s="60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60"/>
      <c r="B345" s="60"/>
      <c r="C345" s="8"/>
      <c r="D345" s="8"/>
      <c r="E345" s="60"/>
      <c r="F345" s="60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60"/>
      <c r="B346" s="60"/>
      <c r="C346" s="8"/>
      <c r="D346" s="8"/>
      <c r="E346" s="60"/>
      <c r="F346" s="60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60"/>
      <c r="B347" s="60"/>
      <c r="C347" s="8"/>
      <c r="D347" s="8"/>
      <c r="E347" s="60"/>
      <c r="F347" s="60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60"/>
      <c r="B348" s="60"/>
      <c r="C348" s="8"/>
      <c r="D348" s="8"/>
      <c r="E348" s="60"/>
      <c r="F348" s="60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60"/>
      <c r="B349" s="60"/>
      <c r="C349" s="8"/>
      <c r="D349" s="8"/>
      <c r="E349" s="60"/>
      <c r="F349" s="60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60"/>
      <c r="B350" s="60"/>
      <c r="C350" s="8"/>
      <c r="D350" s="8"/>
      <c r="E350" s="60"/>
      <c r="F350" s="60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60"/>
      <c r="B351" s="60"/>
      <c r="C351" s="8"/>
      <c r="D351" s="8"/>
      <c r="E351" s="60"/>
      <c r="F351" s="60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60"/>
      <c r="B352" s="60"/>
      <c r="C352" s="8"/>
      <c r="D352" s="8"/>
      <c r="E352" s="60"/>
      <c r="F352" s="60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60"/>
      <c r="B353" s="60"/>
      <c r="C353" s="8"/>
      <c r="D353" s="8"/>
      <c r="E353" s="60"/>
      <c r="F353" s="60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60"/>
      <c r="B354" s="60"/>
      <c r="C354" s="8"/>
      <c r="D354" s="8"/>
      <c r="E354" s="60"/>
      <c r="F354" s="60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60"/>
      <c r="B355" s="60"/>
      <c r="C355" s="8"/>
      <c r="D355" s="8"/>
      <c r="E355" s="60"/>
      <c r="F355" s="60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60"/>
      <c r="B356" s="60"/>
      <c r="C356" s="8"/>
      <c r="D356" s="8"/>
      <c r="E356" s="60"/>
      <c r="F356" s="60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60"/>
      <c r="B357" s="60"/>
      <c r="C357" s="8"/>
      <c r="D357" s="8"/>
      <c r="E357" s="60"/>
      <c r="F357" s="60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60"/>
      <c r="B358" s="60"/>
      <c r="C358" s="8"/>
      <c r="D358" s="8"/>
      <c r="E358" s="60"/>
      <c r="F358" s="60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60"/>
      <c r="B359" s="60"/>
      <c r="C359" s="8"/>
      <c r="D359" s="8"/>
      <c r="E359" s="60"/>
      <c r="F359" s="60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60"/>
      <c r="B360" s="60"/>
      <c r="C360" s="8"/>
      <c r="D360" s="8"/>
      <c r="E360" s="60"/>
      <c r="F360" s="60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60"/>
      <c r="B361" s="60"/>
      <c r="C361" s="8"/>
      <c r="D361" s="8"/>
      <c r="E361" s="60"/>
      <c r="F361" s="60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60"/>
      <c r="B362" s="60"/>
      <c r="C362" s="8"/>
      <c r="D362" s="8"/>
      <c r="E362" s="60"/>
      <c r="F362" s="60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60"/>
      <c r="B363" s="60"/>
      <c r="C363" s="8"/>
      <c r="D363" s="8"/>
      <c r="E363" s="60"/>
      <c r="F363" s="60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60"/>
      <c r="B364" s="60"/>
      <c r="C364" s="8"/>
      <c r="D364" s="8"/>
      <c r="E364" s="60"/>
      <c r="F364" s="60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60"/>
      <c r="B365" s="60"/>
      <c r="C365" s="8"/>
      <c r="D365" s="8"/>
      <c r="E365" s="60"/>
      <c r="F365" s="60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60"/>
      <c r="B366" s="60"/>
      <c r="C366" s="8"/>
      <c r="D366" s="8"/>
      <c r="E366" s="60"/>
      <c r="F366" s="60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60"/>
      <c r="B367" s="60"/>
      <c r="C367" s="8"/>
      <c r="D367" s="8"/>
      <c r="E367" s="60"/>
      <c r="F367" s="60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60"/>
      <c r="B368" s="60"/>
      <c r="C368" s="8"/>
      <c r="D368" s="8"/>
      <c r="E368" s="60"/>
      <c r="F368" s="60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60"/>
      <c r="B369" s="60"/>
      <c r="C369" s="8"/>
      <c r="D369" s="8"/>
      <c r="E369" s="60"/>
      <c r="F369" s="60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60"/>
      <c r="B370" s="60"/>
      <c r="C370" s="8"/>
      <c r="D370" s="8"/>
      <c r="E370" s="60"/>
      <c r="F370" s="60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60"/>
      <c r="B371" s="60"/>
      <c r="C371" s="8"/>
      <c r="D371" s="8"/>
      <c r="E371" s="60"/>
      <c r="F371" s="60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60"/>
      <c r="B372" s="60"/>
      <c r="C372" s="8"/>
      <c r="D372" s="8"/>
      <c r="E372" s="60"/>
      <c r="F372" s="60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60"/>
      <c r="B373" s="60"/>
      <c r="C373" s="8"/>
      <c r="D373" s="8"/>
      <c r="E373" s="60"/>
      <c r="F373" s="60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60"/>
      <c r="B374" s="60"/>
      <c r="C374" s="8"/>
      <c r="D374" s="8"/>
      <c r="E374" s="60"/>
      <c r="F374" s="60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60"/>
      <c r="B375" s="60"/>
      <c r="C375" s="8"/>
      <c r="D375" s="8"/>
      <c r="E375" s="60"/>
      <c r="F375" s="6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60"/>
      <c r="B376" s="60"/>
      <c r="C376" s="8"/>
      <c r="D376" s="8"/>
      <c r="E376" s="60"/>
      <c r="F376" s="60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60"/>
      <c r="B377" s="60"/>
      <c r="C377" s="8"/>
      <c r="D377" s="8"/>
      <c r="E377" s="60"/>
      <c r="F377" s="60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60"/>
      <c r="B378" s="60"/>
      <c r="C378" s="8"/>
      <c r="D378" s="8"/>
      <c r="E378" s="60"/>
      <c r="F378" s="60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60"/>
      <c r="B379" s="60"/>
      <c r="C379" s="8"/>
      <c r="D379" s="8"/>
      <c r="E379" s="60"/>
      <c r="F379" s="60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60"/>
      <c r="B380" s="60"/>
      <c r="C380" s="8"/>
      <c r="D380" s="8"/>
      <c r="E380" s="60"/>
      <c r="F380" s="60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60"/>
      <c r="B381" s="60"/>
      <c r="C381" s="8"/>
      <c r="D381" s="8"/>
      <c r="E381" s="60"/>
      <c r="F381" s="60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60"/>
      <c r="B382" s="60"/>
      <c r="C382" s="8"/>
      <c r="D382" s="8"/>
      <c r="E382" s="60"/>
      <c r="F382" s="60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60"/>
      <c r="B383" s="60"/>
      <c r="C383" s="8"/>
      <c r="D383" s="8"/>
      <c r="E383" s="60"/>
      <c r="F383" s="60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60"/>
      <c r="B384" s="60"/>
      <c r="C384" s="8"/>
      <c r="D384" s="8"/>
      <c r="E384" s="60"/>
      <c r="F384" s="60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60"/>
      <c r="B385" s="60"/>
      <c r="C385" s="8"/>
      <c r="D385" s="8"/>
      <c r="E385" s="60"/>
      <c r="F385" s="60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60"/>
      <c r="B386" s="60"/>
      <c r="C386" s="8"/>
      <c r="D386" s="8"/>
      <c r="E386" s="60"/>
      <c r="F386" s="60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60"/>
      <c r="B387" s="60"/>
      <c r="C387" s="8"/>
      <c r="D387" s="8"/>
      <c r="E387" s="60"/>
      <c r="F387" s="60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60"/>
      <c r="B388" s="60"/>
      <c r="C388" s="8"/>
      <c r="D388" s="8"/>
      <c r="E388" s="60"/>
      <c r="F388" s="60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60"/>
      <c r="B389" s="60"/>
      <c r="C389" s="8"/>
      <c r="D389" s="8"/>
      <c r="E389" s="60"/>
      <c r="F389" s="60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60"/>
      <c r="B390" s="60"/>
      <c r="C390" s="8"/>
      <c r="D390" s="8"/>
      <c r="E390" s="60"/>
      <c r="F390" s="60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60"/>
      <c r="B391" s="60"/>
      <c r="C391" s="8"/>
      <c r="D391" s="8"/>
      <c r="E391" s="60"/>
      <c r="F391" s="60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60"/>
      <c r="B392" s="60"/>
      <c r="C392" s="8"/>
      <c r="D392" s="8"/>
      <c r="E392" s="60"/>
      <c r="F392" s="60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60"/>
      <c r="B393" s="60"/>
      <c r="C393" s="8"/>
      <c r="D393" s="8"/>
      <c r="E393" s="60"/>
      <c r="F393" s="60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60"/>
      <c r="B394" s="60"/>
      <c r="C394" s="8"/>
      <c r="D394" s="8"/>
      <c r="E394" s="60"/>
      <c r="F394" s="60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60"/>
      <c r="B395" s="60"/>
      <c r="C395" s="8"/>
      <c r="D395" s="8"/>
      <c r="E395" s="60"/>
      <c r="F395" s="60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60"/>
      <c r="B396" s="60"/>
      <c r="C396" s="8"/>
      <c r="D396" s="8"/>
      <c r="E396" s="60"/>
      <c r="F396" s="60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60"/>
      <c r="B397" s="60"/>
      <c r="C397" s="8"/>
      <c r="D397" s="8"/>
      <c r="E397" s="60"/>
      <c r="F397" s="60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60"/>
      <c r="B398" s="60"/>
      <c r="C398" s="8"/>
      <c r="D398" s="8"/>
      <c r="E398" s="60"/>
      <c r="F398" s="60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60"/>
      <c r="B399" s="60"/>
      <c r="C399" s="8"/>
      <c r="D399" s="8"/>
      <c r="E399" s="60"/>
      <c r="F399" s="60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60"/>
      <c r="B400" s="60"/>
      <c r="C400" s="8"/>
      <c r="D400" s="8"/>
      <c r="E400" s="60"/>
      <c r="F400" s="60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60"/>
      <c r="B401" s="60"/>
      <c r="C401" s="8"/>
      <c r="D401" s="8"/>
      <c r="E401" s="60"/>
      <c r="F401" s="60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60"/>
      <c r="B402" s="60"/>
      <c r="C402" s="8"/>
      <c r="D402" s="8"/>
      <c r="E402" s="60"/>
      <c r="F402" s="60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60"/>
      <c r="B403" s="60"/>
      <c r="C403" s="8"/>
      <c r="D403" s="8"/>
      <c r="E403" s="60"/>
      <c r="F403" s="60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60"/>
      <c r="B404" s="60"/>
      <c r="C404" s="8"/>
      <c r="D404" s="8"/>
      <c r="E404" s="60"/>
      <c r="F404" s="60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60"/>
      <c r="B405" s="60"/>
      <c r="C405" s="8"/>
      <c r="D405" s="8"/>
      <c r="E405" s="60"/>
      <c r="F405" s="60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60"/>
      <c r="B406" s="60"/>
      <c r="C406" s="8"/>
      <c r="D406" s="8"/>
      <c r="E406" s="60"/>
      <c r="F406" s="60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60"/>
      <c r="B407" s="60"/>
      <c r="C407" s="8"/>
      <c r="D407" s="8"/>
      <c r="E407" s="60"/>
      <c r="F407" s="60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60"/>
      <c r="B408" s="60"/>
      <c r="C408" s="8"/>
      <c r="D408" s="8"/>
      <c r="E408" s="60"/>
      <c r="F408" s="60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60"/>
      <c r="B409" s="60"/>
      <c r="C409" s="8"/>
      <c r="D409" s="8"/>
      <c r="E409" s="60"/>
      <c r="F409" s="60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60"/>
      <c r="B410" s="60"/>
      <c r="C410" s="8"/>
      <c r="D410" s="8"/>
      <c r="E410" s="60"/>
      <c r="F410" s="60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60"/>
      <c r="B411" s="60"/>
      <c r="C411" s="8"/>
      <c r="D411" s="8"/>
      <c r="E411" s="60"/>
      <c r="F411" s="60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60"/>
      <c r="B412" s="60"/>
      <c r="C412" s="8"/>
      <c r="D412" s="8"/>
      <c r="E412" s="60"/>
      <c r="F412" s="60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60"/>
      <c r="B413" s="60"/>
      <c r="C413" s="8"/>
      <c r="D413" s="8"/>
      <c r="E413" s="60"/>
      <c r="F413" s="60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60"/>
      <c r="B414" s="60"/>
      <c r="C414" s="8"/>
      <c r="D414" s="8"/>
      <c r="E414" s="60"/>
      <c r="F414" s="60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60"/>
      <c r="B415" s="60"/>
      <c r="C415" s="8"/>
      <c r="D415" s="8"/>
      <c r="E415" s="60"/>
      <c r="F415" s="60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60"/>
      <c r="B416" s="60"/>
      <c r="C416" s="8"/>
      <c r="D416" s="8"/>
      <c r="E416" s="60"/>
      <c r="F416" s="60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60"/>
      <c r="B417" s="60"/>
      <c r="C417" s="8"/>
      <c r="D417" s="8"/>
      <c r="E417" s="60"/>
      <c r="F417" s="60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60"/>
      <c r="B418" s="60"/>
      <c r="C418" s="8"/>
      <c r="D418" s="8"/>
      <c r="E418" s="60"/>
      <c r="F418" s="60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60"/>
      <c r="B419" s="60"/>
      <c r="C419" s="8"/>
      <c r="D419" s="8"/>
      <c r="E419" s="60"/>
      <c r="F419" s="60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60"/>
      <c r="B420" s="60"/>
      <c r="C420" s="8"/>
      <c r="D420" s="8"/>
      <c r="E420" s="60"/>
      <c r="F420" s="60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60"/>
      <c r="B421" s="60"/>
      <c r="C421" s="8"/>
      <c r="D421" s="8"/>
      <c r="E421" s="60"/>
      <c r="F421" s="60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60"/>
      <c r="B422" s="60"/>
      <c r="C422" s="8"/>
      <c r="D422" s="8"/>
      <c r="E422" s="60"/>
      <c r="F422" s="60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60"/>
      <c r="B423" s="60"/>
      <c r="C423" s="8"/>
      <c r="D423" s="8"/>
      <c r="E423" s="60"/>
      <c r="F423" s="60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60"/>
      <c r="B424" s="60"/>
      <c r="C424" s="8"/>
      <c r="D424" s="8"/>
      <c r="E424" s="60"/>
      <c r="F424" s="60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60"/>
      <c r="B425" s="60"/>
      <c r="C425" s="8"/>
      <c r="D425" s="8"/>
      <c r="E425" s="60"/>
      <c r="F425" s="60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60"/>
      <c r="B426" s="60"/>
      <c r="C426" s="8"/>
      <c r="D426" s="8"/>
      <c r="E426" s="60"/>
      <c r="F426" s="60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60"/>
      <c r="B427" s="60"/>
      <c r="C427" s="8"/>
      <c r="D427" s="8"/>
      <c r="E427" s="60"/>
      <c r="F427" s="60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60"/>
      <c r="B428" s="60"/>
      <c r="C428" s="8"/>
      <c r="D428" s="8"/>
      <c r="E428" s="60"/>
      <c r="F428" s="60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60"/>
      <c r="B429" s="60"/>
      <c r="C429" s="8"/>
      <c r="D429" s="8"/>
      <c r="E429" s="60"/>
      <c r="F429" s="60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60"/>
      <c r="B430" s="60"/>
      <c r="C430" s="8"/>
      <c r="D430" s="8"/>
      <c r="E430" s="60"/>
      <c r="F430" s="60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60"/>
      <c r="B431" s="60"/>
      <c r="C431" s="8"/>
      <c r="D431" s="8"/>
      <c r="E431" s="60"/>
      <c r="F431" s="60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60"/>
      <c r="B432" s="60"/>
      <c r="C432" s="8"/>
      <c r="D432" s="8"/>
      <c r="E432" s="60"/>
      <c r="F432" s="60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60"/>
      <c r="B433" s="60"/>
      <c r="C433" s="8"/>
      <c r="D433" s="8"/>
      <c r="E433" s="60"/>
      <c r="F433" s="60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60"/>
      <c r="B434" s="60"/>
      <c r="C434" s="8"/>
      <c r="D434" s="8"/>
      <c r="E434" s="60"/>
      <c r="F434" s="60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60"/>
      <c r="B435" s="60"/>
      <c r="C435" s="8"/>
      <c r="D435" s="8"/>
      <c r="E435" s="60"/>
      <c r="F435" s="60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60"/>
      <c r="B436" s="60"/>
      <c r="C436" s="8"/>
      <c r="D436" s="8"/>
      <c r="E436" s="60"/>
      <c r="F436" s="60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60"/>
      <c r="B437" s="60"/>
      <c r="C437" s="8"/>
      <c r="D437" s="8"/>
      <c r="E437" s="60"/>
      <c r="F437" s="60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60"/>
      <c r="B438" s="60"/>
      <c r="C438" s="8"/>
      <c r="D438" s="8"/>
      <c r="E438" s="60"/>
      <c r="F438" s="60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60"/>
      <c r="B439" s="60"/>
      <c r="C439" s="8"/>
      <c r="D439" s="8"/>
      <c r="E439" s="60"/>
      <c r="F439" s="60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60"/>
      <c r="B440" s="60"/>
      <c r="C440" s="8"/>
      <c r="D440" s="8"/>
      <c r="E440" s="60"/>
      <c r="F440" s="60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60"/>
      <c r="B441" s="60"/>
      <c r="C441" s="8"/>
      <c r="D441" s="8"/>
      <c r="E441" s="60"/>
      <c r="F441" s="60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60"/>
      <c r="B442" s="60"/>
      <c r="C442" s="8"/>
      <c r="D442" s="8"/>
      <c r="E442" s="60"/>
      <c r="F442" s="60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60"/>
      <c r="B443" s="60"/>
      <c r="C443" s="8"/>
      <c r="D443" s="8"/>
      <c r="E443" s="60"/>
      <c r="F443" s="60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60"/>
      <c r="B444" s="60"/>
      <c r="C444" s="8"/>
      <c r="D444" s="8"/>
      <c r="E444" s="60"/>
      <c r="F444" s="60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60"/>
      <c r="B445" s="60"/>
      <c r="C445" s="8"/>
      <c r="D445" s="8"/>
      <c r="E445" s="60"/>
      <c r="F445" s="60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60"/>
      <c r="B446" s="60"/>
      <c r="C446" s="8"/>
      <c r="D446" s="8"/>
      <c r="E446" s="60"/>
      <c r="F446" s="60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60"/>
      <c r="B447" s="60"/>
      <c r="C447" s="8"/>
      <c r="D447" s="8"/>
      <c r="E447" s="60"/>
      <c r="F447" s="60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60"/>
      <c r="B448" s="60"/>
      <c r="C448" s="8"/>
      <c r="D448" s="8"/>
      <c r="E448" s="60"/>
      <c r="F448" s="60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60"/>
      <c r="B449" s="60"/>
      <c r="C449" s="8"/>
      <c r="D449" s="8"/>
      <c r="E449" s="60"/>
      <c r="F449" s="60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60"/>
      <c r="B450" s="60"/>
      <c r="C450" s="8"/>
      <c r="D450" s="8"/>
      <c r="E450" s="60"/>
      <c r="F450" s="60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60"/>
      <c r="B451" s="60"/>
      <c r="C451" s="8"/>
      <c r="D451" s="8"/>
      <c r="E451" s="60"/>
      <c r="F451" s="60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60"/>
      <c r="B452" s="60"/>
      <c r="C452" s="8"/>
      <c r="D452" s="8"/>
      <c r="E452" s="60"/>
      <c r="F452" s="60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60"/>
      <c r="B453" s="60"/>
      <c r="C453" s="8"/>
      <c r="D453" s="8"/>
      <c r="E453" s="60"/>
      <c r="F453" s="60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60"/>
      <c r="B454" s="60"/>
      <c r="C454" s="8"/>
      <c r="D454" s="8"/>
      <c r="E454" s="60"/>
      <c r="F454" s="60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60"/>
      <c r="B455" s="60"/>
      <c r="C455" s="8"/>
      <c r="D455" s="8"/>
      <c r="E455" s="60"/>
      <c r="F455" s="60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60"/>
      <c r="B456" s="60"/>
      <c r="C456" s="8"/>
      <c r="D456" s="8"/>
      <c r="E456" s="60"/>
      <c r="F456" s="60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60"/>
      <c r="B457" s="60"/>
      <c r="C457" s="8"/>
      <c r="D457" s="8"/>
      <c r="E457" s="60"/>
      <c r="F457" s="60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60"/>
      <c r="B458" s="60"/>
      <c r="C458" s="8"/>
      <c r="D458" s="8"/>
      <c r="E458" s="60"/>
      <c r="F458" s="60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60"/>
      <c r="B459" s="60"/>
      <c r="C459" s="8"/>
      <c r="D459" s="8"/>
      <c r="E459" s="60"/>
      <c r="F459" s="60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60"/>
      <c r="B460" s="60"/>
      <c r="C460" s="8"/>
      <c r="D460" s="8"/>
      <c r="E460" s="60"/>
      <c r="F460" s="60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60"/>
      <c r="B461" s="60"/>
      <c r="C461" s="8"/>
      <c r="D461" s="8"/>
      <c r="E461" s="60"/>
      <c r="F461" s="60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60"/>
      <c r="B462" s="60"/>
      <c r="C462" s="8"/>
      <c r="D462" s="8"/>
      <c r="E462" s="60"/>
      <c r="F462" s="60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60"/>
      <c r="B463" s="60"/>
      <c r="C463" s="8"/>
      <c r="D463" s="8"/>
      <c r="E463" s="60"/>
      <c r="F463" s="60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60"/>
      <c r="B464" s="60"/>
      <c r="C464" s="8"/>
      <c r="D464" s="8"/>
      <c r="E464" s="60"/>
      <c r="F464" s="60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60"/>
      <c r="B465" s="60"/>
      <c r="C465" s="8"/>
      <c r="D465" s="8"/>
      <c r="E465" s="60"/>
      <c r="F465" s="60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60"/>
      <c r="B466" s="60"/>
      <c r="C466" s="8"/>
      <c r="D466" s="8"/>
      <c r="E466" s="60"/>
      <c r="F466" s="60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60"/>
      <c r="B467" s="60"/>
      <c r="C467" s="8"/>
      <c r="D467" s="8"/>
      <c r="E467" s="60"/>
      <c r="F467" s="60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60"/>
      <c r="B468" s="60"/>
      <c r="C468" s="8"/>
      <c r="D468" s="8"/>
      <c r="E468" s="60"/>
      <c r="F468" s="60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60"/>
      <c r="B469" s="60"/>
      <c r="C469" s="8"/>
      <c r="D469" s="8"/>
      <c r="E469" s="60"/>
      <c r="F469" s="60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60"/>
      <c r="B470" s="60"/>
      <c r="C470" s="8"/>
      <c r="D470" s="8"/>
      <c r="E470" s="60"/>
      <c r="F470" s="60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60"/>
      <c r="B471" s="60"/>
      <c r="C471" s="8"/>
      <c r="D471" s="8"/>
      <c r="E471" s="60"/>
      <c r="F471" s="60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60"/>
      <c r="B472" s="60"/>
      <c r="C472" s="8"/>
      <c r="D472" s="8"/>
      <c r="E472" s="60"/>
      <c r="F472" s="60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60"/>
      <c r="B473" s="60"/>
      <c r="C473" s="8"/>
      <c r="D473" s="8"/>
      <c r="E473" s="60"/>
      <c r="F473" s="60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60"/>
      <c r="B474" s="60"/>
      <c r="C474" s="8"/>
      <c r="D474" s="8"/>
      <c r="E474" s="60"/>
      <c r="F474" s="60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60"/>
      <c r="B475" s="60"/>
      <c r="C475" s="8"/>
      <c r="D475" s="8"/>
      <c r="E475" s="60"/>
      <c r="F475" s="60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60"/>
      <c r="B476" s="60"/>
      <c r="C476" s="8"/>
      <c r="D476" s="8"/>
      <c r="E476" s="60"/>
      <c r="F476" s="60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60"/>
      <c r="B477" s="60"/>
      <c r="C477" s="8"/>
      <c r="D477" s="8"/>
      <c r="E477" s="60"/>
      <c r="F477" s="60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60"/>
      <c r="B478" s="60"/>
      <c r="C478" s="8"/>
      <c r="D478" s="8"/>
      <c r="E478" s="60"/>
      <c r="F478" s="60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60"/>
      <c r="B479" s="60"/>
      <c r="C479" s="8"/>
      <c r="D479" s="8"/>
      <c r="E479" s="60"/>
      <c r="F479" s="60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60"/>
      <c r="B480" s="60"/>
      <c r="C480" s="8"/>
      <c r="D480" s="8"/>
      <c r="E480" s="60"/>
      <c r="F480" s="60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60"/>
      <c r="B481" s="60"/>
      <c r="C481" s="8"/>
      <c r="D481" s="8"/>
      <c r="E481" s="60"/>
      <c r="F481" s="60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60"/>
      <c r="B482" s="60"/>
      <c r="C482" s="8"/>
      <c r="D482" s="8"/>
      <c r="E482" s="60"/>
      <c r="F482" s="60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60"/>
      <c r="B483" s="60"/>
      <c r="C483" s="8"/>
      <c r="D483" s="8"/>
      <c r="E483" s="60"/>
      <c r="F483" s="60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60"/>
      <c r="B484" s="60"/>
      <c r="C484" s="8"/>
      <c r="D484" s="8"/>
      <c r="E484" s="60"/>
      <c r="F484" s="60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60"/>
      <c r="B485" s="60"/>
      <c r="C485" s="8"/>
      <c r="D485" s="8"/>
      <c r="E485" s="60"/>
      <c r="F485" s="60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60"/>
      <c r="B486" s="60"/>
      <c r="C486" s="8"/>
      <c r="D486" s="8"/>
      <c r="E486" s="60"/>
      <c r="F486" s="60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60"/>
      <c r="B487" s="60"/>
      <c r="C487" s="8"/>
      <c r="D487" s="8"/>
      <c r="E487" s="60"/>
      <c r="F487" s="60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60"/>
      <c r="B488" s="60"/>
      <c r="C488" s="8"/>
      <c r="D488" s="8"/>
      <c r="E488" s="60"/>
      <c r="F488" s="60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60"/>
      <c r="B489" s="60"/>
      <c r="C489" s="8"/>
      <c r="D489" s="8"/>
      <c r="E489" s="60"/>
      <c r="F489" s="60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60"/>
      <c r="B490" s="60"/>
      <c r="C490" s="8"/>
      <c r="D490" s="8"/>
      <c r="E490" s="60"/>
      <c r="F490" s="60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60"/>
      <c r="B491" s="60"/>
      <c r="C491" s="8"/>
      <c r="D491" s="8"/>
      <c r="E491" s="60"/>
      <c r="F491" s="60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60"/>
      <c r="B492" s="60"/>
      <c r="C492" s="8"/>
      <c r="D492" s="8"/>
      <c r="E492" s="60"/>
      <c r="F492" s="60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60"/>
      <c r="B493" s="60"/>
      <c r="C493" s="8"/>
      <c r="D493" s="8"/>
      <c r="E493" s="60"/>
      <c r="F493" s="60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60"/>
      <c r="B494" s="60"/>
      <c r="C494" s="8"/>
      <c r="D494" s="8"/>
      <c r="E494" s="60"/>
      <c r="F494" s="60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60"/>
      <c r="B495" s="60"/>
      <c r="C495" s="8"/>
      <c r="D495" s="8"/>
      <c r="E495" s="60"/>
      <c r="F495" s="60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60"/>
      <c r="B496" s="60"/>
      <c r="C496" s="8"/>
      <c r="D496" s="8"/>
      <c r="E496" s="60"/>
      <c r="F496" s="60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60"/>
      <c r="B497" s="60"/>
      <c r="C497" s="8"/>
      <c r="D497" s="8"/>
      <c r="E497" s="60"/>
      <c r="F497" s="60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60"/>
      <c r="B498" s="60"/>
      <c r="C498" s="8"/>
      <c r="D498" s="8"/>
      <c r="E498" s="60"/>
      <c r="F498" s="60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60"/>
      <c r="B499" s="60"/>
      <c r="C499" s="8"/>
      <c r="D499" s="8"/>
      <c r="E499" s="60"/>
      <c r="F499" s="60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60"/>
      <c r="B500" s="60"/>
      <c r="C500" s="8"/>
      <c r="D500" s="8"/>
      <c r="E500" s="60"/>
      <c r="F500" s="60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60"/>
      <c r="B501" s="60"/>
      <c r="C501" s="8"/>
      <c r="D501" s="8"/>
      <c r="E501" s="60"/>
      <c r="F501" s="60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60"/>
      <c r="B502" s="60"/>
      <c r="C502" s="8"/>
      <c r="D502" s="8"/>
      <c r="E502" s="60"/>
      <c r="F502" s="60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60"/>
      <c r="B503" s="60"/>
      <c r="C503" s="8"/>
      <c r="D503" s="8"/>
      <c r="E503" s="60"/>
      <c r="F503" s="60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60"/>
      <c r="B504" s="60"/>
      <c r="C504" s="8"/>
      <c r="D504" s="8"/>
      <c r="E504" s="60"/>
      <c r="F504" s="60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60"/>
      <c r="B505" s="60"/>
      <c r="C505" s="8"/>
      <c r="D505" s="8"/>
      <c r="E505" s="60"/>
      <c r="F505" s="60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60"/>
      <c r="B506" s="60"/>
      <c r="C506" s="8"/>
      <c r="D506" s="8"/>
      <c r="E506" s="60"/>
      <c r="F506" s="60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60"/>
      <c r="B507" s="60"/>
      <c r="C507" s="8"/>
      <c r="D507" s="8"/>
      <c r="E507" s="60"/>
      <c r="F507" s="60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60"/>
      <c r="B508" s="60"/>
      <c r="C508" s="8"/>
      <c r="D508" s="8"/>
      <c r="E508" s="60"/>
      <c r="F508" s="60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60"/>
      <c r="B509" s="60"/>
      <c r="C509" s="8"/>
      <c r="D509" s="8"/>
      <c r="E509" s="60"/>
      <c r="F509" s="60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60"/>
      <c r="B510" s="60"/>
      <c r="C510" s="8"/>
      <c r="D510" s="8"/>
      <c r="E510" s="60"/>
      <c r="F510" s="60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60"/>
      <c r="B511" s="60"/>
      <c r="C511" s="8"/>
      <c r="D511" s="8"/>
      <c r="E511" s="60"/>
      <c r="F511" s="60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60"/>
      <c r="B512" s="60"/>
      <c r="C512" s="8"/>
      <c r="D512" s="8"/>
      <c r="E512" s="60"/>
      <c r="F512" s="60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60"/>
      <c r="B513" s="60"/>
      <c r="C513" s="8"/>
      <c r="D513" s="8"/>
      <c r="E513" s="60"/>
      <c r="F513" s="60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60"/>
      <c r="B514" s="60"/>
      <c r="C514" s="8"/>
      <c r="D514" s="8"/>
      <c r="E514" s="60"/>
      <c r="F514" s="60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60"/>
      <c r="B515" s="60"/>
      <c r="C515" s="8"/>
      <c r="D515" s="8"/>
      <c r="E515" s="60"/>
      <c r="F515" s="60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60"/>
      <c r="B516" s="60"/>
      <c r="C516" s="8"/>
      <c r="D516" s="8"/>
      <c r="E516" s="60"/>
      <c r="F516" s="60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60"/>
      <c r="B517" s="60"/>
      <c r="C517" s="8"/>
      <c r="D517" s="8"/>
      <c r="E517" s="60"/>
      <c r="F517" s="60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60"/>
      <c r="B518" s="60"/>
      <c r="C518" s="8"/>
      <c r="D518" s="8"/>
      <c r="E518" s="60"/>
      <c r="F518" s="60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60"/>
      <c r="B519" s="60"/>
      <c r="C519" s="8"/>
      <c r="D519" s="8"/>
      <c r="E519" s="60"/>
      <c r="F519" s="60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60"/>
      <c r="B520" s="60"/>
      <c r="C520" s="8"/>
      <c r="D520" s="8"/>
      <c r="E520" s="60"/>
      <c r="F520" s="60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60"/>
      <c r="B521" s="60"/>
      <c r="C521" s="8"/>
      <c r="D521" s="8"/>
      <c r="E521" s="60"/>
      <c r="F521" s="60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60"/>
      <c r="B522" s="60"/>
      <c r="C522" s="8"/>
      <c r="D522" s="8"/>
      <c r="E522" s="60"/>
      <c r="F522" s="60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60"/>
      <c r="B523" s="60"/>
      <c r="C523" s="8"/>
      <c r="D523" s="8"/>
      <c r="E523" s="60"/>
      <c r="F523" s="60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60"/>
      <c r="B524" s="60"/>
      <c r="C524" s="8"/>
      <c r="D524" s="8"/>
      <c r="E524" s="60"/>
      <c r="F524" s="60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60"/>
      <c r="B525" s="60"/>
      <c r="C525" s="8"/>
      <c r="D525" s="8"/>
      <c r="E525" s="60"/>
      <c r="F525" s="60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60"/>
      <c r="B526" s="60"/>
      <c r="C526" s="8"/>
      <c r="D526" s="8"/>
      <c r="E526" s="60"/>
      <c r="F526" s="60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60"/>
      <c r="B527" s="60"/>
      <c r="C527" s="8"/>
      <c r="D527" s="8"/>
      <c r="E527" s="60"/>
      <c r="F527" s="60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60"/>
      <c r="B528" s="60"/>
      <c r="C528" s="8"/>
      <c r="D528" s="8"/>
      <c r="E528" s="60"/>
      <c r="F528" s="60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60"/>
      <c r="B529" s="60"/>
      <c r="C529" s="8"/>
      <c r="D529" s="8"/>
      <c r="E529" s="60"/>
      <c r="F529" s="60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60"/>
      <c r="B530" s="60"/>
      <c r="C530" s="8"/>
      <c r="D530" s="8"/>
      <c r="E530" s="60"/>
      <c r="F530" s="60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60"/>
      <c r="B531" s="60"/>
      <c r="C531" s="8"/>
      <c r="D531" s="8"/>
      <c r="E531" s="60"/>
      <c r="F531" s="60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60"/>
      <c r="B532" s="60"/>
      <c r="C532" s="8"/>
      <c r="D532" s="8"/>
      <c r="E532" s="60"/>
      <c r="F532" s="60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60"/>
      <c r="B533" s="60"/>
      <c r="C533" s="8"/>
      <c r="D533" s="8"/>
      <c r="E533" s="60"/>
      <c r="F533" s="60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60"/>
      <c r="B534" s="60"/>
      <c r="C534" s="8"/>
      <c r="D534" s="8"/>
      <c r="E534" s="60"/>
      <c r="F534" s="60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60"/>
      <c r="B535" s="60"/>
      <c r="C535" s="8"/>
      <c r="D535" s="8"/>
      <c r="E535" s="60"/>
      <c r="F535" s="60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60"/>
      <c r="B536" s="60"/>
      <c r="C536" s="8"/>
      <c r="D536" s="8"/>
      <c r="E536" s="60"/>
      <c r="F536" s="60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60"/>
      <c r="B537" s="60"/>
      <c r="C537" s="8"/>
      <c r="D537" s="8"/>
      <c r="E537" s="60"/>
      <c r="F537" s="60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60"/>
      <c r="B538" s="60"/>
      <c r="C538" s="8"/>
      <c r="D538" s="8"/>
      <c r="E538" s="60"/>
      <c r="F538" s="60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60"/>
      <c r="B539" s="60"/>
      <c r="C539" s="8"/>
      <c r="D539" s="8"/>
      <c r="E539" s="60"/>
      <c r="F539" s="60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60"/>
      <c r="B540" s="60"/>
      <c r="C540" s="8"/>
      <c r="D540" s="8"/>
      <c r="E540" s="60"/>
      <c r="F540" s="60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60"/>
      <c r="B541" s="60"/>
      <c r="C541" s="8"/>
      <c r="D541" s="8"/>
      <c r="E541" s="60"/>
      <c r="F541" s="60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60"/>
      <c r="B542" s="60"/>
      <c r="C542" s="8"/>
      <c r="D542" s="8"/>
      <c r="E542" s="60"/>
      <c r="F542" s="60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60"/>
      <c r="B543" s="60"/>
      <c r="C543" s="8"/>
      <c r="D543" s="8"/>
      <c r="E543" s="60"/>
      <c r="F543" s="60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60"/>
      <c r="B544" s="60"/>
      <c r="C544" s="8"/>
      <c r="D544" s="8"/>
      <c r="E544" s="60"/>
      <c r="F544" s="60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60"/>
      <c r="B545" s="60"/>
      <c r="C545" s="8"/>
      <c r="D545" s="8"/>
      <c r="E545" s="60"/>
      <c r="F545" s="60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60"/>
      <c r="B546" s="60"/>
      <c r="C546" s="8"/>
      <c r="D546" s="8"/>
      <c r="E546" s="60"/>
      <c r="F546" s="60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60"/>
      <c r="B547" s="60"/>
      <c r="C547" s="8"/>
      <c r="D547" s="8"/>
      <c r="E547" s="60"/>
      <c r="F547" s="60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60"/>
      <c r="B548" s="60"/>
      <c r="C548" s="8"/>
      <c r="D548" s="8"/>
      <c r="E548" s="60"/>
      <c r="F548" s="60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60"/>
      <c r="B549" s="60"/>
      <c r="C549" s="8"/>
      <c r="D549" s="8"/>
      <c r="E549" s="60"/>
      <c r="F549" s="60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60"/>
      <c r="B550" s="60"/>
      <c r="C550" s="8"/>
      <c r="D550" s="8"/>
      <c r="E550" s="60"/>
      <c r="F550" s="60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60"/>
      <c r="B551" s="60"/>
      <c r="C551" s="8"/>
      <c r="D551" s="8"/>
      <c r="E551" s="60"/>
      <c r="F551" s="60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60"/>
      <c r="B552" s="60"/>
      <c r="C552" s="8"/>
      <c r="D552" s="8"/>
      <c r="E552" s="60"/>
      <c r="F552" s="60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60"/>
      <c r="B553" s="60"/>
      <c r="C553" s="8"/>
      <c r="D553" s="8"/>
      <c r="E553" s="60"/>
      <c r="F553" s="60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60"/>
      <c r="B554" s="60"/>
      <c r="C554" s="8"/>
      <c r="D554" s="8"/>
      <c r="E554" s="60"/>
      <c r="F554" s="60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60"/>
      <c r="B555" s="60"/>
      <c r="C555" s="8"/>
      <c r="D555" s="8"/>
      <c r="E555" s="60"/>
      <c r="F555" s="60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60"/>
      <c r="B556" s="60"/>
      <c r="C556" s="8"/>
      <c r="D556" s="8"/>
      <c r="E556" s="60"/>
      <c r="F556" s="60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60"/>
      <c r="B557" s="60"/>
      <c r="C557" s="8"/>
      <c r="D557" s="8"/>
      <c r="E557" s="60"/>
      <c r="F557" s="60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60"/>
      <c r="B558" s="60"/>
      <c r="C558" s="8"/>
      <c r="D558" s="8"/>
      <c r="E558" s="60"/>
      <c r="F558" s="60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60"/>
      <c r="B559" s="60"/>
      <c r="C559" s="8"/>
      <c r="D559" s="8"/>
      <c r="E559" s="60"/>
      <c r="F559" s="60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60"/>
      <c r="B560" s="60"/>
      <c r="C560" s="8"/>
      <c r="D560" s="8"/>
      <c r="E560" s="60"/>
      <c r="F560" s="60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60"/>
      <c r="B561" s="60"/>
      <c r="C561" s="8"/>
      <c r="D561" s="8"/>
      <c r="E561" s="60"/>
      <c r="F561" s="60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60"/>
      <c r="B562" s="60"/>
      <c r="C562" s="8"/>
      <c r="D562" s="8"/>
      <c r="E562" s="60"/>
      <c r="F562" s="60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60"/>
      <c r="B563" s="60"/>
      <c r="C563" s="8"/>
      <c r="D563" s="8"/>
      <c r="E563" s="60"/>
      <c r="F563" s="60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60"/>
      <c r="B564" s="60"/>
      <c r="C564" s="8"/>
      <c r="D564" s="8"/>
      <c r="E564" s="60"/>
      <c r="F564" s="60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60"/>
      <c r="B565" s="60"/>
      <c r="C565" s="8"/>
      <c r="D565" s="8"/>
      <c r="E565" s="60"/>
      <c r="F565" s="60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60"/>
      <c r="B566" s="60"/>
      <c r="C566" s="8"/>
      <c r="D566" s="8"/>
      <c r="E566" s="60"/>
      <c r="F566" s="60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60"/>
      <c r="B567" s="60"/>
      <c r="C567" s="8"/>
      <c r="D567" s="8"/>
      <c r="E567" s="60"/>
      <c r="F567" s="60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60"/>
      <c r="B568" s="60"/>
      <c r="C568" s="8"/>
      <c r="D568" s="8"/>
      <c r="E568" s="60"/>
      <c r="F568" s="60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60"/>
      <c r="B569" s="60"/>
      <c r="C569" s="8"/>
      <c r="D569" s="8"/>
      <c r="E569" s="60"/>
      <c r="F569" s="60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60"/>
      <c r="B570" s="60"/>
      <c r="C570" s="8"/>
      <c r="D570" s="8"/>
      <c r="E570" s="60"/>
      <c r="F570" s="60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60"/>
      <c r="B571" s="60"/>
      <c r="C571" s="8"/>
      <c r="D571" s="8"/>
      <c r="E571" s="60"/>
      <c r="F571" s="60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60"/>
      <c r="B572" s="60"/>
      <c r="C572" s="8"/>
      <c r="D572" s="8"/>
      <c r="E572" s="60"/>
      <c r="F572" s="60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60"/>
      <c r="B573" s="60"/>
      <c r="C573" s="8"/>
      <c r="D573" s="8"/>
      <c r="E573" s="60"/>
      <c r="F573" s="60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60"/>
      <c r="B574" s="60"/>
      <c r="C574" s="8"/>
      <c r="D574" s="8"/>
      <c r="E574" s="60"/>
      <c r="F574" s="60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60"/>
      <c r="B575" s="60"/>
      <c r="C575" s="8"/>
      <c r="D575" s="8"/>
      <c r="E575" s="60"/>
      <c r="F575" s="60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60"/>
      <c r="B576" s="60"/>
      <c r="C576" s="8"/>
      <c r="D576" s="8"/>
      <c r="E576" s="60"/>
      <c r="F576" s="60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60"/>
      <c r="B577" s="60"/>
      <c r="C577" s="8"/>
      <c r="D577" s="8"/>
      <c r="E577" s="60"/>
      <c r="F577" s="60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60"/>
      <c r="B578" s="60"/>
      <c r="C578" s="8"/>
      <c r="D578" s="8"/>
      <c r="E578" s="60"/>
      <c r="F578" s="60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60"/>
      <c r="B579" s="60"/>
      <c r="C579" s="8"/>
      <c r="D579" s="8"/>
      <c r="E579" s="60"/>
      <c r="F579" s="60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60"/>
      <c r="B580" s="60"/>
      <c r="C580" s="8"/>
      <c r="D580" s="8"/>
      <c r="E580" s="60"/>
      <c r="F580" s="60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60"/>
      <c r="B581" s="60"/>
      <c r="C581" s="8"/>
      <c r="D581" s="8"/>
      <c r="E581" s="60"/>
      <c r="F581" s="60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60"/>
      <c r="B582" s="60"/>
      <c r="C582" s="8"/>
      <c r="D582" s="8"/>
      <c r="E582" s="60"/>
      <c r="F582" s="60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60"/>
      <c r="B583" s="60"/>
      <c r="C583" s="8"/>
      <c r="D583" s="8"/>
      <c r="E583" s="60"/>
      <c r="F583" s="60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60"/>
      <c r="B584" s="60"/>
      <c r="C584" s="8"/>
      <c r="D584" s="8"/>
      <c r="E584" s="60"/>
      <c r="F584" s="60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60"/>
      <c r="B585" s="60"/>
      <c r="C585" s="8"/>
      <c r="D585" s="8"/>
      <c r="E585" s="60"/>
      <c r="F585" s="60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60"/>
      <c r="B586" s="60"/>
      <c r="C586" s="8"/>
      <c r="D586" s="8"/>
      <c r="E586" s="60"/>
      <c r="F586" s="60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60"/>
      <c r="B587" s="60"/>
      <c r="C587" s="8"/>
      <c r="D587" s="8"/>
      <c r="E587" s="60"/>
      <c r="F587" s="60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60"/>
      <c r="B588" s="60"/>
      <c r="C588" s="8"/>
      <c r="D588" s="8"/>
      <c r="E588" s="60"/>
      <c r="F588" s="60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60"/>
      <c r="B589" s="60"/>
      <c r="C589" s="8"/>
      <c r="D589" s="8"/>
      <c r="E589" s="60"/>
      <c r="F589" s="60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60"/>
      <c r="B590" s="60"/>
      <c r="C590" s="8"/>
      <c r="D590" s="8"/>
      <c r="E590" s="60"/>
      <c r="F590" s="60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60"/>
      <c r="B591" s="60"/>
      <c r="C591" s="8"/>
      <c r="D591" s="8"/>
      <c r="E591" s="60"/>
      <c r="F591" s="60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60"/>
      <c r="B592" s="60"/>
      <c r="C592" s="8"/>
      <c r="D592" s="8"/>
      <c r="E592" s="60"/>
      <c r="F592" s="60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60"/>
      <c r="B593" s="60"/>
      <c r="C593" s="8"/>
      <c r="D593" s="8"/>
      <c r="E593" s="60"/>
      <c r="F593" s="60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60"/>
      <c r="B594" s="60"/>
      <c r="C594" s="8"/>
      <c r="D594" s="8"/>
      <c r="E594" s="60"/>
      <c r="F594" s="60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60"/>
      <c r="B595" s="60"/>
      <c r="C595" s="8"/>
      <c r="D595" s="8"/>
      <c r="E595" s="60"/>
      <c r="F595" s="60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60"/>
      <c r="B596" s="60"/>
      <c r="C596" s="8"/>
      <c r="D596" s="8"/>
      <c r="E596" s="60"/>
      <c r="F596" s="60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60"/>
      <c r="B597" s="60"/>
      <c r="C597" s="8"/>
      <c r="D597" s="8"/>
      <c r="E597" s="60"/>
      <c r="F597" s="60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60"/>
      <c r="B598" s="60"/>
      <c r="C598" s="8"/>
      <c r="D598" s="8"/>
      <c r="E598" s="60"/>
      <c r="F598" s="60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60"/>
      <c r="B599" s="60"/>
      <c r="C599" s="8"/>
      <c r="D599" s="8"/>
      <c r="E599" s="60"/>
      <c r="F599" s="60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60"/>
      <c r="B600" s="60"/>
      <c r="C600" s="8"/>
      <c r="D600" s="8"/>
      <c r="E600" s="60"/>
      <c r="F600" s="60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60"/>
      <c r="B601" s="60"/>
      <c r="C601" s="8"/>
      <c r="D601" s="8"/>
      <c r="E601" s="60"/>
      <c r="F601" s="60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60"/>
      <c r="B602" s="60"/>
      <c r="C602" s="8"/>
      <c r="D602" s="8"/>
      <c r="E602" s="60"/>
      <c r="F602" s="60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60"/>
      <c r="B603" s="60"/>
      <c r="C603" s="8"/>
      <c r="D603" s="8"/>
      <c r="E603" s="60"/>
      <c r="F603" s="60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60"/>
      <c r="B604" s="60"/>
      <c r="C604" s="8"/>
      <c r="D604" s="8"/>
      <c r="E604" s="60"/>
      <c r="F604" s="60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60"/>
      <c r="B605" s="60"/>
      <c r="C605" s="8"/>
      <c r="D605" s="8"/>
      <c r="E605" s="60"/>
      <c r="F605" s="60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60"/>
      <c r="B606" s="60"/>
      <c r="C606" s="8"/>
      <c r="D606" s="8"/>
      <c r="E606" s="60"/>
      <c r="F606" s="60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60"/>
      <c r="B607" s="60"/>
      <c r="C607" s="8"/>
      <c r="D607" s="8"/>
      <c r="E607" s="60"/>
      <c r="F607" s="60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60"/>
      <c r="B608" s="60"/>
      <c r="C608" s="8"/>
      <c r="D608" s="8"/>
      <c r="E608" s="60"/>
      <c r="F608" s="60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60"/>
      <c r="B609" s="60"/>
      <c r="C609" s="8"/>
      <c r="D609" s="8"/>
      <c r="E609" s="60"/>
      <c r="F609" s="60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60"/>
      <c r="B610" s="60"/>
      <c r="C610" s="8"/>
      <c r="D610" s="8"/>
      <c r="E610" s="60"/>
      <c r="F610" s="60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60"/>
      <c r="B611" s="60"/>
      <c r="C611" s="8"/>
      <c r="D611" s="8"/>
      <c r="E611" s="60"/>
      <c r="F611" s="60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60"/>
      <c r="B612" s="60"/>
      <c r="C612" s="8"/>
      <c r="D612" s="8"/>
      <c r="E612" s="60"/>
      <c r="F612" s="60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60"/>
      <c r="B613" s="60"/>
      <c r="C613" s="8"/>
      <c r="D613" s="8"/>
      <c r="E613" s="60"/>
      <c r="F613" s="60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60"/>
      <c r="B614" s="60"/>
      <c r="C614" s="8"/>
      <c r="D614" s="8"/>
      <c r="E614" s="60"/>
      <c r="F614" s="60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60"/>
      <c r="B615" s="60"/>
      <c r="C615" s="8"/>
      <c r="D615" s="8"/>
      <c r="E615" s="60"/>
      <c r="F615" s="60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60"/>
      <c r="B616" s="60"/>
      <c r="C616" s="8"/>
      <c r="D616" s="8"/>
      <c r="E616" s="60"/>
      <c r="F616" s="60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60"/>
      <c r="B617" s="60"/>
      <c r="C617" s="8"/>
      <c r="D617" s="8"/>
      <c r="E617" s="60"/>
      <c r="F617" s="60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60"/>
      <c r="B618" s="60"/>
      <c r="C618" s="8"/>
      <c r="D618" s="8"/>
      <c r="E618" s="60"/>
      <c r="F618" s="60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60"/>
      <c r="B619" s="60"/>
      <c r="C619" s="8"/>
      <c r="D619" s="8"/>
      <c r="E619" s="60"/>
      <c r="F619" s="60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60"/>
      <c r="B620" s="60"/>
      <c r="C620" s="8"/>
      <c r="D620" s="8"/>
      <c r="E620" s="60"/>
      <c r="F620" s="60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60"/>
      <c r="B621" s="60"/>
      <c r="C621" s="8"/>
      <c r="D621" s="8"/>
      <c r="E621" s="60"/>
      <c r="F621" s="60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60"/>
      <c r="B622" s="60"/>
      <c r="C622" s="8"/>
      <c r="D622" s="8"/>
      <c r="E622" s="60"/>
      <c r="F622" s="60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60"/>
      <c r="B623" s="60"/>
      <c r="C623" s="8"/>
      <c r="D623" s="8"/>
      <c r="E623" s="60"/>
      <c r="F623" s="60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60"/>
      <c r="B624" s="60"/>
      <c r="C624" s="8"/>
      <c r="D624" s="8"/>
      <c r="E624" s="60"/>
      <c r="F624" s="60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60"/>
      <c r="B625" s="60"/>
      <c r="C625" s="8"/>
      <c r="D625" s="8"/>
      <c r="E625" s="60"/>
      <c r="F625" s="60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60"/>
      <c r="B626" s="60"/>
      <c r="C626" s="8"/>
      <c r="D626" s="8"/>
      <c r="E626" s="60"/>
      <c r="F626" s="60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60"/>
      <c r="B627" s="60"/>
      <c r="C627" s="8"/>
      <c r="D627" s="8"/>
      <c r="E627" s="60"/>
      <c r="F627" s="60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60"/>
      <c r="B628" s="60"/>
      <c r="C628" s="8"/>
      <c r="D628" s="8"/>
      <c r="E628" s="60"/>
      <c r="F628" s="60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60"/>
      <c r="B629" s="60"/>
      <c r="C629" s="8"/>
      <c r="D629" s="8"/>
      <c r="E629" s="60"/>
      <c r="F629" s="60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60"/>
      <c r="B630" s="60"/>
      <c r="C630" s="8"/>
      <c r="D630" s="8"/>
      <c r="E630" s="60"/>
      <c r="F630" s="60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60"/>
      <c r="B631" s="60"/>
      <c r="C631" s="8"/>
      <c r="D631" s="8"/>
      <c r="E631" s="60"/>
      <c r="F631" s="60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60"/>
      <c r="B632" s="60"/>
      <c r="C632" s="8"/>
      <c r="D632" s="8"/>
      <c r="E632" s="60"/>
      <c r="F632" s="60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60"/>
      <c r="B633" s="60"/>
      <c r="C633" s="8"/>
      <c r="D633" s="8"/>
      <c r="E633" s="60"/>
      <c r="F633" s="60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60"/>
      <c r="B634" s="60"/>
      <c r="C634" s="8"/>
      <c r="D634" s="8"/>
      <c r="E634" s="60"/>
      <c r="F634" s="60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60"/>
      <c r="B635" s="60"/>
      <c r="C635" s="8"/>
      <c r="D635" s="8"/>
      <c r="E635" s="60"/>
      <c r="F635" s="60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60"/>
      <c r="B636" s="60"/>
      <c r="C636" s="8"/>
      <c r="D636" s="8"/>
      <c r="E636" s="60"/>
      <c r="F636" s="60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60"/>
      <c r="B637" s="60"/>
      <c r="C637" s="8"/>
      <c r="D637" s="8"/>
      <c r="E637" s="60"/>
      <c r="F637" s="60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60"/>
      <c r="B638" s="60"/>
      <c r="C638" s="8"/>
      <c r="D638" s="8"/>
      <c r="E638" s="60"/>
      <c r="F638" s="60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60"/>
      <c r="B639" s="60"/>
      <c r="C639" s="8"/>
      <c r="D639" s="8"/>
      <c r="E639" s="60"/>
      <c r="F639" s="60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60"/>
      <c r="B640" s="60"/>
      <c r="C640" s="8"/>
      <c r="D640" s="8"/>
      <c r="E640" s="60"/>
      <c r="F640" s="60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60"/>
      <c r="B641" s="60"/>
      <c r="C641" s="8"/>
      <c r="D641" s="8"/>
      <c r="E641" s="60"/>
      <c r="F641" s="60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60"/>
      <c r="B642" s="60"/>
      <c r="C642" s="8"/>
      <c r="D642" s="8"/>
      <c r="E642" s="60"/>
      <c r="F642" s="60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60"/>
      <c r="B643" s="60"/>
      <c r="C643" s="8"/>
      <c r="D643" s="8"/>
      <c r="E643" s="60"/>
      <c r="F643" s="60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60"/>
      <c r="B644" s="60"/>
      <c r="C644" s="8"/>
      <c r="D644" s="8"/>
      <c r="E644" s="60"/>
      <c r="F644" s="60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60"/>
      <c r="B645" s="60"/>
      <c r="C645" s="8"/>
      <c r="D645" s="8"/>
      <c r="E645" s="60"/>
      <c r="F645" s="60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60"/>
      <c r="B646" s="60"/>
      <c r="C646" s="8"/>
      <c r="D646" s="8"/>
      <c r="E646" s="60"/>
      <c r="F646" s="60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60"/>
      <c r="B647" s="60"/>
      <c r="C647" s="8"/>
      <c r="D647" s="8"/>
      <c r="E647" s="60"/>
      <c r="F647" s="60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60"/>
      <c r="B648" s="60"/>
      <c r="C648" s="8"/>
      <c r="D648" s="8"/>
      <c r="E648" s="60"/>
      <c r="F648" s="60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60"/>
      <c r="B649" s="60"/>
      <c r="C649" s="8"/>
      <c r="D649" s="8"/>
      <c r="E649" s="60"/>
      <c r="F649" s="60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60"/>
      <c r="B650" s="60"/>
      <c r="C650" s="8"/>
      <c r="D650" s="8"/>
      <c r="E650" s="60"/>
      <c r="F650" s="60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60"/>
      <c r="B651" s="60"/>
      <c r="C651" s="8"/>
      <c r="D651" s="8"/>
      <c r="E651" s="60"/>
      <c r="F651" s="60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60"/>
      <c r="B652" s="60"/>
      <c r="C652" s="8"/>
      <c r="D652" s="8"/>
      <c r="E652" s="60"/>
      <c r="F652" s="60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60"/>
      <c r="B653" s="60"/>
      <c r="C653" s="8"/>
      <c r="D653" s="8"/>
      <c r="E653" s="60"/>
      <c r="F653" s="60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60"/>
      <c r="B654" s="60"/>
      <c r="C654" s="8"/>
      <c r="D654" s="8"/>
      <c r="E654" s="60"/>
      <c r="F654" s="60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60"/>
      <c r="B655" s="60"/>
      <c r="C655" s="8"/>
      <c r="D655" s="8"/>
      <c r="E655" s="60"/>
      <c r="F655" s="60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60"/>
      <c r="B656" s="60"/>
      <c r="C656" s="8"/>
      <c r="D656" s="8"/>
      <c r="E656" s="60"/>
      <c r="F656" s="60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60"/>
      <c r="B657" s="60"/>
      <c r="C657" s="8"/>
      <c r="D657" s="8"/>
      <c r="E657" s="60"/>
      <c r="F657" s="60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60"/>
      <c r="B658" s="60"/>
      <c r="C658" s="8"/>
      <c r="D658" s="8"/>
      <c r="E658" s="60"/>
      <c r="F658" s="60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60"/>
      <c r="B659" s="60"/>
      <c r="C659" s="8"/>
      <c r="D659" s="8"/>
      <c r="E659" s="60"/>
      <c r="F659" s="60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60"/>
      <c r="B660" s="60"/>
      <c r="C660" s="8"/>
      <c r="D660" s="8"/>
      <c r="E660" s="60"/>
      <c r="F660" s="60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60"/>
      <c r="B661" s="60"/>
      <c r="C661" s="8"/>
      <c r="D661" s="8"/>
      <c r="E661" s="60"/>
      <c r="F661" s="60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60"/>
      <c r="B662" s="60"/>
      <c r="C662" s="8"/>
      <c r="D662" s="8"/>
      <c r="E662" s="60"/>
      <c r="F662" s="60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60"/>
      <c r="B663" s="60"/>
      <c r="C663" s="8"/>
      <c r="D663" s="8"/>
      <c r="E663" s="60"/>
      <c r="F663" s="60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60"/>
      <c r="B664" s="60"/>
      <c r="C664" s="8"/>
      <c r="D664" s="8"/>
      <c r="E664" s="60"/>
      <c r="F664" s="60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60"/>
      <c r="B665" s="60"/>
      <c r="C665" s="8"/>
      <c r="D665" s="8"/>
      <c r="E665" s="60"/>
      <c r="F665" s="60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60"/>
      <c r="B666" s="60"/>
      <c r="C666" s="8"/>
      <c r="D666" s="8"/>
      <c r="E666" s="60"/>
      <c r="F666" s="60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60"/>
      <c r="B667" s="60"/>
      <c r="C667" s="8"/>
      <c r="D667" s="8"/>
      <c r="E667" s="60"/>
      <c r="F667" s="60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60"/>
      <c r="B668" s="60"/>
      <c r="C668" s="8"/>
      <c r="D668" s="8"/>
      <c r="E668" s="60"/>
      <c r="F668" s="60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60"/>
      <c r="B669" s="60"/>
      <c r="C669" s="8"/>
      <c r="D669" s="8"/>
      <c r="E669" s="60"/>
      <c r="F669" s="60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60"/>
      <c r="B670" s="60"/>
      <c r="C670" s="8"/>
      <c r="D670" s="8"/>
      <c r="E670" s="60"/>
      <c r="F670" s="60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60"/>
      <c r="B671" s="60"/>
      <c r="C671" s="8"/>
      <c r="D671" s="8"/>
      <c r="E671" s="60"/>
      <c r="F671" s="60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60"/>
      <c r="B672" s="60"/>
      <c r="C672" s="8"/>
      <c r="D672" s="8"/>
      <c r="E672" s="60"/>
      <c r="F672" s="60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60"/>
      <c r="B673" s="60"/>
      <c r="C673" s="8"/>
      <c r="D673" s="8"/>
      <c r="E673" s="60"/>
      <c r="F673" s="60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60"/>
      <c r="B674" s="60"/>
      <c r="C674" s="8"/>
      <c r="D674" s="8"/>
      <c r="E674" s="60"/>
      <c r="F674" s="60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60"/>
      <c r="B675" s="60"/>
      <c r="C675" s="8"/>
      <c r="D675" s="8"/>
      <c r="E675" s="60"/>
      <c r="F675" s="60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60"/>
      <c r="B676" s="60"/>
      <c r="C676" s="8"/>
      <c r="D676" s="8"/>
      <c r="E676" s="60"/>
      <c r="F676" s="60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60"/>
      <c r="B677" s="60"/>
      <c r="C677" s="8"/>
      <c r="D677" s="8"/>
      <c r="E677" s="60"/>
      <c r="F677" s="60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60"/>
      <c r="B678" s="60"/>
      <c r="C678" s="8"/>
      <c r="D678" s="8"/>
      <c r="E678" s="60"/>
      <c r="F678" s="60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60"/>
      <c r="B679" s="60"/>
      <c r="C679" s="8"/>
      <c r="D679" s="8"/>
      <c r="E679" s="60"/>
      <c r="F679" s="60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60"/>
      <c r="B680" s="60"/>
      <c r="C680" s="8"/>
      <c r="D680" s="8"/>
      <c r="E680" s="60"/>
      <c r="F680" s="60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60"/>
      <c r="B681" s="60"/>
      <c r="C681" s="8"/>
      <c r="D681" s="8"/>
      <c r="E681" s="60"/>
      <c r="F681" s="60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60"/>
      <c r="B682" s="60"/>
      <c r="C682" s="8"/>
      <c r="D682" s="8"/>
      <c r="E682" s="60"/>
      <c r="F682" s="60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60"/>
      <c r="B683" s="60"/>
      <c r="C683" s="8"/>
      <c r="D683" s="8"/>
      <c r="E683" s="60"/>
      <c r="F683" s="60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60"/>
      <c r="B684" s="60"/>
      <c r="C684" s="8"/>
      <c r="D684" s="8"/>
      <c r="E684" s="60"/>
      <c r="F684" s="60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60"/>
      <c r="B685" s="60"/>
      <c r="C685" s="8"/>
      <c r="D685" s="8"/>
      <c r="E685" s="60"/>
      <c r="F685" s="60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60"/>
      <c r="B686" s="60"/>
      <c r="C686" s="8"/>
      <c r="D686" s="8"/>
      <c r="E686" s="60"/>
      <c r="F686" s="60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60"/>
      <c r="B687" s="60"/>
      <c r="C687" s="8"/>
      <c r="D687" s="8"/>
      <c r="E687" s="60"/>
      <c r="F687" s="60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60"/>
      <c r="B688" s="60"/>
      <c r="C688" s="8"/>
      <c r="D688" s="8"/>
      <c r="E688" s="60"/>
      <c r="F688" s="60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60"/>
      <c r="B689" s="60"/>
      <c r="C689" s="8"/>
      <c r="D689" s="8"/>
      <c r="E689" s="60"/>
      <c r="F689" s="60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60"/>
      <c r="B690" s="60"/>
      <c r="C690" s="8"/>
      <c r="D690" s="8"/>
      <c r="E690" s="60"/>
      <c r="F690" s="60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60"/>
      <c r="B691" s="60"/>
      <c r="C691" s="8"/>
      <c r="D691" s="8"/>
      <c r="E691" s="60"/>
      <c r="F691" s="60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60"/>
      <c r="B692" s="60"/>
      <c r="C692" s="8"/>
      <c r="D692" s="8"/>
      <c r="E692" s="60"/>
      <c r="F692" s="60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60"/>
      <c r="B693" s="60"/>
      <c r="C693" s="8"/>
      <c r="D693" s="8"/>
      <c r="E693" s="60"/>
      <c r="F693" s="60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60"/>
      <c r="B694" s="60"/>
      <c r="C694" s="8"/>
      <c r="D694" s="8"/>
      <c r="E694" s="60"/>
      <c r="F694" s="60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60"/>
      <c r="B695" s="60"/>
      <c r="C695" s="8"/>
      <c r="D695" s="8"/>
      <c r="E695" s="60"/>
      <c r="F695" s="60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60"/>
      <c r="B696" s="60"/>
      <c r="C696" s="8"/>
      <c r="D696" s="8"/>
      <c r="E696" s="60"/>
      <c r="F696" s="60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60"/>
      <c r="B697" s="60"/>
      <c r="C697" s="8"/>
      <c r="D697" s="8"/>
      <c r="E697" s="60"/>
      <c r="F697" s="60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60"/>
      <c r="B698" s="60"/>
      <c r="C698" s="8"/>
      <c r="D698" s="8"/>
      <c r="E698" s="60"/>
      <c r="F698" s="60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60"/>
      <c r="B699" s="60"/>
      <c r="C699" s="8"/>
      <c r="D699" s="8"/>
      <c r="E699" s="60"/>
      <c r="F699" s="60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60"/>
      <c r="B700" s="60"/>
      <c r="C700" s="8"/>
      <c r="D700" s="8"/>
      <c r="E700" s="60"/>
      <c r="F700" s="60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60"/>
      <c r="B701" s="60"/>
      <c r="C701" s="8"/>
      <c r="D701" s="8"/>
      <c r="E701" s="60"/>
      <c r="F701" s="60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60"/>
      <c r="B702" s="60"/>
      <c r="C702" s="8"/>
      <c r="D702" s="8"/>
      <c r="E702" s="60"/>
      <c r="F702" s="60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60"/>
      <c r="B703" s="60"/>
      <c r="C703" s="8"/>
      <c r="D703" s="8"/>
      <c r="E703" s="60"/>
      <c r="F703" s="60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60"/>
      <c r="B704" s="60"/>
      <c r="C704" s="8"/>
      <c r="D704" s="8"/>
      <c r="E704" s="60"/>
      <c r="F704" s="60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60"/>
      <c r="B705" s="60"/>
      <c r="C705" s="8"/>
      <c r="D705" s="8"/>
      <c r="E705" s="60"/>
      <c r="F705" s="60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60"/>
      <c r="B706" s="60"/>
      <c r="C706" s="8"/>
      <c r="D706" s="8"/>
      <c r="E706" s="60"/>
      <c r="F706" s="60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60"/>
      <c r="B707" s="60"/>
      <c r="C707" s="8"/>
      <c r="D707" s="8"/>
      <c r="E707" s="60"/>
      <c r="F707" s="60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60"/>
      <c r="B708" s="60"/>
      <c r="C708" s="8"/>
      <c r="D708" s="8"/>
      <c r="E708" s="60"/>
      <c r="F708" s="60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60"/>
      <c r="B709" s="60"/>
      <c r="C709" s="8"/>
      <c r="D709" s="8"/>
      <c r="E709" s="60"/>
      <c r="F709" s="60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60"/>
      <c r="B710" s="60"/>
      <c r="C710" s="8"/>
      <c r="D710" s="8"/>
      <c r="E710" s="60"/>
      <c r="F710" s="60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60"/>
      <c r="B711" s="60"/>
      <c r="C711" s="8"/>
      <c r="D711" s="8"/>
      <c r="E711" s="60"/>
      <c r="F711" s="60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60"/>
      <c r="B712" s="60"/>
      <c r="C712" s="8"/>
      <c r="D712" s="8"/>
      <c r="E712" s="60"/>
      <c r="F712" s="60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60"/>
      <c r="B713" s="60"/>
      <c r="C713" s="8"/>
      <c r="D713" s="8"/>
      <c r="E713" s="60"/>
      <c r="F713" s="60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60"/>
      <c r="B714" s="60"/>
      <c r="C714" s="8"/>
      <c r="D714" s="8"/>
      <c r="E714" s="60"/>
      <c r="F714" s="60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60"/>
      <c r="B715" s="60"/>
      <c r="C715" s="8"/>
      <c r="D715" s="8"/>
      <c r="E715" s="60"/>
      <c r="F715" s="60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60"/>
      <c r="B716" s="60"/>
      <c r="C716" s="8"/>
      <c r="D716" s="8"/>
      <c r="E716" s="60"/>
      <c r="F716" s="60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60"/>
      <c r="B717" s="60"/>
      <c r="C717" s="8"/>
      <c r="D717" s="8"/>
      <c r="E717" s="60"/>
      <c r="F717" s="60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60"/>
      <c r="B718" s="60"/>
      <c r="C718" s="8"/>
      <c r="D718" s="8"/>
      <c r="E718" s="60"/>
      <c r="F718" s="60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60"/>
      <c r="B719" s="60"/>
      <c r="C719" s="8"/>
      <c r="D719" s="8"/>
      <c r="E719" s="60"/>
      <c r="F719" s="60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60"/>
      <c r="B720" s="60"/>
      <c r="C720" s="8"/>
      <c r="D720" s="8"/>
      <c r="E720" s="60"/>
      <c r="F720" s="60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60"/>
      <c r="B721" s="60"/>
      <c r="C721" s="8"/>
      <c r="D721" s="8"/>
      <c r="E721" s="60"/>
      <c r="F721" s="60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60"/>
      <c r="B722" s="60"/>
      <c r="C722" s="8"/>
      <c r="D722" s="8"/>
      <c r="E722" s="60"/>
      <c r="F722" s="60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60"/>
      <c r="B723" s="60"/>
      <c r="C723" s="8"/>
      <c r="D723" s="8"/>
      <c r="E723" s="60"/>
      <c r="F723" s="60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60"/>
      <c r="B724" s="60"/>
      <c r="C724" s="8"/>
      <c r="D724" s="8"/>
      <c r="E724" s="60"/>
      <c r="F724" s="60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60"/>
      <c r="B725" s="60"/>
      <c r="C725" s="8"/>
      <c r="D725" s="8"/>
      <c r="E725" s="60"/>
      <c r="F725" s="60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60"/>
      <c r="B726" s="60"/>
      <c r="C726" s="8"/>
      <c r="D726" s="8"/>
      <c r="E726" s="60"/>
      <c r="F726" s="60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60"/>
      <c r="B727" s="60"/>
      <c r="C727" s="8"/>
      <c r="D727" s="8"/>
      <c r="E727" s="60"/>
      <c r="F727" s="60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60"/>
      <c r="B728" s="60"/>
      <c r="C728" s="8"/>
      <c r="D728" s="8"/>
      <c r="E728" s="60"/>
      <c r="F728" s="60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60"/>
      <c r="B729" s="60"/>
      <c r="C729" s="8"/>
      <c r="D729" s="8"/>
      <c r="E729" s="60"/>
      <c r="F729" s="60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60"/>
      <c r="B730" s="60"/>
      <c r="C730" s="8"/>
      <c r="D730" s="8"/>
      <c r="E730" s="60"/>
      <c r="F730" s="60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60"/>
      <c r="B731" s="60"/>
      <c r="C731" s="8"/>
      <c r="D731" s="8"/>
      <c r="E731" s="60"/>
      <c r="F731" s="60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60"/>
      <c r="B732" s="60"/>
      <c r="C732" s="8"/>
      <c r="D732" s="8"/>
      <c r="E732" s="60"/>
      <c r="F732" s="60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60"/>
      <c r="B733" s="60"/>
      <c r="C733" s="8"/>
      <c r="D733" s="8"/>
      <c r="E733" s="60"/>
      <c r="F733" s="60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60"/>
      <c r="B734" s="60"/>
      <c r="C734" s="8"/>
      <c r="D734" s="8"/>
      <c r="E734" s="60"/>
      <c r="F734" s="60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60"/>
      <c r="B735" s="60"/>
      <c r="C735" s="8"/>
      <c r="D735" s="8"/>
      <c r="E735" s="60"/>
      <c r="F735" s="60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60"/>
      <c r="B736" s="60"/>
      <c r="C736" s="8"/>
      <c r="D736" s="8"/>
      <c r="E736" s="60"/>
      <c r="F736" s="60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60"/>
      <c r="B737" s="60"/>
      <c r="C737" s="8"/>
      <c r="D737" s="8"/>
      <c r="E737" s="60"/>
      <c r="F737" s="60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60"/>
      <c r="B738" s="60"/>
      <c r="C738" s="8"/>
      <c r="D738" s="8"/>
      <c r="E738" s="60"/>
      <c r="F738" s="60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60"/>
      <c r="B739" s="60"/>
      <c r="C739" s="8"/>
      <c r="D739" s="8"/>
      <c r="E739" s="60"/>
      <c r="F739" s="60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60"/>
      <c r="B740" s="60"/>
      <c r="C740" s="8"/>
      <c r="D740" s="8"/>
      <c r="E740" s="60"/>
      <c r="F740" s="60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60"/>
      <c r="B741" s="60"/>
      <c r="C741" s="8"/>
      <c r="D741" s="8"/>
      <c r="E741" s="60"/>
      <c r="F741" s="60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60"/>
      <c r="B742" s="60"/>
      <c r="C742" s="8"/>
      <c r="D742" s="8"/>
      <c r="E742" s="60"/>
      <c r="F742" s="60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60"/>
      <c r="B743" s="60"/>
      <c r="C743" s="8"/>
      <c r="D743" s="8"/>
      <c r="E743" s="60"/>
      <c r="F743" s="60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60"/>
      <c r="B744" s="60"/>
      <c r="C744" s="8"/>
      <c r="D744" s="8"/>
      <c r="E744" s="60"/>
      <c r="F744" s="60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60"/>
      <c r="B745" s="60"/>
      <c r="C745" s="8"/>
      <c r="D745" s="8"/>
      <c r="E745" s="60"/>
      <c r="F745" s="60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60"/>
      <c r="B746" s="60"/>
      <c r="C746" s="8"/>
      <c r="D746" s="8"/>
      <c r="E746" s="60"/>
      <c r="F746" s="60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60"/>
      <c r="B747" s="60"/>
      <c r="C747" s="8"/>
      <c r="D747" s="8"/>
      <c r="E747" s="60"/>
      <c r="F747" s="60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60"/>
      <c r="B748" s="60"/>
      <c r="C748" s="8"/>
      <c r="D748" s="8"/>
      <c r="E748" s="60"/>
      <c r="F748" s="60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60"/>
      <c r="B749" s="60"/>
      <c r="C749" s="8"/>
      <c r="D749" s="8"/>
      <c r="E749" s="60"/>
      <c r="F749" s="60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60"/>
      <c r="B750" s="60"/>
      <c r="C750" s="8"/>
      <c r="D750" s="8"/>
      <c r="E750" s="60"/>
      <c r="F750" s="60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60"/>
      <c r="B751" s="60"/>
      <c r="C751" s="8"/>
      <c r="D751" s="8"/>
      <c r="E751" s="60"/>
      <c r="F751" s="60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60"/>
      <c r="B752" s="60"/>
      <c r="C752" s="8"/>
      <c r="D752" s="8"/>
      <c r="E752" s="60"/>
      <c r="F752" s="60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60"/>
      <c r="B753" s="60"/>
      <c r="C753" s="8"/>
      <c r="D753" s="8"/>
      <c r="E753" s="60"/>
      <c r="F753" s="60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60"/>
      <c r="B754" s="60"/>
      <c r="C754" s="8"/>
      <c r="D754" s="8"/>
      <c r="E754" s="60"/>
      <c r="F754" s="60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60"/>
      <c r="B755" s="60"/>
      <c r="C755" s="8"/>
      <c r="D755" s="8"/>
      <c r="E755" s="60"/>
      <c r="F755" s="60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60"/>
      <c r="B756" s="60"/>
      <c r="C756" s="8"/>
      <c r="D756" s="8"/>
      <c r="E756" s="60"/>
      <c r="F756" s="60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60"/>
      <c r="B757" s="60"/>
      <c r="C757" s="8"/>
      <c r="D757" s="8"/>
      <c r="E757" s="60"/>
      <c r="F757" s="60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60"/>
      <c r="B758" s="60"/>
      <c r="C758" s="8"/>
      <c r="D758" s="8"/>
      <c r="E758" s="60"/>
      <c r="F758" s="60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60"/>
      <c r="B759" s="60"/>
      <c r="C759" s="8"/>
      <c r="D759" s="8"/>
      <c r="E759" s="60"/>
      <c r="F759" s="60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60"/>
      <c r="B760" s="60"/>
      <c r="C760" s="8"/>
      <c r="D760" s="8"/>
      <c r="E760" s="60"/>
      <c r="F760" s="60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60"/>
      <c r="B761" s="60"/>
      <c r="C761" s="8"/>
      <c r="D761" s="8"/>
      <c r="E761" s="60"/>
      <c r="F761" s="60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60"/>
      <c r="B762" s="60"/>
      <c r="C762" s="8"/>
      <c r="D762" s="8"/>
      <c r="E762" s="60"/>
      <c r="F762" s="60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60"/>
      <c r="B763" s="60"/>
      <c r="C763" s="8"/>
      <c r="D763" s="8"/>
      <c r="E763" s="60"/>
      <c r="F763" s="60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60"/>
      <c r="B764" s="60"/>
      <c r="C764" s="8"/>
      <c r="D764" s="8"/>
      <c r="E764" s="60"/>
      <c r="F764" s="60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60"/>
      <c r="B765" s="60"/>
      <c r="C765" s="8"/>
      <c r="D765" s="8"/>
      <c r="E765" s="60"/>
      <c r="F765" s="60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60"/>
      <c r="B766" s="60"/>
      <c r="C766" s="8"/>
      <c r="D766" s="8"/>
      <c r="E766" s="60"/>
      <c r="F766" s="60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60"/>
      <c r="B767" s="60"/>
      <c r="C767" s="8"/>
      <c r="D767" s="8"/>
      <c r="E767" s="60"/>
      <c r="F767" s="60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60"/>
      <c r="B768" s="60"/>
      <c r="C768" s="8"/>
      <c r="D768" s="8"/>
      <c r="E768" s="60"/>
      <c r="F768" s="60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60"/>
      <c r="B769" s="60"/>
      <c r="C769" s="8"/>
      <c r="D769" s="8"/>
      <c r="E769" s="60"/>
      <c r="F769" s="60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60"/>
      <c r="B770" s="60"/>
      <c r="C770" s="8"/>
      <c r="D770" s="8"/>
      <c r="E770" s="60"/>
      <c r="F770" s="60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60"/>
      <c r="B771" s="60"/>
      <c r="C771" s="8"/>
      <c r="D771" s="8"/>
      <c r="E771" s="60"/>
      <c r="F771" s="60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60"/>
      <c r="B772" s="60"/>
      <c r="C772" s="8"/>
      <c r="D772" s="8"/>
      <c r="E772" s="60"/>
      <c r="F772" s="60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60"/>
      <c r="B773" s="60"/>
      <c r="C773" s="8"/>
      <c r="D773" s="8"/>
      <c r="E773" s="60"/>
      <c r="F773" s="60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60"/>
      <c r="B774" s="60"/>
      <c r="C774" s="8"/>
      <c r="D774" s="8"/>
      <c r="E774" s="60"/>
      <c r="F774" s="60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60"/>
      <c r="B775" s="60"/>
      <c r="C775" s="8"/>
      <c r="D775" s="8"/>
      <c r="E775" s="60"/>
      <c r="F775" s="60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60"/>
      <c r="B776" s="60"/>
      <c r="C776" s="8"/>
      <c r="D776" s="8"/>
      <c r="E776" s="60"/>
      <c r="F776" s="60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60"/>
      <c r="B777" s="60"/>
      <c r="C777" s="8"/>
      <c r="D777" s="8"/>
      <c r="E777" s="60"/>
      <c r="F777" s="60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60"/>
      <c r="B778" s="60"/>
      <c r="C778" s="8"/>
      <c r="D778" s="8"/>
      <c r="E778" s="60"/>
      <c r="F778" s="60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60"/>
      <c r="B779" s="60"/>
      <c r="C779" s="8"/>
      <c r="D779" s="8"/>
      <c r="E779" s="60"/>
      <c r="F779" s="60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60"/>
      <c r="B780" s="60"/>
      <c r="C780" s="8"/>
      <c r="D780" s="8"/>
      <c r="E780" s="60"/>
      <c r="F780" s="60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60"/>
      <c r="B781" s="60"/>
      <c r="C781" s="8"/>
      <c r="D781" s="8"/>
      <c r="E781" s="60"/>
      <c r="F781" s="60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60"/>
      <c r="B782" s="60"/>
      <c r="C782" s="8"/>
      <c r="D782" s="8"/>
      <c r="E782" s="60"/>
      <c r="F782" s="60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60"/>
      <c r="B783" s="60"/>
      <c r="C783" s="8"/>
      <c r="D783" s="8"/>
      <c r="E783" s="60"/>
      <c r="F783" s="60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60"/>
      <c r="B784" s="60"/>
      <c r="C784" s="8"/>
      <c r="D784" s="8"/>
      <c r="E784" s="60"/>
      <c r="F784" s="60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60"/>
      <c r="B785" s="60"/>
      <c r="C785" s="8"/>
      <c r="D785" s="8"/>
      <c r="E785" s="60"/>
      <c r="F785" s="60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60"/>
      <c r="B786" s="60"/>
      <c r="C786" s="8"/>
      <c r="D786" s="8"/>
      <c r="E786" s="60"/>
      <c r="F786" s="60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60"/>
      <c r="B787" s="60"/>
      <c r="C787" s="8"/>
      <c r="D787" s="8"/>
      <c r="E787" s="60"/>
      <c r="F787" s="60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60"/>
      <c r="B788" s="60"/>
      <c r="C788" s="8"/>
      <c r="D788" s="8"/>
      <c r="E788" s="60"/>
      <c r="F788" s="60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60"/>
      <c r="B789" s="60"/>
      <c r="C789" s="8"/>
      <c r="D789" s="8"/>
      <c r="E789" s="60"/>
      <c r="F789" s="60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60"/>
      <c r="B790" s="60"/>
      <c r="C790" s="8"/>
      <c r="D790" s="8"/>
      <c r="E790" s="60"/>
      <c r="F790" s="60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60"/>
      <c r="B791" s="60"/>
      <c r="C791" s="8"/>
      <c r="D791" s="8"/>
      <c r="E791" s="60"/>
      <c r="F791" s="60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60"/>
      <c r="B792" s="60"/>
      <c r="C792" s="8"/>
      <c r="D792" s="8"/>
      <c r="E792" s="60"/>
      <c r="F792" s="60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60"/>
      <c r="B793" s="60"/>
      <c r="C793" s="8"/>
      <c r="D793" s="8"/>
      <c r="E793" s="60"/>
      <c r="F793" s="60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60"/>
      <c r="B794" s="60"/>
      <c r="C794" s="8"/>
      <c r="D794" s="8"/>
      <c r="E794" s="60"/>
      <c r="F794" s="60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60"/>
      <c r="B795" s="60"/>
      <c r="C795" s="8"/>
      <c r="D795" s="8"/>
      <c r="E795" s="60"/>
      <c r="F795" s="60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60"/>
      <c r="B796" s="60"/>
      <c r="C796" s="8"/>
      <c r="D796" s="8"/>
      <c r="E796" s="60"/>
      <c r="F796" s="60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60"/>
      <c r="B797" s="60"/>
      <c r="C797" s="8"/>
      <c r="D797" s="8"/>
      <c r="E797" s="60"/>
      <c r="F797" s="60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60"/>
      <c r="B798" s="60"/>
      <c r="C798" s="8"/>
      <c r="D798" s="8"/>
      <c r="E798" s="60"/>
      <c r="F798" s="60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60"/>
      <c r="B799" s="60"/>
      <c r="C799" s="8"/>
      <c r="D799" s="8"/>
      <c r="E799" s="60"/>
      <c r="F799" s="60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60"/>
      <c r="B800" s="60"/>
      <c r="C800" s="8"/>
      <c r="D800" s="8"/>
      <c r="E800" s="60"/>
      <c r="F800" s="60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60"/>
      <c r="B801" s="60"/>
      <c r="C801" s="8"/>
      <c r="D801" s="8"/>
      <c r="E801" s="60"/>
      <c r="F801" s="60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60"/>
      <c r="B802" s="60"/>
      <c r="C802" s="8"/>
      <c r="D802" s="8"/>
      <c r="E802" s="60"/>
      <c r="F802" s="60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60"/>
      <c r="B803" s="60"/>
      <c r="C803" s="8"/>
      <c r="D803" s="8"/>
      <c r="E803" s="60"/>
      <c r="F803" s="60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60"/>
      <c r="B804" s="60"/>
      <c r="C804" s="8"/>
      <c r="D804" s="8"/>
      <c r="E804" s="60"/>
      <c r="F804" s="60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60"/>
      <c r="B805" s="60"/>
      <c r="C805" s="8"/>
      <c r="D805" s="8"/>
      <c r="E805" s="60"/>
      <c r="F805" s="60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60"/>
      <c r="B806" s="60"/>
      <c r="C806" s="8"/>
      <c r="D806" s="8"/>
      <c r="E806" s="60"/>
      <c r="F806" s="60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60"/>
      <c r="B807" s="60"/>
      <c r="C807" s="8"/>
      <c r="D807" s="8"/>
      <c r="E807" s="60"/>
      <c r="F807" s="60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60"/>
      <c r="B808" s="60"/>
      <c r="C808" s="8"/>
      <c r="D808" s="8"/>
      <c r="E808" s="60"/>
      <c r="F808" s="60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60"/>
      <c r="B809" s="60"/>
      <c r="C809" s="8"/>
      <c r="D809" s="8"/>
      <c r="E809" s="60"/>
      <c r="F809" s="60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60"/>
      <c r="B810" s="60"/>
      <c r="C810" s="8"/>
      <c r="D810" s="8"/>
      <c r="E810" s="60"/>
      <c r="F810" s="60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60"/>
      <c r="B811" s="60"/>
      <c r="C811" s="8"/>
      <c r="D811" s="8"/>
      <c r="E811" s="60"/>
      <c r="F811" s="60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60"/>
      <c r="B812" s="60"/>
      <c r="C812" s="8"/>
      <c r="D812" s="8"/>
      <c r="E812" s="60"/>
      <c r="F812" s="60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60"/>
      <c r="B813" s="60"/>
      <c r="C813" s="8"/>
      <c r="D813" s="8"/>
      <c r="E813" s="60"/>
      <c r="F813" s="60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60"/>
      <c r="B814" s="60"/>
      <c r="C814" s="8"/>
      <c r="D814" s="8"/>
      <c r="E814" s="60"/>
      <c r="F814" s="60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60"/>
      <c r="B815" s="60"/>
      <c r="C815" s="8"/>
      <c r="D815" s="8"/>
      <c r="E815" s="60"/>
      <c r="F815" s="60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60"/>
      <c r="B816" s="60"/>
      <c r="C816" s="8"/>
      <c r="D816" s="8"/>
      <c r="E816" s="60"/>
      <c r="F816" s="60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60"/>
      <c r="B817" s="60"/>
      <c r="C817" s="8"/>
      <c r="D817" s="8"/>
      <c r="E817" s="60"/>
      <c r="F817" s="60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60"/>
      <c r="B818" s="60"/>
      <c r="C818" s="8"/>
      <c r="D818" s="8"/>
      <c r="E818" s="60"/>
      <c r="F818" s="60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60"/>
      <c r="B819" s="60"/>
      <c r="C819" s="8"/>
      <c r="D819" s="8"/>
      <c r="E819" s="60"/>
      <c r="F819" s="60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60"/>
      <c r="B820" s="60"/>
      <c r="C820" s="8"/>
      <c r="D820" s="8"/>
      <c r="E820" s="60"/>
      <c r="F820" s="60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60"/>
      <c r="B821" s="60"/>
      <c r="C821" s="8"/>
      <c r="D821" s="8"/>
      <c r="E821" s="60"/>
      <c r="F821" s="60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60"/>
      <c r="B822" s="60"/>
      <c r="C822" s="8"/>
      <c r="D822" s="8"/>
      <c r="E822" s="60"/>
      <c r="F822" s="60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60"/>
      <c r="B823" s="60"/>
      <c r="C823" s="8"/>
      <c r="D823" s="8"/>
      <c r="E823" s="60"/>
      <c r="F823" s="60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60"/>
      <c r="B824" s="60"/>
      <c r="C824" s="8"/>
      <c r="D824" s="8"/>
      <c r="E824" s="60"/>
      <c r="F824" s="60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60"/>
      <c r="B825" s="60"/>
      <c r="C825" s="8"/>
      <c r="D825" s="8"/>
      <c r="E825" s="60"/>
      <c r="F825" s="60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60"/>
      <c r="B826" s="60"/>
      <c r="C826" s="8"/>
      <c r="D826" s="8"/>
      <c r="E826" s="60"/>
      <c r="F826" s="60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60"/>
      <c r="B827" s="60"/>
      <c r="C827" s="8"/>
      <c r="D827" s="8"/>
      <c r="E827" s="60"/>
      <c r="F827" s="60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60"/>
      <c r="B828" s="60"/>
      <c r="C828" s="8"/>
      <c r="D828" s="8"/>
      <c r="E828" s="60"/>
      <c r="F828" s="60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60"/>
      <c r="B829" s="60"/>
      <c r="C829" s="8"/>
      <c r="D829" s="8"/>
      <c r="E829" s="60"/>
      <c r="F829" s="60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60"/>
      <c r="B830" s="60"/>
      <c r="C830" s="8"/>
      <c r="D830" s="8"/>
      <c r="E830" s="60"/>
      <c r="F830" s="60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60"/>
      <c r="B831" s="60"/>
      <c r="C831" s="8"/>
      <c r="D831" s="8"/>
      <c r="E831" s="60"/>
      <c r="F831" s="60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60"/>
      <c r="B832" s="60"/>
      <c r="C832" s="8"/>
      <c r="D832" s="8"/>
      <c r="E832" s="60"/>
      <c r="F832" s="60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60"/>
      <c r="B833" s="60"/>
      <c r="C833" s="8"/>
      <c r="D833" s="8"/>
      <c r="E833" s="60"/>
      <c r="F833" s="60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60"/>
      <c r="B834" s="60"/>
      <c r="C834" s="8"/>
      <c r="D834" s="8"/>
      <c r="E834" s="60"/>
      <c r="F834" s="60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60"/>
      <c r="B835" s="60"/>
      <c r="C835" s="8"/>
      <c r="D835" s="8"/>
      <c r="E835" s="60"/>
      <c r="F835" s="60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60"/>
      <c r="B836" s="60"/>
      <c r="C836" s="8"/>
      <c r="D836" s="8"/>
      <c r="E836" s="60"/>
      <c r="F836" s="60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60"/>
      <c r="B837" s="60"/>
      <c r="C837" s="8"/>
      <c r="D837" s="8"/>
      <c r="E837" s="60"/>
      <c r="F837" s="60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60"/>
      <c r="B838" s="60"/>
      <c r="C838" s="8"/>
      <c r="D838" s="8"/>
      <c r="E838" s="60"/>
      <c r="F838" s="60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60"/>
      <c r="B839" s="60"/>
      <c r="C839" s="8"/>
      <c r="D839" s="8"/>
      <c r="E839" s="60"/>
      <c r="F839" s="60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60"/>
      <c r="B840" s="60"/>
      <c r="C840" s="8"/>
      <c r="D840" s="8"/>
      <c r="E840" s="60"/>
      <c r="F840" s="60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60"/>
      <c r="B841" s="60"/>
      <c r="C841" s="8"/>
      <c r="D841" s="8"/>
      <c r="E841" s="60"/>
      <c r="F841" s="60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60"/>
      <c r="B842" s="60"/>
      <c r="C842" s="8"/>
      <c r="D842" s="8"/>
      <c r="E842" s="60"/>
      <c r="F842" s="60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60"/>
      <c r="B843" s="60"/>
      <c r="C843" s="8"/>
      <c r="D843" s="8"/>
      <c r="E843" s="60"/>
      <c r="F843" s="60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60"/>
      <c r="B844" s="60"/>
      <c r="C844" s="8"/>
      <c r="D844" s="8"/>
      <c r="E844" s="60"/>
      <c r="F844" s="60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60"/>
      <c r="B845" s="60"/>
      <c r="C845" s="8"/>
      <c r="D845" s="8"/>
      <c r="E845" s="60"/>
      <c r="F845" s="60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60"/>
      <c r="B846" s="60"/>
      <c r="C846" s="8"/>
      <c r="D846" s="8"/>
      <c r="E846" s="60"/>
      <c r="F846" s="60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60"/>
      <c r="B847" s="60"/>
      <c r="C847" s="8"/>
      <c r="D847" s="8"/>
      <c r="E847" s="60"/>
      <c r="F847" s="60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60"/>
      <c r="B848" s="60"/>
      <c r="C848" s="8"/>
      <c r="D848" s="8"/>
      <c r="E848" s="60"/>
      <c r="F848" s="60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60"/>
      <c r="B849" s="60"/>
      <c r="C849" s="8"/>
      <c r="D849" s="8"/>
      <c r="E849" s="60"/>
      <c r="F849" s="60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60"/>
      <c r="B850" s="60"/>
      <c r="C850" s="8"/>
      <c r="D850" s="8"/>
      <c r="E850" s="60"/>
      <c r="F850" s="60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60"/>
      <c r="B851" s="60"/>
      <c r="C851" s="8"/>
      <c r="D851" s="8"/>
      <c r="E851" s="60"/>
      <c r="F851" s="60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60"/>
      <c r="B852" s="60"/>
      <c r="C852" s="8"/>
      <c r="D852" s="8"/>
      <c r="E852" s="60"/>
      <c r="F852" s="60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60"/>
      <c r="B853" s="60"/>
      <c r="C853" s="8"/>
      <c r="D853" s="8"/>
      <c r="E853" s="60"/>
      <c r="F853" s="60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60"/>
      <c r="B854" s="60"/>
      <c r="C854" s="8"/>
      <c r="D854" s="8"/>
      <c r="E854" s="60"/>
      <c r="F854" s="60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60"/>
      <c r="B855" s="60"/>
      <c r="C855" s="8"/>
      <c r="D855" s="8"/>
      <c r="E855" s="60"/>
      <c r="F855" s="60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60"/>
      <c r="B856" s="60"/>
      <c r="C856" s="8"/>
      <c r="D856" s="8"/>
      <c r="E856" s="60"/>
      <c r="F856" s="60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60"/>
      <c r="B857" s="60"/>
      <c r="C857" s="8"/>
      <c r="D857" s="8"/>
      <c r="E857" s="60"/>
      <c r="F857" s="60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60"/>
      <c r="B858" s="60"/>
      <c r="C858" s="8"/>
      <c r="D858" s="8"/>
      <c r="E858" s="60"/>
      <c r="F858" s="60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60"/>
      <c r="B859" s="60"/>
      <c r="C859" s="8"/>
      <c r="D859" s="8"/>
      <c r="E859" s="60"/>
      <c r="F859" s="60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60"/>
      <c r="B860" s="60"/>
      <c r="C860" s="8"/>
      <c r="D860" s="8"/>
      <c r="E860" s="60"/>
      <c r="F860" s="60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60"/>
      <c r="B861" s="60"/>
      <c r="C861" s="8"/>
      <c r="D861" s="8"/>
      <c r="E861" s="60"/>
      <c r="F861" s="60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60"/>
      <c r="B862" s="60"/>
      <c r="C862" s="8"/>
      <c r="D862" s="8"/>
      <c r="E862" s="60"/>
      <c r="F862" s="60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60"/>
      <c r="B863" s="60"/>
      <c r="C863" s="8"/>
      <c r="D863" s="8"/>
      <c r="E863" s="60"/>
      <c r="F863" s="60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60"/>
      <c r="B864" s="60"/>
      <c r="C864" s="8"/>
      <c r="D864" s="8"/>
      <c r="E864" s="60"/>
      <c r="F864" s="60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60"/>
      <c r="B865" s="60"/>
      <c r="C865" s="8"/>
      <c r="D865" s="8"/>
      <c r="E865" s="60"/>
      <c r="F865" s="60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60"/>
      <c r="B866" s="60"/>
      <c r="C866" s="8"/>
      <c r="D866" s="8"/>
      <c r="E866" s="60"/>
      <c r="F866" s="60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60"/>
      <c r="B867" s="60"/>
      <c r="C867" s="8"/>
      <c r="D867" s="8"/>
      <c r="E867" s="60"/>
      <c r="F867" s="60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60"/>
      <c r="B868" s="60"/>
      <c r="C868" s="8"/>
      <c r="D868" s="8"/>
      <c r="E868" s="60"/>
      <c r="F868" s="60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60"/>
      <c r="B869" s="60"/>
      <c r="C869" s="8"/>
      <c r="D869" s="8"/>
      <c r="E869" s="60"/>
      <c r="F869" s="60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60"/>
      <c r="B870" s="60"/>
      <c r="C870" s="8"/>
      <c r="D870" s="8"/>
      <c r="E870" s="60"/>
      <c r="F870" s="60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60"/>
      <c r="B871" s="60"/>
      <c r="C871" s="8"/>
      <c r="D871" s="8"/>
      <c r="E871" s="60"/>
      <c r="F871" s="60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60"/>
      <c r="B872" s="60"/>
      <c r="C872" s="8"/>
      <c r="D872" s="8"/>
      <c r="E872" s="60"/>
      <c r="F872" s="60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60"/>
      <c r="B873" s="60"/>
      <c r="C873" s="8"/>
      <c r="D873" s="8"/>
      <c r="E873" s="60"/>
      <c r="F873" s="60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60"/>
      <c r="B874" s="60"/>
      <c r="C874" s="8"/>
      <c r="D874" s="8"/>
      <c r="E874" s="60"/>
      <c r="F874" s="60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60"/>
      <c r="B875" s="60"/>
      <c r="C875" s="8"/>
      <c r="D875" s="8"/>
      <c r="E875" s="60"/>
      <c r="F875" s="60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60"/>
      <c r="B876" s="60"/>
      <c r="C876" s="8"/>
      <c r="D876" s="8"/>
      <c r="E876" s="60"/>
      <c r="F876" s="60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60"/>
      <c r="B877" s="60"/>
      <c r="C877" s="8"/>
      <c r="D877" s="8"/>
      <c r="E877" s="60"/>
      <c r="F877" s="60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60"/>
      <c r="B878" s="60"/>
      <c r="C878" s="8"/>
      <c r="D878" s="8"/>
      <c r="E878" s="60"/>
      <c r="F878" s="60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60"/>
      <c r="B879" s="60"/>
      <c r="C879" s="8"/>
      <c r="D879" s="8"/>
      <c r="E879" s="60"/>
      <c r="F879" s="60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60"/>
      <c r="B880" s="60"/>
      <c r="C880" s="8"/>
      <c r="D880" s="8"/>
      <c r="E880" s="60"/>
      <c r="F880" s="60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60"/>
      <c r="B881" s="60"/>
      <c r="C881" s="8"/>
      <c r="D881" s="8"/>
      <c r="E881" s="60"/>
      <c r="F881" s="60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60"/>
      <c r="B882" s="60"/>
      <c r="C882" s="8"/>
      <c r="D882" s="8"/>
      <c r="E882" s="60"/>
      <c r="F882" s="60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60"/>
      <c r="B883" s="60"/>
      <c r="C883" s="8"/>
      <c r="D883" s="8"/>
      <c r="E883" s="60"/>
      <c r="F883" s="60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60"/>
      <c r="B884" s="60"/>
      <c r="C884" s="8"/>
      <c r="D884" s="8"/>
      <c r="E884" s="60"/>
      <c r="F884" s="60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60"/>
      <c r="B885" s="60"/>
      <c r="C885" s="8"/>
      <c r="D885" s="8"/>
      <c r="E885" s="60"/>
      <c r="F885" s="60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60"/>
      <c r="B886" s="60"/>
      <c r="C886" s="8"/>
      <c r="D886" s="8"/>
      <c r="E886" s="60"/>
      <c r="F886" s="60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60"/>
      <c r="B887" s="60"/>
      <c r="C887" s="8"/>
      <c r="D887" s="8"/>
      <c r="E887" s="60"/>
      <c r="F887" s="60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60"/>
      <c r="B888" s="60"/>
      <c r="C888" s="8"/>
      <c r="D888" s="8"/>
      <c r="E888" s="60"/>
      <c r="F888" s="60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60"/>
      <c r="B889" s="60"/>
      <c r="C889" s="8"/>
      <c r="D889" s="8"/>
      <c r="E889" s="60"/>
      <c r="F889" s="60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60"/>
      <c r="B890" s="60"/>
      <c r="C890" s="8"/>
      <c r="D890" s="8"/>
      <c r="E890" s="60"/>
      <c r="F890" s="60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60"/>
      <c r="B891" s="60"/>
      <c r="C891" s="8"/>
      <c r="D891" s="8"/>
      <c r="E891" s="60"/>
      <c r="F891" s="60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60"/>
      <c r="B892" s="60"/>
      <c r="C892" s="8"/>
      <c r="D892" s="8"/>
      <c r="E892" s="60"/>
      <c r="F892" s="60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60"/>
      <c r="B893" s="60"/>
      <c r="C893" s="8"/>
      <c r="D893" s="8"/>
      <c r="E893" s="60"/>
      <c r="F893" s="60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60"/>
      <c r="B894" s="60"/>
      <c r="C894" s="8"/>
      <c r="D894" s="8"/>
      <c r="E894" s="60"/>
      <c r="F894" s="60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60"/>
      <c r="B895" s="60"/>
      <c r="C895" s="8"/>
      <c r="D895" s="8"/>
      <c r="E895" s="60"/>
      <c r="F895" s="60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60"/>
      <c r="B896" s="60"/>
      <c r="C896" s="8"/>
      <c r="D896" s="8"/>
      <c r="E896" s="60"/>
      <c r="F896" s="60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60"/>
      <c r="B897" s="60"/>
      <c r="C897" s="8"/>
      <c r="D897" s="8"/>
      <c r="E897" s="60"/>
      <c r="F897" s="60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60"/>
      <c r="B898" s="60"/>
      <c r="C898" s="8"/>
      <c r="D898" s="8"/>
      <c r="E898" s="60"/>
      <c r="F898" s="60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60"/>
      <c r="B899" s="60"/>
      <c r="C899" s="8"/>
      <c r="D899" s="8"/>
      <c r="E899" s="60"/>
      <c r="F899" s="60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60"/>
      <c r="B900" s="60"/>
      <c r="C900" s="8"/>
      <c r="D900" s="8"/>
      <c r="E900" s="60"/>
      <c r="F900" s="60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60"/>
      <c r="B901" s="60"/>
      <c r="C901" s="8"/>
      <c r="D901" s="8"/>
      <c r="E901" s="60"/>
      <c r="F901" s="60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60"/>
      <c r="B902" s="60"/>
      <c r="C902" s="8"/>
      <c r="D902" s="8"/>
      <c r="E902" s="60"/>
      <c r="F902" s="60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60"/>
      <c r="B903" s="60"/>
      <c r="C903" s="8"/>
      <c r="D903" s="8"/>
      <c r="E903" s="60"/>
      <c r="F903" s="60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60"/>
      <c r="B904" s="60"/>
      <c r="C904" s="8"/>
      <c r="D904" s="8"/>
      <c r="E904" s="60"/>
      <c r="F904" s="60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60"/>
      <c r="B905" s="60"/>
      <c r="C905" s="8"/>
      <c r="D905" s="8"/>
      <c r="E905" s="60"/>
      <c r="F905" s="60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60"/>
      <c r="B906" s="60"/>
      <c r="C906" s="8"/>
      <c r="D906" s="8"/>
      <c r="E906" s="60"/>
      <c r="F906" s="60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60"/>
      <c r="B907" s="60"/>
      <c r="C907" s="8"/>
      <c r="D907" s="8"/>
      <c r="E907" s="60"/>
      <c r="F907" s="60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60"/>
      <c r="B908" s="60"/>
      <c r="C908" s="8"/>
      <c r="D908" s="8"/>
      <c r="E908" s="60"/>
      <c r="F908" s="60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60"/>
      <c r="B909" s="60"/>
      <c r="C909" s="8"/>
      <c r="D909" s="8"/>
      <c r="E909" s="60"/>
      <c r="F909" s="60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60"/>
      <c r="B910" s="60"/>
      <c r="C910" s="8"/>
      <c r="D910" s="8"/>
      <c r="E910" s="60"/>
      <c r="F910" s="60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60"/>
      <c r="B911" s="60"/>
      <c r="C911" s="8"/>
      <c r="D911" s="8"/>
      <c r="E911" s="60"/>
      <c r="F911" s="60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60"/>
      <c r="B912" s="60"/>
      <c r="C912" s="8"/>
      <c r="D912" s="8"/>
      <c r="E912" s="60"/>
      <c r="F912" s="60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60"/>
      <c r="B913" s="60"/>
      <c r="C913" s="8"/>
      <c r="D913" s="8"/>
      <c r="E913" s="60"/>
      <c r="F913" s="60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60"/>
      <c r="B914" s="60"/>
      <c r="C914" s="8"/>
      <c r="D914" s="8"/>
      <c r="E914" s="60"/>
      <c r="F914" s="60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60"/>
      <c r="B915" s="60"/>
      <c r="C915" s="8"/>
      <c r="D915" s="8"/>
      <c r="E915" s="60"/>
      <c r="F915" s="60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60"/>
      <c r="B916" s="60"/>
      <c r="C916" s="8"/>
      <c r="D916" s="8"/>
      <c r="E916" s="60"/>
      <c r="F916" s="60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60"/>
      <c r="B917" s="60"/>
      <c r="C917" s="8"/>
      <c r="D917" s="8"/>
      <c r="E917" s="60"/>
      <c r="F917" s="60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60"/>
      <c r="B918" s="60"/>
      <c r="C918" s="8"/>
      <c r="D918" s="8"/>
      <c r="E918" s="60"/>
      <c r="F918" s="60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60"/>
      <c r="B919" s="60"/>
      <c r="C919" s="8"/>
      <c r="D919" s="8"/>
      <c r="E919" s="60"/>
      <c r="F919" s="60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60"/>
      <c r="B920" s="60"/>
      <c r="C920" s="8"/>
      <c r="D920" s="8"/>
      <c r="E920" s="60"/>
      <c r="F920" s="60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60"/>
      <c r="B921" s="60"/>
      <c r="C921" s="8"/>
      <c r="D921" s="8"/>
      <c r="E921" s="60"/>
      <c r="F921" s="60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60"/>
      <c r="B922" s="60"/>
      <c r="C922" s="8"/>
      <c r="D922" s="8"/>
      <c r="E922" s="60"/>
      <c r="F922" s="60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60"/>
      <c r="B923" s="60"/>
      <c r="C923" s="8"/>
      <c r="D923" s="8"/>
      <c r="E923" s="60"/>
      <c r="F923" s="60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60"/>
      <c r="B924" s="60"/>
      <c r="C924" s="8"/>
      <c r="D924" s="8"/>
      <c r="E924" s="60"/>
      <c r="F924" s="60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60"/>
      <c r="B925" s="60"/>
      <c r="C925" s="8"/>
      <c r="D925" s="8"/>
      <c r="E925" s="60"/>
      <c r="F925" s="60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60"/>
      <c r="B926" s="60"/>
      <c r="C926" s="8"/>
      <c r="D926" s="8"/>
      <c r="E926" s="60"/>
      <c r="F926" s="60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60"/>
      <c r="B927" s="60"/>
      <c r="C927" s="8"/>
      <c r="D927" s="8"/>
      <c r="E927" s="60"/>
      <c r="F927" s="60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60"/>
      <c r="B928" s="60"/>
      <c r="C928" s="8"/>
      <c r="D928" s="8"/>
      <c r="E928" s="60"/>
      <c r="F928" s="60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60"/>
      <c r="B929" s="60"/>
      <c r="C929" s="8"/>
      <c r="D929" s="8"/>
      <c r="E929" s="60"/>
      <c r="F929" s="60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60"/>
      <c r="B930" s="60"/>
      <c r="C930" s="8"/>
      <c r="D930" s="8"/>
      <c r="E930" s="60"/>
      <c r="F930" s="60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60"/>
      <c r="B931" s="60"/>
      <c r="C931" s="8"/>
      <c r="D931" s="8"/>
      <c r="E931" s="60"/>
      <c r="F931" s="60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60"/>
      <c r="B932" s="60"/>
      <c r="C932" s="8"/>
      <c r="D932" s="8"/>
      <c r="E932" s="60"/>
      <c r="F932" s="60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60"/>
      <c r="B933" s="60"/>
      <c r="C933" s="8"/>
      <c r="D933" s="8"/>
      <c r="E933" s="60"/>
      <c r="F933" s="60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60"/>
      <c r="B934" s="60"/>
      <c r="C934" s="8"/>
      <c r="D934" s="8"/>
      <c r="E934" s="60"/>
      <c r="F934" s="60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60"/>
      <c r="B935" s="60"/>
      <c r="C935" s="8"/>
      <c r="D935" s="8"/>
      <c r="E935" s="60"/>
      <c r="F935" s="60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60"/>
      <c r="B936" s="60"/>
      <c r="C936" s="8"/>
      <c r="D936" s="8"/>
      <c r="E936" s="60"/>
      <c r="F936" s="60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60"/>
      <c r="B937" s="60"/>
      <c r="C937" s="8"/>
      <c r="D937" s="8"/>
      <c r="E937" s="60"/>
      <c r="F937" s="60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60"/>
      <c r="B938" s="60"/>
      <c r="C938" s="8"/>
      <c r="D938" s="8"/>
      <c r="E938" s="60"/>
      <c r="F938" s="60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60"/>
      <c r="B939" s="60"/>
      <c r="C939" s="8"/>
      <c r="D939" s="8"/>
      <c r="E939" s="60"/>
      <c r="F939" s="60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60"/>
      <c r="B940" s="60"/>
      <c r="C940" s="8"/>
      <c r="D940" s="8"/>
      <c r="E940" s="60"/>
      <c r="F940" s="60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60"/>
      <c r="B941" s="60"/>
      <c r="C941" s="8"/>
      <c r="D941" s="8"/>
      <c r="E941" s="60"/>
      <c r="F941" s="60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60"/>
      <c r="B942" s="60"/>
      <c r="C942" s="8"/>
      <c r="D942" s="8"/>
      <c r="E942" s="60"/>
      <c r="F942" s="60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60"/>
      <c r="B943" s="60"/>
      <c r="C943" s="8"/>
      <c r="D943" s="8"/>
      <c r="E943" s="60"/>
      <c r="F943" s="60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60"/>
      <c r="B944" s="60"/>
      <c r="C944" s="8"/>
      <c r="D944" s="8"/>
      <c r="E944" s="60"/>
      <c r="F944" s="60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60"/>
      <c r="B945" s="60"/>
      <c r="C945" s="8"/>
      <c r="D945" s="8"/>
      <c r="E945" s="60"/>
      <c r="F945" s="60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60"/>
      <c r="B946" s="60"/>
      <c r="C946" s="8"/>
      <c r="D946" s="8"/>
      <c r="E946" s="60"/>
      <c r="F946" s="60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60"/>
      <c r="B947" s="60"/>
      <c r="C947" s="8"/>
      <c r="D947" s="8"/>
      <c r="E947" s="60"/>
      <c r="F947" s="60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60"/>
      <c r="B948" s="60"/>
      <c r="C948" s="8"/>
      <c r="D948" s="8"/>
      <c r="E948" s="60"/>
      <c r="F948" s="60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60"/>
      <c r="B949" s="60"/>
      <c r="C949" s="8"/>
      <c r="D949" s="8"/>
      <c r="E949" s="60"/>
      <c r="F949" s="60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60"/>
      <c r="B950" s="60"/>
      <c r="C950" s="8"/>
      <c r="D950" s="8"/>
      <c r="E950" s="60"/>
      <c r="F950" s="60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60"/>
      <c r="B951" s="60"/>
      <c r="C951" s="8"/>
      <c r="D951" s="8"/>
      <c r="E951" s="60"/>
      <c r="F951" s="60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60"/>
      <c r="B952" s="60"/>
      <c r="C952" s="8"/>
      <c r="D952" s="8"/>
      <c r="E952" s="60"/>
      <c r="F952" s="60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60"/>
      <c r="B953" s="60"/>
      <c r="C953" s="8"/>
      <c r="D953" s="8"/>
      <c r="E953" s="60"/>
      <c r="F953" s="60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60"/>
      <c r="B954" s="60"/>
      <c r="C954" s="8"/>
      <c r="D954" s="8"/>
      <c r="E954" s="60"/>
      <c r="F954" s="60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60"/>
      <c r="B955" s="60"/>
      <c r="C955" s="8"/>
      <c r="D955" s="8"/>
      <c r="E955" s="60"/>
      <c r="F955" s="60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60"/>
      <c r="B956" s="60"/>
      <c r="C956" s="8"/>
      <c r="D956" s="8"/>
      <c r="E956" s="60"/>
      <c r="F956" s="60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60"/>
      <c r="B957" s="60"/>
      <c r="C957" s="8"/>
      <c r="D957" s="8"/>
      <c r="E957" s="60"/>
      <c r="F957" s="60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60"/>
      <c r="B958" s="60"/>
      <c r="C958" s="8"/>
      <c r="D958" s="8"/>
      <c r="E958" s="60"/>
      <c r="F958" s="60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60"/>
      <c r="B959" s="60"/>
      <c r="C959" s="8"/>
      <c r="D959" s="8"/>
      <c r="E959" s="60"/>
      <c r="F959" s="60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60"/>
      <c r="B960" s="60"/>
      <c r="C960" s="8"/>
      <c r="D960" s="8"/>
      <c r="E960" s="60"/>
      <c r="F960" s="60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60"/>
      <c r="B961" s="60"/>
      <c r="C961" s="8"/>
      <c r="D961" s="8"/>
      <c r="E961" s="60"/>
      <c r="F961" s="60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60"/>
      <c r="B962" s="60"/>
      <c r="C962" s="8"/>
      <c r="D962" s="8"/>
      <c r="E962" s="60"/>
      <c r="F962" s="60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60"/>
      <c r="B963" s="60"/>
      <c r="C963" s="8"/>
      <c r="D963" s="8"/>
      <c r="E963" s="60"/>
      <c r="F963" s="60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60"/>
      <c r="B964" s="60"/>
      <c r="C964" s="8"/>
      <c r="D964" s="8"/>
      <c r="E964" s="60"/>
      <c r="F964" s="60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60"/>
      <c r="B965" s="60"/>
      <c r="C965" s="8"/>
      <c r="D965" s="8"/>
      <c r="E965" s="60"/>
      <c r="F965" s="60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60"/>
      <c r="B966" s="60"/>
      <c r="C966" s="8"/>
      <c r="D966" s="8"/>
      <c r="E966" s="60"/>
      <c r="F966" s="60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60"/>
      <c r="B967" s="60"/>
      <c r="C967" s="8"/>
      <c r="D967" s="8"/>
      <c r="E967" s="60"/>
      <c r="F967" s="60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60"/>
      <c r="B968" s="60"/>
      <c r="C968" s="8"/>
      <c r="D968" s="8"/>
      <c r="E968" s="60"/>
      <c r="F968" s="60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60"/>
      <c r="B969" s="60"/>
      <c r="C969" s="8"/>
      <c r="D969" s="8"/>
      <c r="E969" s="60"/>
      <c r="F969" s="60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60"/>
      <c r="B970" s="60"/>
      <c r="C970" s="8"/>
      <c r="D970" s="8"/>
      <c r="E970" s="60"/>
      <c r="F970" s="60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60"/>
      <c r="B971" s="60"/>
      <c r="C971" s="8"/>
      <c r="D971" s="8"/>
      <c r="E971" s="60"/>
      <c r="F971" s="60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60"/>
      <c r="B972" s="60"/>
      <c r="C972" s="8"/>
      <c r="D972" s="8"/>
      <c r="E972" s="60"/>
      <c r="F972" s="60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60"/>
      <c r="B973" s="60"/>
      <c r="C973" s="8"/>
      <c r="D973" s="8"/>
      <c r="E973" s="60"/>
      <c r="F973" s="60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60"/>
      <c r="B974" s="60"/>
      <c r="C974" s="8"/>
      <c r="D974" s="8"/>
      <c r="E974" s="60"/>
      <c r="F974" s="60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60"/>
      <c r="B975" s="60"/>
      <c r="C975" s="8"/>
      <c r="D975" s="8"/>
      <c r="E975" s="60"/>
      <c r="F975" s="60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60"/>
      <c r="B976" s="60"/>
      <c r="C976" s="8"/>
      <c r="D976" s="8"/>
      <c r="E976" s="60"/>
      <c r="F976" s="60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60"/>
      <c r="B977" s="60"/>
      <c r="C977" s="8"/>
      <c r="D977" s="8"/>
      <c r="E977" s="60"/>
      <c r="F977" s="60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60"/>
      <c r="B978" s="60"/>
      <c r="C978" s="8"/>
      <c r="D978" s="8"/>
      <c r="E978" s="60"/>
      <c r="F978" s="60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60"/>
      <c r="B979" s="60"/>
      <c r="C979" s="8"/>
      <c r="D979" s="8"/>
      <c r="E979" s="60"/>
      <c r="F979" s="60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60"/>
      <c r="B980" s="60"/>
      <c r="C980" s="8"/>
      <c r="D980" s="8"/>
      <c r="E980" s="60"/>
      <c r="F980" s="60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60"/>
      <c r="B981" s="60"/>
      <c r="C981" s="8"/>
      <c r="D981" s="8"/>
      <c r="E981" s="60"/>
      <c r="F981" s="60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60"/>
      <c r="B982" s="60"/>
      <c r="C982" s="8"/>
      <c r="D982" s="8"/>
      <c r="E982" s="60"/>
      <c r="F982" s="60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60"/>
      <c r="B983" s="60"/>
      <c r="C983" s="8"/>
      <c r="D983" s="8"/>
      <c r="E983" s="60"/>
      <c r="F983" s="60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60"/>
      <c r="B984" s="60"/>
      <c r="C984" s="8"/>
      <c r="D984" s="8"/>
      <c r="E984" s="60"/>
      <c r="F984" s="60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60"/>
      <c r="B985" s="60"/>
      <c r="C985" s="8"/>
      <c r="D985" s="8"/>
      <c r="E985" s="60"/>
      <c r="F985" s="60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60"/>
      <c r="B986" s="60"/>
      <c r="C986" s="8"/>
      <c r="D986" s="8"/>
      <c r="E986" s="60"/>
      <c r="F986" s="60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60"/>
      <c r="B987" s="60"/>
      <c r="C987" s="8"/>
      <c r="D987" s="8"/>
      <c r="E987" s="60"/>
      <c r="F987" s="60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60"/>
      <c r="B988" s="60"/>
      <c r="C988" s="8"/>
      <c r="D988" s="8"/>
      <c r="E988" s="60"/>
      <c r="F988" s="60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</sheetData>
  <dataValidations>
    <dataValidation type="custom" allowBlank="1" showDropDown="1" sqref="F2:F44">
      <formula1>AND(ISNUMBER(F2),(NOT(OR(NOT(ISERROR(DATEVALUE(F2))), AND(ISNUMBER(F2), LEFT(CELL("format", F2))="D")))))</formula1>
    </dataValidation>
    <dataValidation allowBlank="1" showDropDown="1" sqref="C2:E44"/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26.63"/>
    <col customWidth="1" min="3" max="3" width="31.5"/>
    <col customWidth="1" min="4" max="4" width="24.88"/>
    <col customWidth="1" min="5" max="6" width="21.88"/>
    <col customWidth="1" min="7" max="7" width="20.38"/>
    <col customWidth="1" min="8" max="8" width="18.63"/>
  </cols>
  <sheetData>
    <row r="1" ht="22.5" customHeight="1">
      <c r="A1" s="4" t="s">
        <v>2110</v>
      </c>
      <c r="B1" s="4" t="s">
        <v>2</v>
      </c>
      <c r="C1" s="4" t="s">
        <v>2111</v>
      </c>
      <c r="D1" s="4" t="s">
        <v>2112</v>
      </c>
      <c r="E1" s="172" t="s">
        <v>2113</v>
      </c>
      <c r="F1" s="8"/>
      <c r="G1" s="54"/>
      <c r="H1" s="54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10" t="s">
        <v>2114</v>
      </c>
      <c r="B2" s="10" t="s">
        <v>28</v>
      </c>
      <c r="C2" s="159" t="s">
        <v>2115</v>
      </c>
      <c r="D2" s="159" t="s">
        <v>2116</v>
      </c>
      <c r="E2" s="173">
        <v>669.0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10" t="s">
        <v>2117</v>
      </c>
      <c r="B3" s="10" t="s">
        <v>28</v>
      </c>
      <c r="C3" s="159" t="s">
        <v>2116</v>
      </c>
      <c r="D3" s="159" t="s">
        <v>2118</v>
      </c>
      <c r="E3" s="173">
        <v>736.0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10" t="s">
        <v>2119</v>
      </c>
      <c r="B4" s="10" t="s">
        <v>28</v>
      </c>
      <c r="C4" s="159" t="s">
        <v>2118</v>
      </c>
      <c r="D4" s="159" t="s">
        <v>2120</v>
      </c>
      <c r="E4" s="173">
        <v>796.0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10" t="s">
        <v>2121</v>
      </c>
      <c r="B5" s="10" t="s">
        <v>28</v>
      </c>
      <c r="C5" s="159" t="s">
        <v>2120</v>
      </c>
      <c r="D5" s="159" t="s">
        <v>2122</v>
      </c>
      <c r="E5" s="173">
        <v>852.0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10" t="s">
        <v>2123</v>
      </c>
      <c r="B6" s="10" t="s">
        <v>28</v>
      </c>
      <c r="C6" s="159" t="s">
        <v>2122</v>
      </c>
      <c r="D6" s="159" t="s">
        <v>2124</v>
      </c>
      <c r="E6" s="173">
        <v>905.0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10" t="s">
        <v>2125</v>
      </c>
      <c r="B7" s="10" t="s">
        <v>28</v>
      </c>
      <c r="C7" s="159" t="s">
        <v>2124</v>
      </c>
      <c r="D7" s="159" t="s">
        <v>2126</v>
      </c>
      <c r="E7" s="173">
        <v>954.0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10" t="s">
        <v>2127</v>
      </c>
      <c r="B8" s="10" t="s">
        <v>28</v>
      </c>
      <c r="C8" s="159" t="s">
        <v>2126</v>
      </c>
      <c r="D8" s="159" t="s">
        <v>2128</v>
      </c>
      <c r="E8" s="173">
        <v>1000.0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10" t="s">
        <v>2129</v>
      </c>
      <c r="B9" s="10" t="s">
        <v>28</v>
      </c>
      <c r="C9" s="159" t="s">
        <v>2128</v>
      </c>
      <c r="D9" s="159" t="s">
        <v>2130</v>
      </c>
      <c r="E9" s="173">
        <v>1044.0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10" t="s">
        <v>2131</v>
      </c>
      <c r="B10" s="10" t="s">
        <v>28</v>
      </c>
      <c r="C10" s="159" t="s">
        <v>2130</v>
      </c>
      <c r="D10" s="159" t="s">
        <v>2132</v>
      </c>
      <c r="E10" s="173">
        <v>1086.0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10" t="s">
        <v>2133</v>
      </c>
      <c r="B11" s="10" t="s">
        <v>28</v>
      </c>
      <c r="C11" s="159" t="s">
        <v>2132</v>
      </c>
      <c r="D11" s="159" t="s">
        <v>2134</v>
      </c>
      <c r="E11" s="173">
        <v>1127.0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10" t="s">
        <v>2135</v>
      </c>
      <c r="B12" s="10" t="s">
        <v>28</v>
      </c>
      <c r="C12" s="159" t="s">
        <v>2134</v>
      </c>
      <c r="D12" s="159" t="s">
        <v>2136</v>
      </c>
      <c r="E12" s="173">
        <v>1165.0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10" t="s">
        <v>2137</v>
      </c>
      <c r="B13" s="10" t="s">
        <v>28</v>
      </c>
      <c r="C13" s="159" t="s">
        <v>2136</v>
      </c>
      <c r="D13" s="159" t="s">
        <v>2138</v>
      </c>
      <c r="E13" s="173">
        <v>1203.0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10" t="s">
        <v>2139</v>
      </c>
      <c r="B14" s="10" t="s">
        <v>28</v>
      </c>
      <c r="C14" s="159" t="s">
        <v>2138</v>
      </c>
      <c r="D14" s="159" t="s">
        <v>2140</v>
      </c>
      <c r="E14" s="173">
        <v>1239.0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10" t="s">
        <v>2141</v>
      </c>
      <c r="B15" s="10" t="s">
        <v>28</v>
      </c>
      <c r="C15" s="159" t="s">
        <v>2140</v>
      </c>
      <c r="D15" s="159" t="s">
        <v>2142</v>
      </c>
      <c r="E15" s="173">
        <v>1274.0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10" t="s">
        <v>2143</v>
      </c>
      <c r="B16" s="10" t="s">
        <v>28</v>
      </c>
      <c r="C16" s="159" t="s">
        <v>2142</v>
      </c>
      <c r="D16" s="159" t="s">
        <v>2144</v>
      </c>
      <c r="E16" s="173">
        <v>1308.0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.5" customHeight="1">
      <c r="A17" s="10" t="s">
        <v>2145</v>
      </c>
      <c r="B17" s="10" t="s">
        <v>28</v>
      </c>
      <c r="C17" s="159" t="s">
        <v>2144</v>
      </c>
      <c r="D17" s="159" t="s">
        <v>2146</v>
      </c>
      <c r="E17" s="173">
        <v>1341.0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2.5" customHeight="1">
      <c r="A18" s="10" t="s">
        <v>2147</v>
      </c>
      <c r="B18" s="10" t="s">
        <v>67</v>
      </c>
      <c r="C18" s="159" t="s">
        <v>2115</v>
      </c>
      <c r="D18" s="159" t="s">
        <v>2116</v>
      </c>
      <c r="E18" s="173">
        <v>669.0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2.5" customHeight="1">
      <c r="A19" s="10" t="s">
        <v>2148</v>
      </c>
      <c r="B19" s="10" t="s">
        <v>67</v>
      </c>
      <c r="C19" s="159" t="s">
        <v>2116</v>
      </c>
      <c r="D19" s="159" t="s">
        <v>2118</v>
      </c>
      <c r="E19" s="173">
        <v>736.0</v>
      </c>
      <c r="F19" s="5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2.5" customHeight="1">
      <c r="A20" s="10" t="s">
        <v>2149</v>
      </c>
      <c r="B20" s="10" t="s">
        <v>67</v>
      </c>
      <c r="C20" s="159" t="s">
        <v>2118</v>
      </c>
      <c r="D20" s="159" t="s">
        <v>2120</v>
      </c>
      <c r="E20" s="173">
        <v>796.0</v>
      </c>
      <c r="F20" s="54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2.5" customHeight="1">
      <c r="A21" s="10" t="s">
        <v>2150</v>
      </c>
      <c r="B21" s="10" t="s">
        <v>67</v>
      </c>
      <c r="C21" s="159" t="s">
        <v>2120</v>
      </c>
      <c r="D21" s="159" t="s">
        <v>2122</v>
      </c>
      <c r="E21" s="173">
        <v>852.0</v>
      </c>
      <c r="F21" s="5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2.5" customHeight="1">
      <c r="A22" s="10" t="s">
        <v>2151</v>
      </c>
      <c r="B22" s="10" t="s">
        <v>67</v>
      </c>
      <c r="C22" s="159" t="s">
        <v>2122</v>
      </c>
      <c r="D22" s="159" t="s">
        <v>2124</v>
      </c>
      <c r="E22" s="173">
        <v>905.0</v>
      </c>
      <c r="F22" s="54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2.5" customHeight="1">
      <c r="A23" s="10" t="s">
        <v>2152</v>
      </c>
      <c r="B23" s="10" t="s">
        <v>67</v>
      </c>
      <c r="C23" s="159" t="s">
        <v>2124</v>
      </c>
      <c r="D23" s="159" t="s">
        <v>2126</v>
      </c>
      <c r="E23" s="173">
        <v>954.0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2.5" customHeight="1">
      <c r="A24" s="10" t="s">
        <v>2153</v>
      </c>
      <c r="B24" s="10" t="s">
        <v>67</v>
      </c>
      <c r="C24" s="159" t="s">
        <v>2126</v>
      </c>
      <c r="D24" s="159" t="s">
        <v>2128</v>
      </c>
      <c r="E24" s="173">
        <v>1000.0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2.5" customHeight="1">
      <c r="A25" s="10" t="s">
        <v>2154</v>
      </c>
      <c r="B25" s="10" t="s">
        <v>67</v>
      </c>
      <c r="C25" s="159" t="s">
        <v>2128</v>
      </c>
      <c r="D25" s="159" t="s">
        <v>2130</v>
      </c>
      <c r="E25" s="173">
        <v>1044.0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2.5" customHeight="1">
      <c r="A26" s="10" t="s">
        <v>2155</v>
      </c>
      <c r="B26" s="10" t="s">
        <v>67</v>
      </c>
      <c r="C26" s="159" t="s">
        <v>2130</v>
      </c>
      <c r="D26" s="159" t="s">
        <v>2132</v>
      </c>
      <c r="E26" s="173">
        <v>1086.0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2.5" customHeight="1">
      <c r="A27" s="10" t="s">
        <v>2156</v>
      </c>
      <c r="B27" s="10" t="s">
        <v>67</v>
      </c>
      <c r="C27" s="159" t="s">
        <v>2132</v>
      </c>
      <c r="D27" s="159" t="s">
        <v>2134</v>
      </c>
      <c r="E27" s="173">
        <v>1127.0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2.5" customHeight="1">
      <c r="A28" s="10" t="s">
        <v>2157</v>
      </c>
      <c r="B28" s="10" t="s">
        <v>67</v>
      </c>
      <c r="C28" s="159" t="s">
        <v>2134</v>
      </c>
      <c r="D28" s="159" t="s">
        <v>2136</v>
      </c>
      <c r="E28" s="173">
        <v>1165.0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2.5" customHeight="1">
      <c r="A29" s="10" t="s">
        <v>2158</v>
      </c>
      <c r="B29" s="10" t="s">
        <v>67</v>
      </c>
      <c r="C29" s="159" t="s">
        <v>2136</v>
      </c>
      <c r="D29" s="159" t="s">
        <v>2138</v>
      </c>
      <c r="E29" s="173">
        <v>1203.0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2.5" customHeight="1">
      <c r="A30" s="10" t="s">
        <v>2159</v>
      </c>
      <c r="B30" s="10" t="s">
        <v>67</v>
      </c>
      <c r="C30" s="159" t="s">
        <v>2138</v>
      </c>
      <c r="D30" s="159" t="s">
        <v>2140</v>
      </c>
      <c r="E30" s="173">
        <v>1239.0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2.5" customHeight="1">
      <c r="A31" s="10" t="s">
        <v>2160</v>
      </c>
      <c r="B31" s="10" t="s">
        <v>67</v>
      </c>
      <c r="C31" s="159" t="s">
        <v>2140</v>
      </c>
      <c r="D31" s="159" t="s">
        <v>2142</v>
      </c>
      <c r="E31" s="173">
        <v>1274.0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2.5" customHeight="1">
      <c r="A32" s="10" t="s">
        <v>2161</v>
      </c>
      <c r="B32" s="10" t="s">
        <v>67</v>
      </c>
      <c r="C32" s="159" t="s">
        <v>2142</v>
      </c>
      <c r="D32" s="159" t="s">
        <v>2144</v>
      </c>
      <c r="E32" s="173">
        <v>1308.0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2.5" customHeight="1">
      <c r="A33" s="10" t="s">
        <v>2162</v>
      </c>
      <c r="B33" s="10" t="s">
        <v>67</v>
      </c>
      <c r="C33" s="159" t="s">
        <v>2144</v>
      </c>
      <c r="D33" s="159" t="s">
        <v>2163</v>
      </c>
      <c r="E33" s="173">
        <v>1341.0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2.5" customHeight="1">
      <c r="A34" s="10" t="s">
        <v>2164</v>
      </c>
      <c r="B34" s="10" t="s">
        <v>133</v>
      </c>
      <c r="C34" s="159" t="s">
        <v>2115</v>
      </c>
      <c r="D34" s="159" t="s">
        <v>2116</v>
      </c>
      <c r="E34" s="173">
        <v>669.0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2.5" customHeight="1">
      <c r="A35" s="10" t="s">
        <v>2165</v>
      </c>
      <c r="B35" s="10" t="s">
        <v>133</v>
      </c>
      <c r="C35" s="159" t="s">
        <v>2116</v>
      </c>
      <c r="D35" s="159" t="s">
        <v>2118</v>
      </c>
      <c r="E35" s="173">
        <v>736.0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2.5" customHeight="1">
      <c r="A36" s="10" t="s">
        <v>2166</v>
      </c>
      <c r="B36" s="10" t="s">
        <v>133</v>
      </c>
      <c r="C36" s="159" t="s">
        <v>2118</v>
      </c>
      <c r="D36" s="159" t="s">
        <v>2120</v>
      </c>
      <c r="E36" s="173">
        <v>796.0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2.5" customHeight="1">
      <c r="A37" s="10" t="s">
        <v>2167</v>
      </c>
      <c r="B37" s="10" t="s">
        <v>133</v>
      </c>
      <c r="C37" s="159" t="s">
        <v>2120</v>
      </c>
      <c r="D37" s="159" t="s">
        <v>2122</v>
      </c>
      <c r="E37" s="173">
        <v>852.0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2.5" customHeight="1">
      <c r="A38" s="10" t="s">
        <v>2168</v>
      </c>
      <c r="B38" s="10" t="s">
        <v>133</v>
      </c>
      <c r="C38" s="159" t="s">
        <v>2122</v>
      </c>
      <c r="D38" s="159" t="s">
        <v>2124</v>
      </c>
      <c r="E38" s="173">
        <v>905.0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2.5" customHeight="1">
      <c r="A39" s="10" t="s">
        <v>2169</v>
      </c>
      <c r="B39" s="10" t="s">
        <v>133</v>
      </c>
      <c r="C39" s="159" t="s">
        <v>2124</v>
      </c>
      <c r="D39" s="159" t="s">
        <v>2126</v>
      </c>
      <c r="E39" s="173">
        <v>954.0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2.5" customHeight="1">
      <c r="A40" s="10" t="s">
        <v>2170</v>
      </c>
      <c r="B40" s="10" t="s">
        <v>133</v>
      </c>
      <c r="C40" s="159" t="s">
        <v>2126</v>
      </c>
      <c r="D40" s="159" t="s">
        <v>2128</v>
      </c>
      <c r="E40" s="173">
        <v>1000.0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2.5" customHeight="1">
      <c r="A41" s="10" t="s">
        <v>2173</v>
      </c>
      <c r="B41" s="10" t="s">
        <v>133</v>
      </c>
      <c r="C41" s="159" t="s">
        <v>2128</v>
      </c>
      <c r="D41" s="159" t="s">
        <v>2130</v>
      </c>
      <c r="E41" s="173">
        <v>1044.0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2.5" customHeight="1">
      <c r="A42" s="10" t="s">
        <v>2176</v>
      </c>
      <c r="B42" s="10" t="s">
        <v>133</v>
      </c>
      <c r="C42" s="159" t="s">
        <v>2130</v>
      </c>
      <c r="D42" s="159" t="s">
        <v>2132</v>
      </c>
      <c r="E42" s="173">
        <v>1086.0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2.5" customHeight="1">
      <c r="A43" s="10" t="s">
        <v>2177</v>
      </c>
      <c r="B43" s="10" t="s">
        <v>133</v>
      </c>
      <c r="C43" s="159" t="s">
        <v>2132</v>
      </c>
      <c r="D43" s="159" t="s">
        <v>2134</v>
      </c>
      <c r="E43" s="173">
        <v>1127.0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2.5" customHeight="1">
      <c r="A44" s="10" t="s">
        <v>2179</v>
      </c>
      <c r="B44" s="10" t="s">
        <v>133</v>
      </c>
      <c r="C44" s="159" t="s">
        <v>2134</v>
      </c>
      <c r="D44" s="159" t="s">
        <v>2136</v>
      </c>
      <c r="E44" s="173">
        <v>1165.0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2.5" customHeight="1">
      <c r="A45" s="10" t="s">
        <v>2182</v>
      </c>
      <c r="B45" s="10" t="s">
        <v>133</v>
      </c>
      <c r="C45" s="159" t="s">
        <v>2136</v>
      </c>
      <c r="D45" s="159" t="s">
        <v>2138</v>
      </c>
      <c r="E45" s="173">
        <v>1203.0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2.5" customHeight="1">
      <c r="A46" s="10" t="s">
        <v>2183</v>
      </c>
      <c r="B46" s="10" t="s">
        <v>133</v>
      </c>
      <c r="C46" s="159" t="s">
        <v>2138</v>
      </c>
      <c r="D46" s="159" t="s">
        <v>2140</v>
      </c>
      <c r="E46" s="173">
        <v>1239.0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2.5" customHeight="1">
      <c r="A47" s="10" t="s">
        <v>2185</v>
      </c>
      <c r="B47" s="10" t="s">
        <v>133</v>
      </c>
      <c r="C47" s="159" t="s">
        <v>2140</v>
      </c>
      <c r="D47" s="159" t="s">
        <v>2142</v>
      </c>
      <c r="E47" s="173">
        <v>1274.0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2.5" customHeight="1">
      <c r="A48" s="10" t="s">
        <v>2187</v>
      </c>
      <c r="B48" s="10" t="s">
        <v>133</v>
      </c>
      <c r="C48" s="159" t="s">
        <v>2142</v>
      </c>
      <c r="D48" s="159" t="s">
        <v>2144</v>
      </c>
      <c r="E48" s="173">
        <v>1308.0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2.5" customHeight="1">
      <c r="A49" s="10" t="s">
        <v>2190</v>
      </c>
      <c r="B49" s="10" t="s">
        <v>133</v>
      </c>
      <c r="C49" s="159" t="s">
        <v>2144</v>
      </c>
      <c r="D49" s="159" t="s">
        <v>2115</v>
      </c>
      <c r="E49" s="173">
        <v>1341.0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2.5" customHeight="1">
      <c r="A50" s="10" t="s">
        <v>2192</v>
      </c>
      <c r="B50" s="10" t="s">
        <v>103</v>
      </c>
      <c r="C50" s="159" t="s">
        <v>2115</v>
      </c>
      <c r="D50" s="159" t="s">
        <v>2116</v>
      </c>
      <c r="E50" s="173">
        <v>669.0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2.5" customHeight="1">
      <c r="A51" s="10" t="s">
        <v>2194</v>
      </c>
      <c r="B51" s="10" t="s">
        <v>103</v>
      </c>
      <c r="C51" s="159" t="s">
        <v>2116</v>
      </c>
      <c r="D51" s="159" t="s">
        <v>2118</v>
      </c>
      <c r="E51" s="173">
        <v>736.0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2.5" customHeight="1">
      <c r="A52" s="10" t="s">
        <v>2196</v>
      </c>
      <c r="B52" s="10" t="s">
        <v>103</v>
      </c>
      <c r="C52" s="159" t="s">
        <v>2118</v>
      </c>
      <c r="D52" s="159" t="s">
        <v>2120</v>
      </c>
      <c r="E52" s="173">
        <v>796.0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2.5" customHeight="1">
      <c r="A53" s="10" t="s">
        <v>2197</v>
      </c>
      <c r="B53" s="10" t="s">
        <v>103</v>
      </c>
      <c r="C53" s="159" t="s">
        <v>2120</v>
      </c>
      <c r="D53" s="159" t="s">
        <v>2122</v>
      </c>
      <c r="E53" s="173">
        <v>852.0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2.5" customHeight="1">
      <c r="A54" s="10" t="s">
        <v>2199</v>
      </c>
      <c r="B54" s="10" t="s">
        <v>103</v>
      </c>
      <c r="C54" s="159" t="s">
        <v>2122</v>
      </c>
      <c r="D54" s="159" t="s">
        <v>2124</v>
      </c>
      <c r="E54" s="173">
        <v>905.0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2.5" customHeight="1">
      <c r="A55" s="10" t="s">
        <v>2201</v>
      </c>
      <c r="B55" s="10" t="s">
        <v>103</v>
      </c>
      <c r="C55" s="159" t="s">
        <v>2124</v>
      </c>
      <c r="D55" s="159" t="s">
        <v>2126</v>
      </c>
      <c r="E55" s="173">
        <v>954.0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2.5" customHeight="1">
      <c r="A56" s="10" t="s">
        <v>2203</v>
      </c>
      <c r="B56" s="10" t="s">
        <v>103</v>
      </c>
      <c r="C56" s="159" t="s">
        <v>2126</v>
      </c>
      <c r="D56" s="159" t="s">
        <v>2128</v>
      </c>
      <c r="E56" s="173">
        <v>1000.0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2.5" customHeight="1">
      <c r="A57" s="10" t="s">
        <v>2205</v>
      </c>
      <c r="B57" s="10" t="s">
        <v>103</v>
      </c>
      <c r="C57" s="159" t="s">
        <v>2128</v>
      </c>
      <c r="D57" s="159" t="s">
        <v>2130</v>
      </c>
      <c r="E57" s="173">
        <v>1044.0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2.5" customHeight="1">
      <c r="A58" s="10" t="s">
        <v>2206</v>
      </c>
      <c r="B58" s="10" t="s">
        <v>103</v>
      </c>
      <c r="C58" s="159" t="s">
        <v>2130</v>
      </c>
      <c r="D58" s="159" t="s">
        <v>2132</v>
      </c>
      <c r="E58" s="173">
        <v>1086.0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2.5" customHeight="1">
      <c r="A59" s="10" t="s">
        <v>2208</v>
      </c>
      <c r="B59" s="10" t="s">
        <v>103</v>
      </c>
      <c r="C59" s="159" t="s">
        <v>2132</v>
      </c>
      <c r="D59" s="159" t="s">
        <v>2134</v>
      </c>
      <c r="E59" s="173">
        <v>1127.0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2.5" customHeight="1">
      <c r="A60" s="10" t="s">
        <v>2210</v>
      </c>
      <c r="B60" s="10" t="s">
        <v>103</v>
      </c>
      <c r="C60" s="159" t="s">
        <v>2134</v>
      </c>
      <c r="D60" s="159" t="s">
        <v>2136</v>
      </c>
      <c r="E60" s="173">
        <v>1165.0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2.5" customHeight="1">
      <c r="A61" s="10" t="s">
        <v>2212</v>
      </c>
      <c r="B61" s="10" t="s">
        <v>103</v>
      </c>
      <c r="C61" s="159" t="s">
        <v>2136</v>
      </c>
      <c r="D61" s="159" t="s">
        <v>2138</v>
      </c>
      <c r="E61" s="173">
        <v>1203.0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2.5" customHeight="1">
      <c r="A62" s="10" t="s">
        <v>2214</v>
      </c>
      <c r="B62" s="10" t="s">
        <v>103</v>
      </c>
      <c r="C62" s="159" t="s">
        <v>2138</v>
      </c>
      <c r="D62" s="159" t="s">
        <v>2140</v>
      </c>
      <c r="E62" s="173">
        <v>1239.0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2.5" customHeight="1">
      <c r="A63" s="10" t="s">
        <v>2216</v>
      </c>
      <c r="B63" s="10" t="s">
        <v>103</v>
      </c>
      <c r="C63" s="159" t="s">
        <v>2140</v>
      </c>
      <c r="D63" s="159" t="s">
        <v>2142</v>
      </c>
      <c r="E63" s="173">
        <v>1274.0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2.5" customHeight="1">
      <c r="A64" s="10" t="s">
        <v>2217</v>
      </c>
      <c r="B64" s="10" t="s">
        <v>103</v>
      </c>
      <c r="C64" s="159" t="s">
        <v>2142</v>
      </c>
      <c r="D64" s="159" t="s">
        <v>2144</v>
      </c>
      <c r="E64" s="173">
        <v>1308.0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2.5" customHeight="1">
      <c r="A65" s="10" t="s">
        <v>2218</v>
      </c>
      <c r="B65" s="10" t="s">
        <v>103</v>
      </c>
      <c r="C65" s="159" t="s">
        <v>2144</v>
      </c>
      <c r="D65" s="159" t="s">
        <v>2115</v>
      </c>
      <c r="E65" s="173">
        <v>1341.0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2.5" customHeight="1">
      <c r="A66" s="10" t="s">
        <v>2220</v>
      </c>
      <c r="B66" s="10" t="s">
        <v>142</v>
      </c>
      <c r="C66" s="159" t="s">
        <v>2115</v>
      </c>
      <c r="D66" s="159" t="s">
        <v>2116</v>
      </c>
      <c r="E66" s="173">
        <v>669.0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2.5" customHeight="1">
      <c r="A67" s="10" t="s">
        <v>2221</v>
      </c>
      <c r="B67" s="10" t="s">
        <v>142</v>
      </c>
      <c r="C67" s="159" t="s">
        <v>2116</v>
      </c>
      <c r="D67" s="159" t="s">
        <v>2118</v>
      </c>
      <c r="E67" s="173">
        <v>736.0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2.5" customHeight="1">
      <c r="A68" s="10" t="s">
        <v>2223</v>
      </c>
      <c r="B68" s="10" t="s">
        <v>142</v>
      </c>
      <c r="C68" s="159" t="s">
        <v>2118</v>
      </c>
      <c r="D68" s="159" t="s">
        <v>2120</v>
      </c>
      <c r="E68" s="173">
        <v>796.0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2.5" customHeight="1">
      <c r="A69" s="10" t="s">
        <v>2225</v>
      </c>
      <c r="B69" s="10" t="s">
        <v>142</v>
      </c>
      <c r="C69" s="159" t="s">
        <v>2120</v>
      </c>
      <c r="D69" s="159" t="s">
        <v>2122</v>
      </c>
      <c r="E69" s="173">
        <v>852.0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2.5" customHeight="1">
      <c r="A70" s="10" t="s">
        <v>2227</v>
      </c>
      <c r="B70" s="10" t="s">
        <v>142</v>
      </c>
      <c r="C70" s="159" t="s">
        <v>2122</v>
      </c>
      <c r="D70" s="159" t="s">
        <v>2124</v>
      </c>
      <c r="E70" s="173">
        <v>905.0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2.5" customHeight="1">
      <c r="A71" s="10" t="s">
        <v>2228</v>
      </c>
      <c r="B71" s="10" t="s">
        <v>142</v>
      </c>
      <c r="C71" s="159" t="s">
        <v>2124</v>
      </c>
      <c r="D71" s="159" t="s">
        <v>2126</v>
      </c>
      <c r="E71" s="173">
        <v>954.0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2.5" customHeight="1">
      <c r="A72" s="10" t="s">
        <v>2230</v>
      </c>
      <c r="B72" s="10" t="s">
        <v>142</v>
      </c>
      <c r="C72" s="159" t="s">
        <v>2126</v>
      </c>
      <c r="D72" s="159" t="s">
        <v>2128</v>
      </c>
      <c r="E72" s="173">
        <v>1000.0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2.5" customHeight="1">
      <c r="A73" s="10" t="s">
        <v>2232</v>
      </c>
      <c r="B73" s="10" t="s">
        <v>142</v>
      </c>
      <c r="C73" s="159" t="s">
        <v>2128</v>
      </c>
      <c r="D73" s="159" t="s">
        <v>2130</v>
      </c>
      <c r="E73" s="173">
        <v>1044.0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2.5" customHeight="1">
      <c r="A74" s="10" t="s">
        <v>2233</v>
      </c>
      <c r="B74" s="10" t="s">
        <v>142</v>
      </c>
      <c r="C74" s="159" t="s">
        <v>2130</v>
      </c>
      <c r="D74" s="159" t="s">
        <v>2132</v>
      </c>
      <c r="E74" s="173">
        <v>1086.0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2.5" customHeight="1">
      <c r="A75" s="10" t="s">
        <v>2235</v>
      </c>
      <c r="B75" s="10" t="s">
        <v>142</v>
      </c>
      <c r="C75" s="159" t="s">
        <v>2132</v>
      </c>
      <c r="D75" s="159" t="s">
        <v>2134</v>
      </c>
      <c r="E75" s="173">
        <v>1127.0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2.5" customHeight="1">
      <c r="A76" s="10" t="s">
        <v>2236</v>
      </c>
      <c r="B76" s="10" t="s">
        <v>142</v>
      </c>
      <c r="C76" s="159" t="s">
        <v>2134</v>
      </c>
      <c r="D76" s="159" t="s">
        <v>2136</v>
      </c>
      <c r="E76" s="173">
        <v>1165.0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2.5" customHeight="1">
      <c r="A77" s="10" t="s">
        <v>2237</v>
      </c>
      <c r="B77" s="10" t="s">
        <v>169</v>
      </c>
      <c r="C77" s="159" t="s">
        <v>2115</v>
      </c>
      <c r="D77" s="159" t="s">
        <v>2116</v>
      </c>
      <c r="E77" s="173">
        <v>772.0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2.5" customHeight="1">
      <c r="A78" s="10" t="s">
        <v>2239</v>
      </c>
      <c r="B78" s="10" t="s">
        <v>169</v>
      </c>
      <c r="C78" s="159" t="s">
        <v>2116</v>
      </c>
      <c r="D78" s="159" t="s">
        <v>2118</v>
      </c>
      <c r="E78" s="173">
        <v>835.0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2.5" customHeight="1">
      <c r="A79" s="10" t="s">
        <v>2240</v>
      </c>
      <c r="B79" s="10" t="s">
        <v>169</v>
      </c>
      <c r="C79" s="159" t="s">
        <v>2118</v>
      </c>
      <c r="D79" s="159" t="s">
        <v>2120</v>
      </c>
      <c r="E79" s="173">
        <v>894.0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2.5" customHeight="1">
      <c r="A80" s="10" t="s">
        <v>2242</v>
      </c>
      <c r="B80" s="10" t="s">
        <v>169</v>
      </c>
      <c r="C80" s="159" t="s">
        <v>2120</v>
      </c>
      <c r="D80" s="159" t="s">
        <v>2122</v>
      </c>
      <c r="E80" s="173">
        <v>949.0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2.5" customHeight="1">
      <c r="A81" s="10" t="s">
        <v>2243</v>
      </c>
      <c r="B81" s="10" t="s">
        <v>169</v>
      </c>
      <c r="C81" s="159" t="s">
        <v>2122</v>
      </c>
      <c r="D81" s="159" t="s">
        <v>2124</v>
      </c>
      <c r="E81" s="173">
        <v>1000.0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2.5" customHeight="1">
      <c r="A82" s="10" t="s">
        <v>2244</v>
      </c>
      <c r="B82" s="10" t="s">
        <v>169</v>
      </c>
      <c r="C82" s="159" t="s">
        <v>2124</v>
      </c>
      <c r="D82" s="159" t="s">
        <v>2126</v>
      </c>
      <c r="E82" s="173">
        <v>1030.0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2.5" customHeight="1">
      <c r="A83" s="10" t="s">
        <v>2246</v>
      </c>
      <c r="B83" s="10" t="s">
        <v>169</v>
      </c>
      <c r="C83" s="159" t="s">
        <v>2126</v>
      </c>
      <c r="D83" s="159" t="s">
        <v>2128</v>
      </c>
      <c r="E83" s="173">
        <v>1057.0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2.5" customHeight="1">
      <c r="A84" s="10" t="s">
        <v>2247</v>
      </c>
      <c r="B84" s="10" t="s">
        <v>169</v>
      </c>
      <c r="C84" s="159" t="s">
        <v>2128</v>
      </c>
      <c r="D84" s="159" t="s">
        <v>2130</v>
      </c>
      <c r="E84" s="173">
        <v>1083.0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2.5" customHeight="1">
      <c r="A85" s="10" t="s">
        <v>2249</v>
      </c>
      <c r="B85" s="10" t="s">
        <v>169</v>
      </c>
      <c r="C85" s="159" t="s">
        <v>2130</v>
      </c>
      <c r="D85" s="159" t="s">
        <v>2132</v>
      </c>
      <c r="E85" s="173">
        <v>1108.0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2.5" customHeight="1">
      <c r="A86" s="10" t="s">
        <v>2251</v>
      </c>
      <c r="B86" s="10" t="s">
        <v>169</v>
      </c>
      <c r="C86" s="159" t="s">
        <v>2132</v>
      </c>
      <c r="D86" s="159" t="s">
        <v>2134</v>
      </c>
      <c r="E86" s="173">
        <v>1131.0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2.5" customHeight="1">
      <c r="A87" s="10" t="s">
        <v>2253</v>
      </c>
      <c r="B87" s="10" t="s">
        <v>169</v>
      </c>
      <c r="C87" s="159" t="s">
        <v>2134</v>
      </c>
      <c r="D87" s="159" t="s">
        <v>2136</v>
      </c>
      <c r="E87" s="173">
        <v>1154.0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2.5" customHeight="1">
      <c r="A88" s="10" t="s">
        <v>2254</v>
      </c>
      <c r="B88" s="10" t="s">
        <v>169</v>
      </c>
      <c r="C88" s="159" t="s">
        <v>2136</v>
      </c>
      <c r="D88" s="159" t="s">
        <v>2138</v>
      </c>
      <c r="E88" s="173">
        <v>1175.0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2.5" customHeight="1">
      <c r="A89" s="10" t="s">
        <v>2256</v>
      </c>
      <c r="B89" s="10" t="s">
        <v>169</v>
      </c>
      <c r="C89" s="159" t="s">
        <v>2138</v>
      </c>
      <c r="D89" s="159" t="s">
        <v>2140</v>
      </c>
      <c r="E89" s="173">
        <v>1190.0</v>
      </c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2.5" customHeight="1">
      <c r="A90" s="10" t="s">
        <v>2258</v>
      </c>
      <c r="B90" s="10" t="s">
        <v>169</v>
      </c>
      <c r="C90" s="159" t="s">
        <v>2140</v>
      </c>
      <c r="D90" s="159" t="s">
        <v>2142</v>
      </c>
      <c r="E90" s="173">
        <v>1215.0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2.5" customHeight="1">
      <c r="A91" s="10" t="s">
        <v>2259</v>
      </c>
      <c r="B91" s="10" t="s">
        <v>169</v>
      </c>
      <c r="C91" s="159" t="s">
        <v>2142</v>
      </c>
      <c r="D91" s="159" t="s">
        <v>2144</v>
      </c>
      <c r="E91" s="173">
        <v>1234.0</v>
      </c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2.5" customHeight="1">
      <c r="A92" s="10" t="s">
        <v>2260</v>
      </c>
      <c r="B92" s="10" t="s">
        <v>169</v>
      </c>
      <c r="C92" s="159" t="s">
        <v>2144</v>
      </c>
      <c r="D92" s="159" t="s">
        <v>2115</v>
      </c>
      <c r="E92" s="173">
        <v>1252.0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2.5" customHeight="1">
      <c r="A93" s="10" t="s">
        <v>2262</v>
      </c>
      <c r="B93" s="10" t="s">
        <v>188</v>
      </c>
      <c r="C93" s="159" t="s">
        <v>2115</v>
      </c>
      <c r="D93" s="159" t="s">
        <v>2116</v>
      </c>
      <c r="E93" s="173">
        <v>669.0</v>
      </c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2.5" customHeight="1">
      <c r="A94" s="10" t="s">
        <v>2264</v>
      </c>
      <c r="B94" s="10" t="s">
        <v>188</v>
      </c>
      <c r="C94" s="159" t="s">
        <v>2116</v>
      </c>
      <c r="D94" s="159" t="s">
        <v>2118</v>
      </c>
      <c r="E94" s="173">
        <v>736.0</v>
      </c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2.5" customHeight="1">
      <c r="A95" s="10" t="s">
        <v>2266</v>
      </c>
      <c r="B95" s="10" t="s">
        <v>188</v>
      </c>
      <c r="C95" s="159" t="s">
        <v>2118</v>
      </c>
      <c r="D95" s="159" t="s">
        <v>2120</v>
      </c>
      <c r="E95" s="173">
        <v>796.0</v>
      </c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2.5" customHeight="1">
      <c r="A96" s="10" t="s">
        <v>2267</v>
      </c>
      <c r="B96" s="10" t="s">
        <v>188</v>
      </c>
      <c r="C96" s="159" t="s">
        <v>2120</v>
      </c>
      <c r="D96" s="159" t="s">
        <v>2122</v>
      </c>
      <c r="E96" s="173">
        <v>852.0</v>
      </c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2.5" customHeight="1">
      <c r="A97" s="10" t="s">
        <v>2269</v>
      </c>
      <c r="B97" s="10" t="s">
        <v>188</v>
      </c>
      <c r="C97" s="159" t="s">
        <v>2122</v>
      </c>
      <c r="D97" s="159" t="s">
        <v>2124</v>
      </c>
      <c r="E97" s="173">
        <v>905.0</v>
      </c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2.5" customHeight="1">
      <c r="A98" s="10" t="s">
        <v>2271</v>
      </c>
      <c r="B98" s="10" t="s">
        <v>188</v>
      </c>
      <c r="C98" s="159" t="s">
        <v>2124</v>
      </c>
      <c r="D98" s="159" t="s">
        <v>2126</v>
      </c>
      <c r="E98" s="173">
        <v>954.0</v>
      </c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2.5" customHeight="1">
      <c r="A99" s="10" t="s">
        <v>2273</v>
      </c>
      <c r="B99" s="10" t="s">
        <v>188</v>
      </c>
      <c r="C99" s="159" t="s">
        <v>2126</v>
      </c>
      <c r="D99" s="159" t="s">
        <v>2128</v>
      </c>
      <c r="E99" s="173">
        <v>1000.0</v>
      </c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2.5" customHeight="1">
      <c r="A100" s="10" t="s">
        <v>2274</v>
      </c>
      <c r="B100" s="10" t="s">
        <v>188</v>
      </c>
      <c r="C100" s="159" t="s">
        <v>2128</v>
      </c>
      <c r="D100" s="159" t="s">
        <v>2130</v>
      </c>
      <c r="E100" s="173">
        <v>1044.0</v>
      </c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2.5" customHeight="1">
      <c r="A101" s="10" t="s">
        <v>2275</v>
      </c>
      <c r="B101" s="10" t="s">
        <v>188</v>
      </c>
      <c r="C101" s="159" t="s">
        <v>2130</v>
      </c>
      <c r="D101" s="159" t="s">
        <v>2132</v>
      </c>
      <c r="E101" s="173">
        <v>1086.0</v>
      </c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2.5" customHeight="1">
      <c r="A102" s="10" t="s">
        <v>2277</v>
      </c>
      <c r="B102" s="10" t="s">
        <v>188</v>
      </c>
      <c r="C102" s="159" t="s">
        <v>2132</v>
      </c>
      <c r="D102" s="159" t="s">
        <v>2134</v>
      </c>
      <c r="E102" s="173">
        <v>1127.0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2.5" customHeight="1">
      <c r="A103" s="10" t="s">
        <v>2279</v>
      </c>
      <c r="B103" s="10" t="s">
        <v>188</v>
      </c>
      <c r="C103" s="159" t="s">
        <v>2134</v>
      </c>
      <c r="D103" s="159" t="s">
        <v>2136</v>
      </c>
      <c r="E103" s="173">
        <v>1165.0</v>
      </c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2.5" customHeight="1">
      <c r="A104" s="10" t="s">
        <v>2281</v>
      </c>
      <c r="B104" s="10" t="s">
        <v>188</v>
      </c>
      <c r="C104" s="159" t="s">
        <v>2136</v>
      </c>
      <c r="D104" s="159" t="s">
        <v>2138</v>
      </c>
      <c r="E104" s="173">
        <v>1203.0</v>
      </c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2.5" customHeight="1">
      <c r="A105" s="10" t="s">
        <v>2284</v>
      </c>
      <c r="B105" s="10" t="s">
        <v>188</v>
      </c>
      <c r="C105" s="159" t="s">
        <v>2138</v>
      </c>
      <c r="D105" s="159" t="s">
        <v>2140</v>
      </c>
      <c r="E105" s="173">
        <v>1239.0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2.5" customHeight="1">
      <c r="A106" s="10" t="s">
        <v>2286</v>
      </c>
      <c r="B106" s="10" t="s">
        <v>188</v>
      </c>
      <c r="C106" s="159" t="s">
        <v>2140</v>
      </c>
      <c r="D106" s="159" t="s">
        <v>2142</v>
      </c>
      <c r="E106" s="173">
        <v>1274.0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2.5" customHeight="1">
      <c r="A107" s="10" t="s">
        <v>2288</v>
      </c>
      <c r="B107" s="10" t="s">
        <v>188</v>
      </c>
      <c r="C107" s="159" t="s">
        <v>2142</v>
      </c>
      <c r="D107" s="159" t="s">
        <v>2144</v>
      </c>
      <c r="E107" s="173">
        <v>1308.0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2.5" customHeight="1">
      <c r="A108" s="10" t="s">
        <v>2289</v>
      </c>
      <c r="B108" s="10" t="s">
        <v>188</v>
      </c>
      <c r="C108" s="159" t="s">
        <v>2144</v>
      </c>
      <c r="D108" s="159" t="s">
        <v>2146</v>
      </c>
      <c r="E108" s="173">
        <v>1341.0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2.5" customHeight="1">
      <c r="A109" s="10" t="s">
        <v>2291</v>
      </c>
      <c r="B109" s="10" t="s">
        <v>207</v>
      </c>
      <c r="C109" s="159" t="s">
        <v>2115</v>
      </c>
      <c r="D109" s="159" t="s">
        <v>2116</v>
      </c>
      <c r="E109" s="173">
        <v>669.0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2.5" customHeight="1">
      <c r="A110" s="10" t="s">
        <v>2293</v>
      </c>
      <c r="B110" s="10" t="s">
        <v>207</v>
      </c>
      <c r="C110" s="159" t="s">
        <v>2116</v>
      </c>
      <c r="D110" s="159" t="s">
        <v>2118</v>
      </c>
      <c r="E110" s="173">
        <v>736.0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2.5" customHeight="1">
      <c r="A111" s="10" t="s">
        <v>2294</v>
      </c>
      <c r="B111" s="10" t="s">
        <v>207</v>
      </c>
      <c r="C111" s="159" t="s">
        <v>2118</v>
      </c>
      <c r="D111" s="159" t="s">
        <v>2120</v>
      </c>
      <c r="E111" s="173">
        <v>796.0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2.5" customHeight="1">
      <c r="A112" s="10" t="s">
        <v>2295</v>
      </c>
      <c r="B112" s="10" t="s">
        <v>207</v>
      </c>
      <c r="C112" s="159" t="s">
        <v>2120</v>
      </c>
      <c r="D112" s="159" t="s">
        <v>2122</v>
      </c>
      <c r="E112" s="173">
        <v>852.0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2.5" customHeight="1">
      <c r="A113" s="10" t="s">
        <v>2297</v>
      </c>
      <c r="B113" s="10" t="s">
        <v>207</v>
      </c>
      <c r="C113" s="159" t="s">
        <v>2122</v>
      </c>
      <c r="D113" s="159" t="s">
        <v>2124</v>
      </c>
      <c r="E113" s="173">
        <v>905.0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2.5" customHeight="1">
      <c r="A114" s="10" t="s">
        <v>2298</v>
      </c>
      <c r="B114" s="10" t="s">
        <v>207</v>
      </c>
      <c r="C114" s="159" t="s">
        <v>2124</v>
      </c>
      <c r="D114" s="159" t="s">
        <v>2126</v>
      </c>
      <c r="E114" s="173">
        <v>954.0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2.5" customHeight="1">
      <c r="A115" s="10" t="s">
        <v>2300</v>
      </c>
      <c r="B115" s="10" t="s">
        <v>207</v>
      </c>
      <c r="C115" s="159" t="s">
        <v>2126</v>
      </c>
      <c r="D115" s="159" t="s">
        <v>2128</v>
      </c>
      <c r="E115" s="173">
        <v>1000.0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2.5" customHeight="1">
      <c r="A116" s="10" t="s">
        <v>2302</v>
      </c>
      <c r="B116" s="10" t="s">
        <v>207</v>
      </c>
      <c r="C116" s="159" t="s">
        <v>2128</v>
      </c>
      <c r="D116" s="159" t="s">
        <v>2130</v>
      </c>
      <c r="E116" s="173">
        <v>1044.0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2.5" customHeight="1">
      <c r="A117" s="10" t="s">
        <v>2303</v>
      </c>
      <c r="B117" s="10" t="s">
        <v>207</v>
      </c>
      <c r="C117" s="159" t="s">
        <v>2130</v>
      </c>
      <c r="D117" s="159" t="s">
        <v>2132</v>
      </c>
      <c r="E117" s="173">
        <v>1086.0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2.5" customHeight="1">
      <c r="A118" s="10" t="s">
        <v>2305</v>
      </c>
      <c r="B118" s="10" t="s">
        <v>207</v>
      </c>
      <c r="C118" s="159" t="s">
        <v>2132</v>
      </c>
      <c r="D118" s="159" t="s">
        <v>2134</v>
      </c>
      <c r="E118" s="173">
        <v>1127.0</v>
      </c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2.5" customHeight="1">
      <c r="A119" s="10" t="s">
        <v>2307</v>
      </c>
      <c r="B119" s="10" t="s">
        <v>207</v>
      </c>
      <c r="C119" s="159" t="s">
        <v>2134</v>
      </c>
      <c r="D119" s="159" t="s">
        <v>2136</v>
      </c>
      <c r="E119" s="173">
        <v>1165.0</v>
      </c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2.5" customHeight="1">
      <c r="A120" s="10" t="s">
        <v>2308</v>
      </c>
      <c r="B120" s="10" t="s">
        <v>207</v>
      </c>
      <c r="C120" s="159" t="s">
        <v>2136</v>
      </c>
      <c r="D120" s="159" t="s">
        <v>2138</v>
      </c>
      <c r="E120" s="173">
        <v>1203.0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2.5" customHeight="1">
      <c r="A121" s="10" t="s">
        <v>2310</v>
      </c>
      <c r="B121" s="10" t="s">
        <v>207</v>
      </c>
      <c r="C121" s="159" t="s">
        <v>2138</v>
      </c>
      <c r="D121" s="159" t="s">
        <v>2140</v>
      </c>
      <c r="E121" s="173">
        <v>1239.0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2.5" customHeight="1">
      <c r="A122" s="10" t="s">
        <v>2312</v>
      </c>
      <c r="B122" s="10" t="s">
        <v>207</v>
      </c>
      <c r="C122" s="159" t="s">
        <v>2140</v>
      </c>
      <c r="D122" s="159" t="s">
        <v>2142</v>
      </c>
      <c r="E122" s="173">
        <v>1274.0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2.5" customHeight="1">
      <c r="A123" s="10" t="s">
        <v>2314</v>
      </c>
      <c r="B123" s="10" t="s">
        <v>207</v>
      </c>
      <c r="C123" s="159" t="s">
        <v>2142</v>
      </c>
      <c r="D123" s="159" t="s">
        <v>2144</v>
      </c>
      <c r="E123" s="173">
        <v>1308.0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2.5" customHeight="1">
      <c r="A124" s="10" t="s">
        <v>2316</v>
      </c>
      <c r="B124" s="10" t="s">
        <v>207</v>
      </c>
      <c r="C124" s="159" t="s">
        <v>2144</v>
      </c>
      <c r="D124" s="159" t="s">
        <v>2115</v>
      </c>
      <c r="E124" s="173">
        <v>1341.0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2.5" customHeight="1">
      <c r="A125" s="10" t="s">
        <v>2318</v>
      </c>
      <c r="B125" s="10" t="s">
        <v>216</v>
      </c>
      <c r="C125" s="159" t="s">
        <v>2115</v>
      </c>
      <c r="D125" s="159" t="s">
        <v>2116</v>
      </c>
      <c r="E125" s="173">
        <v>772.0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2.5" customHeight="1">
      <c r="A126" s="10" t="s">
        <v>2320</v>
      </c>
      <c r="B126" s="10" t="s">
        <v>216</v>
      </c>
      <c r="C126" s="159" t="s">
        <v>2116</v>
      </c>
      <c r="D126" s="159" t="s">
        <v>2118</v>
      </c>
      <c r="E126" s="173">
        <v>835.0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2.5" customHeight="1">
      <c r="A127" s="10" t="s">
        <v>2322</v>
      </c>
      <c r="B127" s="10" t="s">
        <v>216</v>
      </c>
      <c r="C127" s="159" t="s">
        <v>2118</v>
      </c>
      <c r="D127" s="159" t="s">
        <v>2120</v>
      </c>
      <c r="E127" s="173">
        <v>894.0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22.5" customHeight="1">
      <c r="A128" s="10" t="s">
        <v>2324</v>
      </c>
      <c r="B128" s="10" t="s">
        <v>216</v>
      </c>
      <c r="C128" s="159" t="s">
        <v>2120</v>
      </c>
      <c r="D128" s="159" t="s">
        <v>2122</v>
      </c>
      <c r="E128" s="173">
        <v>949.0</v>
      </c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2.5" customHeight="1">
      <c r="A129" s="10" t="s">
        <v>2325</v>
      </c>
      <c r="B129" s="10" t="s">
        <v>216</v>
      </c>
      <c r="C129" s="159" t="s">
        <v>2122</v>
      </c>
      <c r="D129" s="159" t="s">
        <v>2124</v>
      </c>
      <c r="E129" s="173">
        <v>1000.0</v>
      </c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2.5" customHeight="1">
      <c r="A130" s="10" t="s">
        <v>2327</v>
      </c>
      <c r="B130" s="10" t="s">
        <v>216</v>
      </c>
      <c r="C130" s="159" t="s">
        <v>2124</v>
      </c>
      <c r="D130" s="159" t="s">
        <v>2126</v>
      </c>
      <c r="E130" s="173">
        <v>1030.0</v>
      </c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2.5" customHeight="1">
      <c r="A131" s="10" t="s">
        <v>2328</v>
      </c>
      <c r="B131" s="10" t="s">
        <v>216</v>
      </c>
      <c r="C131" s="159" t="s">
        <v>2126</v>
      </c>
      <c r="D131" s="159" t="s">
        <v>2128</v>
      </c>
      <c r="E131" s="173">
        <v>1057.0</v>
      </c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2.5" customHeight="1">
      <c r="A132" s="10" t="s">
        <v>2330</v>
      </c>
      <c r="B132" s="10" t="s">
        <v>216</v>
      </c>
      <c r="C132" s="159" t="s">
        <v>2128</v>
      </c>
      <c r="D132" s="159" t="s">
        <v>2130</v>
      </c>
      <c r="E132" s="173">
        <v>1083.0</v>
      </c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2.5" customHeight="1">
      <c r="A133" s="10" t="s">
        <v>2332</v>
      </c>
      <c r="B133" s="10" t="s">
        <v>216</v>
      </c>
      <c r="C133" s="159" t="s">
        <v>2130</v>
      </c>
      <c r="D133" s="159" t="s">
        <v>2132</v>
      </c>
      <c r="E133" s="173">
        <v>1108.0</v>
      </c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22.5" customHeight="1">
      <c r="A134" s="10" t="s">
        <v>2334</v>
      </c>
      <c r="B134" s="10" t="s">
        <v>216</v>
      </c>
      <c r="C134" s="159" t="s">
        <v>2132</v>
      </c>
      <c r="D134" s="159" t="s">
        <v>2134</v>
      </c>
      <c r="E134" s="173">
        <v>1131.0</v>
      </c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22.5" customHeight="1">
      <c r="A135" s="10" t="s">
        <v>2336</v>
      </c>
      <c r="B135" s="10" t="s">
        <v>216</v>
      </c>
      <c r="C135" s="159" t="s">
        <v>2134</v>
      </c>
      <c r="D135" s="159" t="s">
        <v>2136</v>
      </c>
      <c r="E135" s="173">
        <v>1154.0</v>
      </c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22.5" customHeight="1">
      <c r="A136" s="10" t="s">
        <v>2337</v>
      </c>
      <c r="B136" s="10" t="s">
        <v>216</v>
      </c>
      <c r="C136" s="159" t="s">
        <v>2136</v>
      </c>
      <c r="D136" s="159" t="s">
        <v>2138</v>
      </c>
      <c r="E136" s="173">
        <v>1175.0</v>
      </c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22.5" customHeight="1">
      <c r="A137" s="10" t="s">
        <v>2338</v>
      </c>
      <c r="B137" s="10" t="s">
        <v>216</v>
      </c>
      <c r="C137" s="159" t="s">
        <v>2138</v>
      </c>
      <c r="D137" s="159" t="s">
        <v>2140</v>
      </c>
      <c r="E137" s="173">
        <v>1190.0</v>
      </c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2.5" customHeight="1">
      <c r="A138" s="10" t="s">
        <v>2339</v>
      </c>
      <c r="B138" s="10" t="s">
        <v>216</v>
      </c>
      <c r="C138" s="159" t="s">
        <v>2140</v>
      </c>
      <c r="D138" s="159" t="s">
        <v>2142</v>
      </c>
      <c r="E138" s="173">
        <v>1215.0</v>
      </c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2.5" customHeight="1">
      <c r="A139" s="10" t="s">
        <v>2340</v>
      </c>
      <c r="B139" s="10" t="s">
        <v>216</v>
      </c>
      <c r="C139" s="159" t="s">
        <v>2142</v>
      </c>
      <c r="D139" s="159" t="s">
        <v>2144</v>
      </c>
      <c r="E139" s="173">
        <v>1234.0</v>
      </c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22.5" customHeight="1">
      <c r="A140" s="10" t="s">
        <v>2341</v>
      </c>
      <c r="B140" s="10" t="s">
        <v>216</v>
      </c>
      <c r="C140" s="159" t="s">
        <v>2144</v>
      </c>
      <c r="D140" s="159" t="s">
        <v>2115</v>
      </c>
      <c r="E140" s="173">
        <v>1252.0</v>
      </c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22.5" customHeight="1">
      <c r="A141" s="10" t="s">
        <v>2342</v>
      </c>
      <c r="B141" s="10" t="s">
        <v>239</v>
      </c>
      <c r="C141" s="159" t="s">
        <v>2115</v>
      </c>
      <c r="D141" s="159" t="s">
        <v>2116</v>
      </c>
      <c r="E141" s="173">
        <v>669.0</v>
      </c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22.5" customHeight="1">
      <c r="A142" s="10" t="s">
        <v>2343</v>
      </c>
      <c r="B142" s="10" t="s">
        <v>239</v>
      </c>
      <c r="C142" s="159" t="s">
        <v>2116</v>
      </c>
      <c r="D142" s="159" t="s">
        <v>2118</v>
      </c>
      <c r="E142" s="173">
        <v>736.0</v>
      </c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22.5" customHeight="1">
      <c r="A143" s="10" t="s">
        <v>2344</v>
      </c>
      <c r="B143" s="10" t="s">
        <v>239</v>
      </c>
      <c r="C143" s="159" t="s">
        <v>2118</v>
      </c>
      <c r="D143" s="159" t="s">
        <v>2120</v>
      </c>
      <c r="E143" s="173">
        <v>796.0</v>
      </c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22.5" customHeight="1">
      <c r="A144" s="10" t="s">
        <v>2345</v>
      </c>
      <c r="B144" s="10" t="s">
        <v>239</v>
      </c>
      <c r="C144" s="159" t="s">
        <v>2120</v>
      </c>
      <c r="D144" s="159" t="s">
        <v>2122</v>
      </c>
      <c r="E144" s="173">
        <v>852.0</v>
      </c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22.5" customHeight="1">
      <c r="A145" s="10" t="s">
        <v>2346</v>
      </c>
      <c r="B145" s="10" t="s">
        <v>239</v>
      </c>
      <c r="C145" s="159" t="s">
        <v>2122</v>
      </c>
      <c r="D145" s="159" t="s">
        <v>2124</v>
      </c>
      <c r="E145" s="173">
        <v>905.0</v>
      </c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22.5" customHeight="1">
      <c r="A146" s="10" t="s">
        <v>2347</v>
      </c>
      <c r="B146" s="10" t="s">
        <v>239</v>
      </c>
      <c r="C146" s="159" t="s">
        <v>2124</v>
      </c>
      <c r="D146" s="159" t="s">
        <v>2126</v>
      </c>
      <c r="E146" s="173">
        <v>954.0</v>
      </c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22.5" customHeight="1">
      <c r="A147" s="10" t="s">
        <v>2348</v>
      </c>
      <c r="B147" s="10" t="s">
        <v>239</v>
      </c>
      <c r="C147" s="159" t="s">
        <v>2126</v>
      </c>
      <c r="D147" s="159" t="s">
        <v>2128</v>
      </c>
      <c r="E147" s="173">
        <v>1000.0</v>
      </c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22.5" customHeight="1">
      <c r="A148" s="10" t="s">
        <v>2349</v>
      </c>
      <c r="B148" s="10" t="s">
        <v>239</v>
      </c>
      <c r="C148" s="159" t="s">
        <v>2128</v>
      </c>
      <c r="D148" s="159" t="s">
        <v>2130</v>
      </c>
      <c r="E148" s="173">
        <v>1044.0</v>
      </c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22.5" customHeight="1">
      <c r="A149" s="10" t="s">
        <v>2350</v>
      </c>
      <c r="B149" s="10" t="s">
        <v>239</v>
      </c>
      <c r="C149" s="159" t="s">
        <v>2130</v>
      </c>
      <c r="D149" s="159" t="s">
        <v>2132</v>
      </c>
      <c r="E149" s="173">
        <v>1086.0</v>
      </c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22.5" customHeight="1">
      <c r="A150" s="10" t="s">
        <v>2351</v>
      </c>
      <c r="B150" s="10" t="s">
        <v>239</v>
      </c>
      <c r="C150" s="159" t="s">
        <v>2132</v>
      </c>
      <c r="D150" s="159" t="s">
        <v>2134</v>
      </c>
      <c r="E150" s="173">
        <v>1127.0</v>
      </c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22.5" customHeight="1">
      <c r="A151" s="10" t="s">
        <v>2352</v>
      </c>
      <c r="B151" s="10" t="s">
        <v>239</v>
      </c>
      <c r="C151" s="159" t="s">
        <v>2134</v>
      </c>
      <c r="D151" s="159" t="s">
        <v>2136</v>
      </c>
      <c r="E151" s="173">
        <v>1165.0</v>
      </c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22.5" customHeight="1">
      <c r="A152" s="10" t="s">
        <v>2353</v>
      </c>
      <c r="B152" s="10" t="s">
        <v>239</v>
      </c>
      <c r="C152" s="159" t="s">
        <v>2136</v>
      </c>
      <c r="D152" s="159" t="s">
        <v>2138</v>
      </c>
      <c r="E152" s="173">
        <v>1203.0</v>
      </c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22.5" customHeight="1">
      <c r="A153" s="10" t="s">
        <v>2354</v>
      </c>
      <c r="B153" s="10" t="s">
        <v>239</v>
      </c>
      <c r="C153" s="159" t="s">
        <v>2138</v>
      </c>
      <c r="D153" s="159" t="s">
        <v>2140</v>
      </c>
      <c r="E153" s="173">
        <v>1239.0</v>
      </c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22.5" customHeight="1">
      <c r="A154" s="10" t="s">
        <v>2355</v>
      </c>
      <c r="B154" s="10" t="s">
        <v>239</v>
      </c>
      <c r="C154" s="159" t="s">
        <v>2140</v>
      </c>
      <c r="D154" s="159" t="s">
        <v>2142</v>
      </c>
      <c r="E154" s="173">
        <v>1274.0</v>
      </c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22.5" customHeight="1">
      <c r="A155" s="10" t="s">
        <v>2356</v>
      </c>
      <c r="B155" s="10" t="s">
        <v>239</v>
      </c>
      <c r="C155" s="159" t="s">
        <v>2142</v>
      </c>
      <c r="D155" s="159" t="s">
        <v>2144</v>
      </c>
      <c r="E155" s="173">
        <v>1308.0</v>
      </c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22.5" customHeight="1">
      <c r="A156" s="10" t="s">
        <v>2357</v>
      </c>
      <c r="B156" s="10" t="s">
        <v>239</v>
      </c>
      <c r="C156" s="159" t="s">
        <v>2144</v>
      </c>
      <c r="D156" s="159" t="s">
        <v>2115</v>
      </c>
      <c r="E156" s="173">
        <v>1341.0</v>
      </c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22.5" customHeight="1">
      <c r="A157" s="10" t="s">
        <v>2358</v>
      </c>
      <c r="B157" s="10" t="s">
        <v>245</v>
      </c>
      <c r="C157" s="159" t="s">
        <v>2115</v>
      </c>
      <c r="D157" s="159" t="s">
        <v>2116</v>
      </c>
      <c r="E157" s="173">
        <v>772.0</v>
      </c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22.5" customHeight="1">
      <c r="A158" s="10" t="s">
        <v>2359</v>
      </c>
      <c r="B158" s="10" t="s">
        <v>245</v>
      </c>
      <c r="C158" s="159" t="s">
        <v>2116</v>
      </c>
      <c r="D158" s="159" t="s">
        <v>2118</v>
      </c>
      <c r="E158" s="173">
        <v>835.0</v>
      </c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22.5" customHeight="1">
      <c r="A159" s="10" t="s">
        <v>2360</v>
      </c>
      <c r="B159" s="10" t="s">
        <v>245</v>
      </c>
      <c r="C159" s="159" t="s">
        <v>2118</v>
      </c>
      <c r="D159" s="159" t="s">
        <v>2120</v>
      </c>
      <c r="E159" s="173">
        <v>894.0</v>
      </c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22.5" customHeight="1">
      <c r="A160" s="10" t="s">
        <v>2361</v>
      </c>
      <c r="B160" s="10" t="s">
        <v>245</v>
      </c>
      <c r="C160" s="159" t="s">
        <v>2120</v>
      </c>
      <c r="D160" s="159" t="s">
        <v>2122</v>
      </c>
      <c r="E160" s="173">
        <v>949.0</v>
      </c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22.5" customHeight="1">
      <c r="A161" s="10" t="s">
        <v>2362</v>
      </c>
      <c r="B161" s="10" t="s">
        <v>245</v>
      </c>
      <c r="C161" s="159" t="s">
        <v>2122</v>
      </c>
      <c r="D161" s="159" t="s">
        <v>2124</v>
      </c>
      <c r="E161" s="173">
        <v>1000.0</v>
      </c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22.5" customHeight="1">
      <c r="A162" s="10" t="s">
        <v>2363</v>
      </c>
      <c r="B162" s="10" t="s">
        <v>245</v>
      </c>
      <c r="C162" s="159" t="s">
        <v>2124</v>
      </c>
      <c r="D162" s="159" t="s">
        <v>2126</v>
      </c>
      <c r="E162" s="173">
        <v>1030.0</v>
      </c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22.5" customHeight="1">
      <c r="A163" s="10" t="s">
        <v>2364</v>
      </c>
      <c r="B163" s="10" t="s">
        <v>245</v>
      </c>
      <c r="C163" s="159" t="s">
        <v>2126</v>
      </c>
      <c r="D163" s="159" t="s">
        <v>2128</v>
      </c>
      <c r="E163" s="173">
        <v>1057.0</v>
      </c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22.5" customHeight="1">
      <c r="A164" s="10" t="s">
        <v>2365</v>
      </c>
      <c r="B164" s="10" t="s">
        <v>245</v>
      </c>
      <c r="C164" s="159" t="s">
        <v>2128</v>
      </c>
      <c r="D164" s="159" t="s">
        <v>2130</v>
      </c>
      <c r="E164" s="173">
        <v>1083.0</v>
      </c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22.5" customHeight="1">
      <c r="A165" s="10" t="s">
        <v>2366</v>
      </c>
      <c r="B165" s="10" t="s">
        <v>245</v>
      </c>
      <c r="C165" s="159" t="s">
        <v>2130</v>
      </c>
      <c r="D165" s="159" t="s">
        <v>2132</v>
      </c>
      <c r="E165" s="173">
        <v>1108.0</v>
      </c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22.5" customHeight="1">
      <c r="A166" s="10" t="s">
        <v>2367</v>
      </c>
      <c r="B166" s="10" t="s">
        <v>245</v>
      </c>
      <c r="C166" s="159" t="s">
        <v>2132</v>
      </c>
      <c r="D166" s="159" t="s">
        <v>2134</v>
      </c>
      <c r="E166" s="173">
        <v>1131.0</v>
      </c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22.5" customHeight="1">
      <c r="A167" s="10" t="s">
        <v>2368</v>
      </c>
      <c r="B167" s="10" t="s">
        <v>245</v>
      </c>
      <c r="C167" s="159" t="s">
        <v>2134</v>
      </c>
      <c r="D167" s="159" t="s">
        <v>2136</v>
      </c>
      <c r="E167" s="173">
        <v>1154.0</v>
      </c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22.5" customHeight="1">
      <c r="A168" s="10" t="s">
        <v>2369</v>
      </c>
      <c r="B168" s="10" t="s">
        <v>245</v>
      </c>
      <c r="C168" s="159" t="s">
        <v>2136</v>
      </c>
      <c r="D168" s="159" t="s">
        <v>2138</v>
      </c>
      <c r="E168" s="173">
        <v>1175.0</v>
      </c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22.5" customHeight="1">
      <c r="A169" s="10" t="s">
        <v>2370</v>
      </c>
      <c r="B169" s="10" t="s">
        <v>245</v>
      </c>
      <c r="C169" s="159" t="s">
        <v>2138</v>
      </c>
      <c r="D169" s="159" t="s">
        <v>2140</v>
      </c>
      <c r="E169" s="173">
        <v>1190.0</v>
      </c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22.5" customHeight="1">
      <c r="A170" s="10" t="s">
        <v>2371</v>
      </c>
      <c r="B170" s="10" t="s">
        <v>245</v>
      </c>
      <c r="C170" s="159" t="s">
        <v>2140</v>
      </c>
      <c r="D170" s="159" t="s">
        <v>2142</v>
      </c>
      <c r="E170" s="173">
        <v>1215.0</v>
      </c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22.5" customHeight="1">
      <c r="A171" s="10" t="s">
        <v>2372</v>
      </c>
      <c r="B171" s="10" t="s">
        <v>245</v>
      </c>
      <c r="C171" s="159" t="s">
        <v>2142</v>
      </c>
      <c r="D171" s="159" t="s">
        <v>2144</v>
      </c>
      <c r="E171" s="173">
        <v>1234.0</v>
      </c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22.5" customHeight="1">
      <c r="A172" s="10" t="s">
        <v>2373</v>
      </c>
      <c r="B172" s="10" t="s">
        <v>245</v>
      </c>
      <c r="C172" s="159" t="s">
        <v>2144</v>
      </c>
      <c r="D172" s="159" t="s">
        <v>2115</v>
      </c>
      <c r="E172" s="173">
        <v>1252.0</v>
      </c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22.5" customHeight="1">
      <c r="A173" s="10" t="s">
        <v>2374</v>
      </c>
      <c r="B173" s="10" t="s">
        <v>268</v>
      </c>
      <c r="C173" s="159" t="s">
        <v>2115</v>
      </c>
      <c r="D173" s="159" t="s">
        <v>2116</v>
      </c>
      <c r="E173" s="173">
        <v>669.0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22.5" customHeight="1">
      <c r="A174" s="10" t="s">
        <v>2375</v>
      </c>
      <c r="B174" s="10" t="s">
        <v>268</v>
      </c>
      <c r="C174" s="159" t="s">
        <v>2116</v>
      </c>
      <c r="D174" s="159" t="s">
        <v>2118</v>
      </c>
      <c r="E174" s="173">
        <v>736.0</v>
      </c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22.5" customHeight="1">
      <c r="A175" s="10" t="s">
        <v>2376</v>
      </c>
      <c r="B175" s="10" t="s">
        <v>268</v>
      </c>
      <c r="C175" s="159" t="s">
        <v>2118</v>
      </c>
      <c r="D175" s="159" t="s">
        <v>2120</v>
      </c>
      <c r="E175" s="173">
        <v>796.0</v>
      </c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22.5" customHeight="1">
      <c r="A176" s="10" t="s">
        <v>2377</v>
      </c>
      <c r="B176" s="10" t="s">
        <v>268</v>
      </c>
      <c r="C176" s="159" t="s">
        <v>2120</v>
      </c>
      <c r="D176" s="159" t="s">
        <v>2122</v>
      </c>
      <c r="E176" s="173">
        <v>852.0</v>
      </c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22.5" customHeight="1">
      <c r="A177" s="10" t="s">
        <v>2379</v>
      </c>
      <c r="B177" s="10" t="s">
        <v>268</v>
      </c>
      <c r="C177" s="159" t="s">
        <v>2122</v>
      </c>
      <c r="D177" s="159" t="s">
        <v>2124</v>
      </c>
      <c r="E177" s="173">
        <v>905.0</v>
      </c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22.5" customHeight="1">
      <c r="A178" s="10" t="s">
        <v>2383</v>
      </c>
      <c r="B178" s="10" t="s">
        <v>268</v>
      </c>
      <c r="C178" s="159" t="s">
        <v>2124</v>
      </c>
      <c r="D178" s="159" t="s">
        <v>2126</v>
      </c>
      <c r="E178" s="173">
        <v>954.0</v>
      </c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22.5" customHeight="1">
      <c r="A179" s="10" t="s">
        <v>2387</v>
      </c>
      <c r="B179" s="10" t="s">
        <v>268</v>
      </c>
      <c r="C179" s="159" t="s">
        <v>2126</v>
      </c>
      <c r="D179" s="159" t="s">
        <v>2128</v>
      </c>
      <c r="E179" s="173">
        <v>1000.0</v>
      </c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22.5" customHeight="1">
      <c r="A180" s="10" t="s">
        <v>2391</v>
      </c>
      <c r="B180" s="10" t="s">
        <v>268</v>
      </c>
      <c r="C180" s="159" t="s">
        <v>2128</v>
      </c>
      <c r="D180" s="159" t="s">
        <v>2130</v>
      </c>
      <c r="E180" s="173">
        <v>1044.0</v>
      </c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22.5" customHeight="1">
      <c r="A181" s="10" t="s">
        <v>2394</v>
      </c>
      <c r="B181" s="10" t="s">
        <v>268</v>
      </c>
      <c r="C181" s="159" t="s">
        <v>2130</v>
      </c>
      <c r="D181" s="159" t="s">
        <v>2132</v>
      </c>
      <c r="E181" s="173">
        <v>1086.0</v>
      </c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22.5" customHeight="1">
      <c r="A182" s="10" t="s">
        <v>2397</v>
      </c>
      <c r="B182" s="10" t="s">
        <v>268</v>
      </c>
      <c r="C182" s="159" t="s">
        <v>2132</v>
      </c>
      <c r="D182" s="159" t="s">
        <v>2134</v>
      </c>
      <c r="E182" s="173">
        <v>1127.0</v>
      </c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22.5" customHeight="1">
      <c r="A183" s="10" t="s">
        <v>2400</v>
      </c>
      <c r="B183" s="10" t="s">
        <v>268</v>
      </c>
      <c r="C183" s="159" t="s">
        <v>2134</v>
      </c>
      <c r="D183" s="159" t="s">
        <v>2136</v>
      </c>
      <c r="E183" s="173">
        <v>1165.0</v>
      </c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22.5" customHeight="1">
      <c r="A184" s="10" t="s">
        <v>2402</v>
      </c>
      <c r="B184" s="10" t="s">
        <v>268</v>
      </c>
      <c r="C184" s="159" t="s">
        <v>2136</v>
      </c>
      <c r="D184" s="159" t="s">
        <v>2138</v>
      </c>
      <c r="E184" s="173">
        <v>1203.0</v>
      </c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22.5" customHeight="1">
      <c r="A185" s="10" t="s">
        <v>2405</v>
      </c>
      <c r="B185" s="10" t="s">
        <v>268</v>
      </c>
      <c r="C185" s="159" t="s">
        <v>2138</v>
      </c>
      <c r="D185" s="159" t="s">
        <v>2140</v>
      </c>
      <c r="E185" s="173">
        <v>1239.0</v>
      </c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22.5" customHeight="1">
      <c r="A186" s="10" t="s">
        <v>2407</v>
      </c>
      <c r="B186" s="10" t="s">
        <v>268</v>
      </c>
      <c r="C186" s="159" t="s">
        <v>2140</v>
      </c>
      <c r="D186" s="159" t="s">
        <v>2142</v>
      </c>
      <c r="E186" s="173">
        <v>1274.0</v>
      </c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22.5" customHeight="1">
      <c r="A187" s="10" t="s">
        <v>2411</v>
      </c>
      <c r="B187" s="10" t="s">
        <v>268</v>
      </c>
      <c r="C187" s="159" t="s">
        <v>2142</v>
      </c>
      <c r="D187" s="159" t="s">
        <v>2144</v>
      </c>
      <c r="E187" s="173">
        <v>1308.0</v>
      </c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22.5" customHeight="1">
      <c r="A188" s="10" t="s">
        <v>2413</v>
      </c>
      <c r="B188" s="10" t="s">
        <v>268</v>
      </c>
      <c r="C188" s="159" t="s">
        <v>2144</v>
      </c>
      <c r="D188" s="159" t="s">
        <v>2146</v>
      </c>
      <c r="E188" s="173">
        <v>1341.0</v>
      </c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22.5" customHeight="1">
      <c r="A189" s="10" t="s">
        <v>2415</v>
      </c>
      <c r="B189" s="10" t="s">
        <v>292</v>
      </c>
      <c r="C189" s="159" t="s">
        <v>2115</v>
      </c>
      <c r="D189" s="159" t="s">
        <v>2116</v>
      </c>
      <c r="E189" s="173">
        <v>669.0</v>
      </c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22.5" customHeight="1">
      <c r="A190" s="10" t="s">
        <v>2418</v>
      </c>
      <c r="B190" s="10" t="s">
        <v>292</v>
      </c>
      <c r="C190" s="159" t="s">
        <v>2116</v>
      </c>
      <c r="D190" s="159" t="s">
        <v>2118</v>
      </c>
      <c r="E190" s="173">
        <v>736.0</v>
      </c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22.5" customHeight="1">
      <c r="A191" s="10" t="s">
        <v>2421</v>
      </c>
      <c r="B191" s="10" t="s">
        <v>292</v>
      </c>
      <c r="C191" s="159" t="s">
        <v>2118</v>
      </c>
      <c r="D191" s="159" t="s">
        <v>2120</v>
      </c>
      <c r="E191" s="173">
        <v>796.0</v>
      </c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22.5" customHeight="1">
      <c r="A192" s="10" t="s">
        <v>2424</v>
      </c>
      <c r="B192" s="10" t="s">
        <v>292</v>
      </c>
      <c r="C192" s="159" t="s">
        <v>2120</v>
      </c>
      <c r="D192" s="159" t="s">
        <v>2122</v>
      </c>
      <c r="E192" s="173">
        <v>852.0</v>
      </c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22.5" customHeight="1">
      <c r="A193" s="10" t="s">
        <v>2429</v>
      </c>
      <c r="B193" s="10" t="s">
        <v>292</v>
      </c>
      <c r="C193" s="159" t="s">
        <v>2122</v>
      </c>
      <c r="D193" s="159" t="s">
        <v>2124</v>
      </c>
      <c r="E193" s="173">
        <v>905.0</v>
      </c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22.5" customHeight="1">
      <c r="A194" s="10" t="s">
        <v>2432</v>
      </c>
      <c r="B194" s="10" t="s">
        <v>292</v>
      </c>
      <c r="C194" s="159" t="s">
        <v>2124</v>
      </c>
      <c r="D194" s="159" t="s">
        <v>2126</v>
      </c>
      <c r="E194" s="173">
        <v>954.0</v>
      </c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22.5" customHeight="1">
      <c r="A195" s="10" t="s">
        <v>2436</v>
      </c>
      <c r="B195" s="10" t="s">
        <v>292</v>
      </c>
      <c r="C195" s="159" t="s">
        <v>2126</v>
      </c>
      <c r="D195" s="159" t="s">
        <v>2128</v>
      </c>
      <c r="E195" s="173">
        <v>1000.0</v>
      </c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22.5" customHeight="1">
      <c r="A196" s="10" t="s">
        <v>2440</v>
      </c>
      <c r="B196" s="10" t="s">
        <v>292</v>
      </c>
      <c r="C196" s="159" t="s">
        <v>2128</v>
      </c>
      <c r="D196" s="159" t="s">
        <v>2130</v>
      </c>
      <c r="E196" s="173">
        <v>1044.0</v>
      </c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22.5" customHeight="1">
      <c r="A197" s="10" t="s">
        <v>2442</v>
      </c>
      <c r="B197" s="10" t="s">
        <v>292</v>
      </c>
      <c r="C197" s="159" t="s">
        <v>2130</v>
      </c>
      <c r="D197" s="159" t="s">
        <v>2132</v>
      </c>
      <c r="E197" s="173">
        <v>1086.0</v>
      </c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22.5" customHeight="1">
      <c r="A198" s="10" t="s">
        <v>2445</v>
      </c>
      <c r="B198" s="10" t="s">
        <v>292</v>
      </c>
      <c r="C198" s="159" t="s">
        <v>2132</v>
      </c>
      <c r="D198" s="159" t="s">
        <v>2134</v>
      </c>
      <c r="E198" s="173">
        <v>1127.0</v>
      </c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22.5" customHeight="1">
      <c r="A199" s="10" t="s">
        <v>2449</v>
      </c>
      <c r="B199" s="10" t="s">
        <v>292</v>
      </c>
      <c r="C199" s="159" t="s">
        <v>2134</v>
      </c>
      <c r="D199" s="159" t="s">
        <v>2136</v>
      </c>
      <c r="E199" s="173">
        <v>1165.0</v>
      </c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22.5" customHeight="1">
      <c r="A200" s="10" t="s">
        <v>2453</v>
      </c>
      <c r="B200" s="10" t="s">
        <v>292</v>
      </c>
      <c r="C200" s="159" t="s">
        <v>2136</v>
      </c>
      <c r="D200" s="159" t="s">
        <v>2138</v>
      </c>
      <c r="E200" s="173">
        <v>1203.0</v>
      </c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22.5" customHeight="1">
      <c r="A201" s="10" t="s">
        <v>2455</v>
      </c>
      <c r="B201" s="10" t="s">
        <v>292</v>
      </c>
      <c r="C201" s="159" t="s">
        <v>2138</v>
      </c>
      <c r="D201" s="159" t="s">
        <v>2140</v>
      </c>
      <c r="E201" s="173">
        <v>1239.0</v>
      </c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22.5" customHeight="1">
      <c r="A202" s="10" t="s">
        <v>2459</v>
      </c>
      <c r="B202" s="10" t="s">
        <v>292</v>
      </c>
      <c r="C202" s="159" t="s">
        <v>2140</v>
      </c>
      <c r="D202" s="159" t="s">
        <v>2142</v>
      </c>
      <c r="E202" s="173">
        <v>1274.0</v>
      </c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22.5" customHeight="1">
      <c r="A203" s="10" t="s">
        <v>2463</v>
      </c>
      <c r="B203" s="10" t="s">
        <v>292</v>
      </c>
      <c r="C203" s="159" t="s">
        <v>2142</v>
      </c>
      <c r="D203" s="159" t="s">
        <v>2144</v>
      </c>
      <c r="E203" s="173">
        <v>1308.0</v>
      </c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22.5" customHeight="1">
      <c r="A204" s="10" t="s">
        <v>2467</v>
      </c>
      <c r="B204" s="10" t="s">
        <v>292</v>
      </c>
      <c r="C204" s="159" t="s">
        <v>2144</v>
      </c>
      <c r="D204" s="159" t="s">
        <v>2470</v>
      </c>
      <c r="E204" s="173">
        <v>1341.0</v>
      </c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22.5" customHeight="1">
      <c r="A205" s="10" t="s">
        <v>2473</v>
      </c>
      <c r="B205" s="10" t="s">
        <v>317</v>
      </c>
      <c r="C205" s="159" t="s">
        <v>2470</v>
      </c>
      <c r="D205" s="159" t="s">
        <v>2477</v>
      </c>
      <c r="E205" s="173">
        <v>669.0</v>
      </c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22.5" customHeight="1">
      <c r="A206" s="10" t="s">
        <v>2481</v>
      </c>
      <c r="B206" s="10" t="s">
        <v>317</v>
      </c>
      <c r="C206" s="159" t="s">
        <v>2477</v>
      </c>
      <c r="D206" s="159" t="s">
        <v>2485</v>
      </c>
      <c r="E206" s="173">
        <v>736.0</v>
      </c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22.5" customHeight="1">
      <c r="A207" s="10" t="s">
        <v>2489</v>
      </c>
      <c r="B207" s="10" t="s">
        <v>317</v>
      </c>
      <c r="C207" s="159" t="s">
        <v>2485</v>
      </c>
      <c r="D207" s="159" t="s">
        <v>2493</v>
      </c>
      <c r="E207" s="173">
        <v>796.0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22.5" customHeight="1">
      <c r="A208" s="10" t="s">
        <v>2497</v>
      </c>
      <c r="B208" s="10" t="s">
        <v>317</v>
      </c>
      <c r="C208" s="159" t="s">
        <v>2493</v>
      </c>
      <c r="D208" s="159" t="s">
        <v>2499</v>
      </c>
      <c r="E208" s="173">
        <v>852.0</v>
      </c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22.5" customHeight="1">
      <c r="A209" s="10" t="s">
        <v>2504</v>
      </c>
      <c r="B209" s="10" t="s">
        <v>317</v>
      </c>
      <c r="C209" s="159" t="s">
        <v>2499</v>
      </c>
      <c r="D209" s="159" t="s">
        <v>2506</v>
      </c>
      <c r="E209" s="173">
        <v>905.0</v>
      </c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22.5" customHeight="1">
      <c r="A210" s="10" t="s">
        <v>2511</v>
      </c>
      <c r="B210" s="10" t="s">
        <v>317</v>
      </c>
      <c r="C210" s="159" t="s">
        <v>2506</v>
      </c>
      <c r="D210" s="159" t="s">
        <v>2516</v>
      </c>
      <c r="E210" s="173">
        <v>954.0</v>
      </c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22.5" customHeight="1">
      <c r="A211" s="10" t="s">
        <v>2520</v>
      </c>
      <c r="B211" s="10" t="s">
        <v>317</v>
      </c>
      <c r="C211" s="159" t="s">
        <v>2516</v>
      </c>
      <c r="D211" s="159" t="s">
        <v>2522</v>
      </c>
      <c r="E211" s="173">
        <v>1000.0</v>
      </c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22.5" customHeight="1">
      <c r="A212" s="10" t="s">
        <v>2528</v>
      </c>
      <c r="B212" s="10" t="s">
        <v>317</v>
      </c>
      <c r="C212" s="159" t="s">
        <v>2522</v>
      </c>
      <c r="D212" s="159" t="s">
        <v>2530</v>
      </c>
      <c r="E212" s="173">
        <v>1044.0</v>
      </c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22.5" customHeight="1">
      <c r="A213" s="10" t="s">
        <v>2534</v>
      </c>
      <c r="B213" s="10" t="s">
        <v>317</v>
      </c>
      <c r="C213" s="159" t="s">
        <v>2530</v>
      </c>
      <c r="D213" s="159" t="s">
        <v>2538</v>
      </c>
      <c r="E213" s="173">
        <v>1086.0</v>
      </c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22.5" customHeight="1">
      <c r="A214" s="10" t="s">
        <v>2543</v>
      </c>
      <c r="B214" s="10" t="s">
        <v>317</v>
      </c>
      <c r="C214" s="159" t="s">
        <v>2538</v>
      </c>
      <c r="D214" s="159" t="s">
        <v>2546</v>
      </c>
      <c r="E214" s="173">
        <v>1127.0</v>
      </c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22.5" customHeight="1">
      <c r="A215" s="10" t="s">
        <v>2549</v>
      </c>
      <c r="B215" s="10" t="s">
        <v>317</v>
      </c>
      <c r="C215" s="159" t="s">
        <v>2546</v>
      </c>
      <c r="D215" s="159" t="s">
        <v>2555</v>
      </c>
      <c r="E215" s="173">
        <v>1165.0</v>
      </c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22.5" customHeight="1">
      <c r="A216" s="10" t="s">
        <v>2559</v>
      </c>
      <c r="B216" s="10" t="s">
        <v>317</v>
      </c>
      <c r="C216" s="159" t="s">
        <v>2555</v>
      </c>
      <c r="D216" s="159" t="s">
        <v>2561</v>
      </c>
      <c r="E216" s="173">
        <v>1203.0</v>
      </c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2.5" customHeight="1">
      <c r="A217" s="10" t="s">
        <v>2563</v>
      </c>
      <c r="B217" s="10" t="s">
        <v>317</v>
      </c>
      <c r="C217" s="159" t="s">
        <v>2561</v>
      </c>
      <c r="D217" s="159" t="s">
        <v>2565</v>
      </c>
      <c r="E217" s="173">
        <v>1239.0</v>
      </c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22.5" customHeight="1">
      <c r="A218" s="10" t="s">
        <v>2570</v>
      </c>
      <c r="B218" s="10" t="s">
        <v>317</v>
      </c>
      <c r="C218" s="159" t="s">
        <v>2565</v>
      </c>
      <c r="D218" s="159" t="s">
        <v>2572</v>
      </c>
      <c r="E218" s="173">
        <v>1274.0</v>
      </c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22.5" customHeight="1">
      <c r="A219" s="10" t="s">
        <v>2575</v>
      </c>
      <c r="B219" s="10" t="s">
        <v>317</v>
      </c>
      <c r="C219" s="159" t="s">
        <v>2572</v>
      </c>
      <c r="D219" s="159" t="s">
        <v>2577</v>
      </c>
      <c r="E219" s="173">
        <v>1308.0</v>
      </c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22.5" customHeight="1">
      <c r="A220" s="10" t="s">
        <v>2584</v>
      </c>
      <c r="B220" s="10" t="s">
        <v>317</v>
      </c>
      <c r="C220" s="159" t="s">
        <v>2577</v>
      </c>
      <c r="D220" s="159" t="s">
        <v>2115</v>
      </c>
      <c r="E220" s="173">
        <v>1341.0</v>
      </c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</sheetData>
  <dataValidations>
    <dataValidation type="custom" allowBlank="1" showDropDown="1" sqref="E2:E220">
      <formula1>AND(ISNUMBER(E2),(NOT(OR(NOT(ISERROR(DATEVALUE(E2))), AND(ISNUMBER(E2), LEFT(CELL("format", E2))="D")))))</formula1>
    </dataValidation>
    <dataValidation allowBlank="1" showDropDown="1" sqref="C2:D220"/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26.63"/>
    <col customWidth="1" min="3" max="3" width="15.5"/>
    <col customWidth="1" min="4" max="4" width="20.75"/>
    <col customWidth="1" min="5" max="5" width="136.63"/>
  </cols>
  <sheetData>
    <row r="1" ht="22.5" customHeight="1">
      <c r="A1" s="1" t="s">
        <v>2171</v>
      </c>
      <c r="B1" s="1" t="s">
        <v>2</v>
      </c>
      <c r="C1" s="1" t="s">
        <v>2172</v>
      </c>
      <c r="D1" s="1" t="s">
        <v>2174</v>
      </c>
      <c r="E1" s="4" t="s">
        <v>2175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174" t="s">
        <v>2178</v>
      </c>
      <c r="B2" s="174" t="s">
        <v>28</v>
      </c>
      <c r="C2" s="175" t="s">
        <v>2180</v>
      </c>
      <c r="D2" s="176">
        <v>0.13</v>
      </c>
      <c r="E2" s="177" t="s">
        <v>2181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174" t="s">
        <v>2184</v>
      </c>
      <c r="B3" s="174" t="s">
        <v>28</v>
      </c>
      <c r="C3" s="175" t="s">
        <v>2186</v>
      </c>
      <c r="D3" s="176">
        <v>0.13</v>
      </c>
      <c r="E3" s="177" t="s">
        <v>2181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174" t="s">
        <v>2188</v>
      </c>
      <c r="B4" s="174" t="s">
        <v>28</v>
      </c>
      <c r="C4" s="175" t="s">
        <v>2189</v>
      </c>
      <c r="D4" s="176">
        <v>0.12</v>
      </c>
      <c r="E4" s="177" t="s">
        <v>2191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174" t="s">
        <v>2193</v>
      </c>
      <c r="B5" s="174" t="s">
        <v>67</v>
      </c>
      <c r="C5" s="175" t="s">
        <v>2180</v>
      </c>
      <c r="D5" s="176">
        <v>0.15</v>
      </c>
      <c r="E5" s="177" t="s">
        <v>2181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174" t="s">
        <v>2195</v>
      </c>
      <c r="B6" s="174" t="s">
        <v>67</v>
      </c>
      <c r="C6" s="175" t="s">
        <v>2186</v>
      </c>
      <c r="D6" s="176">
        <v>0.15</v>
      </c>
      <c r="E6" s="177" t="s">
        <v>2181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174" t="s">
        <v>2198</v>
      </c>
      <c r="B7" s="174" t="s">
        <v>67</v>
      </c>
      <c r="C7" s="175" t="s">
        <v>2189</v>
      </c>
      <c r="D7" s="176">
        <v>0.26</v>
      </c>
      <c r="E7" s="177" t="s">
        <v>2200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174" t="s">
        <v>2202</v>
      </c>
      <c r="B8" s="174" t="s">
        <v>133</v>
      </c>
      <c r="C8" s="175" t="s">
        <v>2180</v>
      </c>
      <c r="D8" s="176">
        <v>0.03</v>
      </c>
      <c r="E8" s="177" t="s">
        <v>2204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174" t="s">
        <v>2207</v>
      </c>
      <c r="B9" s="174" t="s">
        <v>133</v>
      </c>
      <c r="C9" s="175" t="s">
        <v>2186</v>
      </c>
      <c r="D9" s="176">
        <v>0.0</v>
      </c>
      <c r="E9" s="177" t="s">
        <v>2209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174" t="s">
        <v>2211</v>
      </c>
      <c r="B10" s="174" t="s">
        <v>133</v>
      </c>
      <c r="C10" s="175" t="s">
        <v>2189</v>
      </c>
      <c r="D10" s="176">
        <v>0.04</v>
      </c>
      <c r="E10" s="177" t="s">
        <v>2213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174" t="s">
        <v>2215</v>
      </c>
      <c r="B11" s="174" t="s">
        <v>103</v>
      </c>
      <c r="C11" s="175" t="s">
        <v>2180</v>
      </c>
      <c r="D11" s="176">
        <v>0.03</v>
      </c>
      <c r="E11" s="177" t="s">
        <v>2204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174" t="s">
        <v>2219</v>
      </c>
      <c r="B12" s="174" t="s">
        <v>103</v>
      </c>
      <c r="C12" s="175" t="s">
        <v>2186</v>
      </c>
      <c r="D12" s="176">
        <v>0.0</v>
      </c>
      <c r="E12" s="177" t="s">
        <v>2209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174" t="s">
        <v>2222</v>
      </c>
      <c r="B13" s="174" t="s">
        <v>103</v>
      </c>
      <c r="C13" s="175" t="s">
        <v>2189</v>
      </c>
      <c r="D13" s="176">
        <v>0.04</v>
      </c>
      <c r="E13" s="177" t="s">
        <v>2213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174" t="s">
        <v>2224</v>
      </c>
      <c r="B14" s="174" t="s">
        <v>67</v>
      </c>
      <c r="C14" s="175" t="s">
        <v>2180</v>
      </c>
      <c r="D14" s="176">
        <v>0.15</v>
      </c>
      <c r="E14" s="177" t="s">
        <v>2181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174" t="s">
        <v>2226</v>
      </c>
      <c r="B15" s="174" t="s">
        <v>67</v>
      </c>
      <c r="C15" s="175" t="s">
        <v>2186</v>
      </c>
      <c r="D15" s="176">
        <v>0.17</v>
      </c>
      <c r="E15" s="177" t="s">
        <v>2181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174" t="s">
        <v>2229</v>
      </c>
      <c r="B16" s="174" t="s">
        <v>67</v>
      </c>
      <c r="C16" s="175" t="s">
        <v>2189</v>
      </c>
      <c r="D16" s="176">
        <v>0.26</v>
      </c>
      <c r="E16" s="177" t="s">
        <v>2200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.5" customHeight="1">
      <c r="A17" s="174" t="s">
        <v>2231</v>
      </c>
      <c r="B17" s="174" t="s">
        <v>169</v>
      </c>
      <c r="C17" s="175" t="s">
        <v>2180</v>
      </c>
      <c r="D17" s="176">
        <v>0.13</v>
      </c>
      <c r="E17" s="17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2.5" customHeight="1">
      <c r="A18" s="174" t="s">
        <v>2234</v>
      </c>
      <c r="B18" s="174" t="s">
        <v>169</v>
      </c>
      <c r="C18" s="175" t="s">
        <v>2186</v>
      </c>
      <c r="D18" s="176">
        <v>0.13</v>
      </c>
      <c r="E18" s="17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2.5" customHeight="1">
      <c r="A19" s="174" t="s">
        <v>2238</v>
      </c>
      <c r="B19" s="174" t="s">
        <v>169</v>
      </c>
      <c r="C19" s="175" t="s">
        <v>2189</v>
      </c>
      <c r="D19" s="176">
        <v>0.12</v>
      </c>
      <c r="E19" s="177" t="s">
        <v>2191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2.5" customHeight="1">
      <c r="A20" s="174" t="s">
        <v>2241</v>
      </c>
      <c r="B20" s="174" t="s">
        <v>188</v>
      </c>
      <c r="C20" s="175" t="s">
        <v>2180</v>
      </c>
      <c r="D20" s="176">
        <v>0.15</v>
      </c>
      <c r="E20" s="177" t="s">
        <v>2181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2.5" customHeight="1">
      <c r="A21" s="174" t="s">
        <v>2245</v>
      </c>
      <c r="B21" s="174" t="s">
        <v>188</v>
      </c>
      <c r="C21" s="175" t="s">
        <v>2186</v>
      </c>
      <c r="D21" s="176">
        <v>0.17</v>
      </c>
      <c r="E21" s="177" t="s">
        <v>2181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2.5" customHeight="1">
      <c r="A22" s="174" t="s">
        <v>2248</v>
      </c>
      <c r="B22" s="174" t="s">
        <v>188</v>
      </c>
      <c r="C22" s="175" t="s">
        <v>2189</v>
      </c>
      <c r="D22" s="176">
        <v>0.26</v>
      </c>
      <c r="E22" s="177" t="s">
        <v>2250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2.5" customHeight="1">
      <c r="A23" s="174" t="s">
        <v>2252</v>
      </c>
      <c r="B23" s="174" t="s">
        <v>207</v>
      </c>
      <c r="C23" s="175" t="s">
        <v>2180</v>
      </c>
      <c r="D23" s="176">
        <v>0.03</v>
      </c>
      <c r="E23" s="177" t="s">
        <v>2204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2.5" customHeight="1">
      <c r="A24" s="174" t="s">
        <v>2255</v>
      </c>
      <c r="B24" s="174" t="s">
        <v>207</v>
      </c>
      <c r="C24" s="175" t="s">
        <v>2186</v>
      </c>
      <c r="D24" s="176"/>
      <c r="E24" s="177" t="s">
        <v>2209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2.5" customHeight="1">
      <c r="A25" s="174" t="s">
        <v>2257</v>
      </c>
      <c r="B25" s="174" t="s">
        <v>207</v>
      </c>
      <c r="C25" s="175" t="s">
        <v>2189</v>
      </c>
      <c r="D25" s="176">
        <v>0.04</v>
      </c>
      <c r="E25" s="177" t="s">
        <v>2213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2.5" customHeight="1">
      <c r="A26" s="174" t="s">
        <v>2261</v>
      </c>
      <c r="B26" s="174" t="s">
        <v>216</v>
      </c>
      <c r="C26" s="175" t="s">
        <v>2180</v>
      </c>
      <c r="D26" s="176"/>
      <c r="E26" s="177" t="s">
        <v>2263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2.5" customHeight="1">
      <c r="A27" s="174" t="s">
        <v>2265</v>
      </c>
      <c r="B27" s="174" t="s">
        <v>216</v>
      </c>
      <c r="C27" s="175" t="s">
        <v>2186</v>
      </c>
      <c r="D27" s="176"/>
      <c r="E27" s="177" t="s">
        <v>2209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2.5" customHeight="1">
      <c r="A28" s="174" t="s">
        <v>2268</v>
      </c>
      <c r="B28" s="174" t="s">
        <v>216</v>
      </c>
      <c r="C28" s="175" t="s">
        <v>2189</v>
      </c>
      <c r="D28" s="176"/>
      <c r="E28" s="177" t="s">
        <v>2270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2.5" customHeight="1">
      <c r="A29" s="174" t="s">
        <v>2272</v>
      </c>
      <c r="B29" s="174" t="s">
        <v>239</v>
      </c>
      <c r="C29" s="175" t="s">
        <v>2180</v>
      </c>
      <c r="D29" s="176">
        <v>0.15</v>
      </c>
      <c r="E29" s="177" t="s">
        <v>2181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2.5" customHeight="1">
      <c r="A30" s="174" t="s">
        <v>2276</v>
      </c>
      <c r="B30" s="174" t="s">
        <v>239</v>
      </c>
      <c r="C30" s="175" t="s">
        <v>2186</v>
      </c>
      <c r="D30" s="176">
        <v>0.17</v>
      </c>
      <c r="E30" s="177" t="s">
        <v>2181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2.5" customHeight="1">
      <c r="A31" s="174" t="s">
        <v>2278</v>
      </c>
      <c r="B31" s="174" t="s">
        <v>239</v>
      </c>
      <c r="C31" s="175" t="s">
        <v>2189</v>
      </c>
      <c r="D31" s="176">
        <v>0.26</v>
      </c>
      <c r="E31" s="177" t="s">
        <v>2280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2.5" customHeight="1">
      <c r="A32" s="174" t="s">
        <v>2282</v>
      </c>
      <c r="B32" s="174" t="s">
        <v>245</v>
      </c>
      <c r="C32" s="175" t="s">
        <v>2180</v>
      </c>
      <c r="D32" s="174" t="s">
        <v>2283</v>
      </c>
      <c r="E32" s="177" t="s">
        <v>2181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2.5" customHeight="1">
      <c r="A33" s="174" t="s">
        <v>2285</v>
      </c>
      <c r="B33" s="174" t="s">
        <v>245</v>
      </c>
      <c r="C33" s="175" t="s">
        <v>2186</v>
      </c>
      <c r="D33" s="174" t="s">
        <v>2287</v>
      </c>
      <c r="E33" s="177" t="s">
        <v>2181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2.5" customHeight="1">
      <c r="A34" s="174" t="s">
        <v>2290</v>
      </c>
      <c r="B34" s="174" t="s">
        <v>245</v>
      </c>
      <c r="C34" s="175" t="s">
        <v>2189</v>
      </c>
      <c r="D34" s="176">
        <v>0.26</v>
      </c>
      <c r="E34" s="177" t="s">
        <v>2280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2.5" customHeight="1">
      <c r="A35" s="174" t="s">
        <v>2292</v>
      </c>
      <c r="B35" s="174" t="s">
        <v>268</v>
      </c>
      <c r="C35" s="175" t="s">
        <v>2180</v>
      </c>
      <c r="D35" s="176">
        <v>0.15</v>
      </c>
      <c r="E35" s="177" t="s">
        <v>2181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2.5" customHeight="1">
      <c r="A36" s="174" t="s">
        <v>2296</v>
      </c>
      <c r="B36" s="174" t="s">
        <v>268</v>
      </c>
      <c r="C36" s="175" t="s">
        <v>2186</v>
      </c>
      <c r="D36" s="176">
        <v>0.17</v>
      </c>
      <c r="E36" s="177" t="s">
        <v>2181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2.5" customHeight="1">
      <c r="A37" s="174" t="s">
        <v>2299</v>
      </c>
      <c r="B37" s="174" t="s">
        <v>268</v>
      </c>
      <c r="C37" s="175" t="s">
        <v>2189</v>
      </c>
      <c r="D37" s="176">
        <v>0.26</v>
      </c>
      <c r="E37" s="177" t="s">
        <v>2301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2.5" customHeight="1">
      <c r="A38" s="174" t="s">
        <v>2304</v>
      </c>
      <c r="B38" s="174" t="s">
        <v>292</v>
      </c>
      <c r="C38" s="175" t="s">
        <v>2180</v>
      </c>
      <c r="D38" s="176">
        <v>0.15</v>
      </c>
      <c r="E38" s="177" t="s">
        <v>2181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2.5" customHeight="1">
      <c r="A39" s="174" t="s">
        <v>2306</v>
      </c>
      <c r="B39" s="174" t="s">
        <v>292</v>
      </c>
      <c r="C39" s="175" t="s">
        <v>2186</v>
      </c>
      <c r="D39" s="176">
        <v>0.17</v>
      </c>
      <c r="E39" s="177" t="s">
        <v>2181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2.5" customHeight="1">
      <c r="A40" s="174" t="s">
        <v>2309</v>
      </c>
      <c r="B40" s="174" t="s">
        <v>292</v>
      </c>
      <c r="C40" s="175" t="s">
        <v>2189</v>
      </c>
      <c r="D40" s="176">
        <v>0.26</v>
      </c>
      <c r="E40" s="177" t="s">
        <v>2311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2.5" customHeight="1">
      <c r="A41" s="174" t="s">
        <v>2313</v>
      </c>
      <c r="B41" s="174" t="s">
        <v>317</v>
      </c>
      <c r="C41" s="175" t="s">
        <v>2180</v>
      </c>
      <c r="D41" s="176">
        <v>0.03</v>
      </c>
      <c r="E41" s="177" t="s">
        <v>2315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2.5" customHeight="1">
      <c r="A42" s="174" t="s">
        <v>2317</v>
      </c>
      <c r="B42" s="174" t="s">
        <v>317</v>
      </c>
      <c r="C42" s="175" t="s">
        <v>2180</v>
      </c>
      <c r="D42" s="176">
        <v>0.06</v>
      </c>
      <c r="E42" s="177" t="s">
        <v>2319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2.5" customHeight="1">
      <c r="A43" s="174" t="s">
        <v>2321</v>
      </c>
      <c r="B43" s="174" t="s">
        <v>317</v>
      </c>
      <c r="C43" s="175" t="s">
        <v>2180</v>
      </c>
      <c r="D43" s="176">
        <v>0.08</v>
      </c>
      <c r="E43" s="177" t="s">
        <v>2323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2.5" customHeight="1">
      <c r="A44" s="174" t="s">
        <v>2326</v>
      </c>
      <c r="B44" s="174" t="s">
        <v>317</v>
      </c>
      <c r="C44" s="175" t="s">
        <v>2186</v>
      </c>
      <c r="D44" s="176"/>
      <c r="E44" s="177" t="s">
        <v>2209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2.5" customHeight="1">
      <c r="A45" s="174" t="s">
        <v>2329</v>
      </c>
      <c r="B45" s="174" t="s">
        <v>317</v>
      </c>
      <c r="C45" s="175" t="s">
        <v>2189</v>
      </c>
      <c r="D45" s="176">
        <v>0.04</v>
      </c>
      <c r="E45" s="177" t="s">
        <v>2331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2.5" customHeight="1">
      <c r="A46" s="174" t="s">
        <v>2333</v>
      </c>
      <c r="B46" s="174" t="s">
        <v>317</v>
      </c>
      <c r="C46" s="175" t="s">
        <v>2189</v>
      </c>
      <c r="D46" s="176">
        <v>0.1</v>
      </c>
      <c r="E46" s="177" t="s">
        <v>2335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60"/>
      <c r="B47" s="60"/>
      <c r="C47" s="60"/>
      <c r="D47" s="60"/>
      <c r="E47" s="17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60"/>
      <c r="B48" s="60"/>
      <c r="C48" s="60"/>
      <c r="D48" s="60"/>
      <c r="E48" s="17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60"/>
      <c r="B49" s="60"/>
      <c r="C49" s="60"/>
      <c r="D49" s="60"/>
      <c r="E49" s="17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60"/>
      <c r="B50" s="60"/>
      <c r="C50" s="60"/>
      <c r="D50" s="60"/>
      <c r="E50" s="17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60"/>
      <c r="B51" s="60"/>
      <c r="C51" s="60"/>
      <c r="D51" s="60"/>
      <c r="E51" s="17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60"/>
      <c r="B52" s="60"/>
      <c r="C52" s="60"/>
      <c r="D52" s="60"/>
      <c r="E52" s="17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60"/>
      <c r="B53" s="60"/>
      <c r="C53" s="60"/>
      <c r="D53" s="60"/>
      <c r="E53" s="17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60"/>
      <c r="B54" s="60"/>
      <c r="C54" s="60"/>
      <c r="D54" s="60"/>
      <c r="E54" s="17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60"/>
      <c r="B55" s="60"/>
      <c r="C55" s="60"/>
      <c r="D55" s="60"/>
      <c r="E55" s="17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60"/>
      <c r="B56" s="60"/>
      <c r="C56" s="60"/>
      <c r="D56" s="60"/>
      <c r="E56" s="17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60"/>
      <c r="B57" s="60"/>
      <c r="C57" s="60"/>
      <c r="D57" s="60"/>
      <c r="E57" s="17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60"/>
      <c r="B58" s="60"/>
      <c r="C58" s="60"/>
      <c r="D58" s="60"/>
      <c r="E58" s="17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60"/>
      <c r="B59" s="60"/>
      <c r="C59" s="60"/>
      <c r="D59" s="60"/>
      <c r="E59" s="17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60"/>
      <c r="B60" s="60"/>
      <c r="C60" s="60"/>
      <c r="D60" s="60"/>
      <c r="E60" s="17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60"/>
      <c r="B61" s="60"/>
      <c r="C61" s="60"/>
      <c r="D61" s="60"/>
      <c r="E61" s="17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60"/>
      <c r="B62" s="60"/>
      <c r="C62" s="60"/>
      <c r="D62" s="60"/>
      <c r="E62" s="17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60"/>
      <c r="B63" s="60"/>
      <c r="C63" s="60"/>
      <c r="D63" s="60"/>
      <c r="E63" s="17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60"/>
      <c r="B64" s="60"/>
      <c r="C64" s="60"/>
      <c r="D64" s="60"/>
      <c r="E64" s="17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60"/>
      <c r="B65" s="60"/>
      <c r="C65" s="60"/>
      <c r="D65" s="60"/>
      <c r="E65" s="17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60"/>
      <c r="B66" s="60"/>
      <c r="C66" s="60"/>
      <c r="D66" s="60"/>
      <c r="E66" s="17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60"/>
      <c r="B67" s="60"/>
      <c r="C67" s="60"/>
      <c r="D67" s="60"/>
      <c r="E67" s="17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60"/>
      <c r="B68" s="60"/>
      <c r="C68" s="60"/>
      <c r="D68" s="60"/>
      <c r="E68" s="17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60"/>
      <c r="B69" s="60"/>
      <c r="C69" s="60"/>
      <c r="D69" s="60"/>
      <c r="E69" s="17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60"/>
      <c r="B70" s="60"/>
      <c r="C70" s="60"/>
      <c r="D70" s="60"/>
      <c r="E70" s="17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60"/>
      <c r="B71" s="60"/>
      <c r="C71" s="60"/>
      <c r="D71" s="60"/>
      <c r="E71" s="17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60"/>
      <c r="B72" s="60"/>
      <c r="C72" s="60"/>
      <c r="D72" s="60"/>
      <c r="E72" s="17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60"/>
      <c r="B73" s="60"/>
      <c r="C73" s="60"/>
      <c r="D73" s="60"/>
      <c r="E73" s="17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60"/>
      <c r="B74" s="60"/>
      <c r="C74" s="60"/>
      <c r="D74" s="60"/>
      <c r="E74" s="17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60"/>
      <c r="B75" s="60"/>
      <c r="C75" s="60"/>
      <c r="D75" s="60"/>
      <c r="E75" s="17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60"/>
      <c r="B76" s="60"/>
      <c r="C76" s="60"/>
      <c r="D76" s="60"/>
      <c r="E76" s="17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60"/>
      <c r="B77" s="60"/>
      <c r="C77" s="60"/>
      <c r="D77" s="60"/>
      <c r="E77" s="17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60"/>
      <c r="B78" s="60"/>
      <c r="C78" s="60"/>
      <c r="D78" s="60"/>
      <c r="E78" s="17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60"/>
      <c r="B79" s="60"/>
      <c r="C79" s="60"/>
      <c r="D79" s="60"/>
      <c r="E79" s="17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60"/>
      <c r="B80" s="60"/>
      <c r="C80" s="60"/>
      <c r="D80" s="60"/>
      <c r="E80" s="17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60"/>
      <c r="B81" s="60"/>
      <c r="C81" s="60"/>
      <c r="D81" s="60"/>
      <c r="E81" s="17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60"/>
      <c r="B82" s="60"/>
      <c r="C82" s="60"/>
      <c r="D82" s="60"/>
      <c r="E82" s="17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60"/>
      <c r="B83" s="60"/>
      <c r="C83" s="60"/>
      <c r="D83" s="60"/>
      <c r="E83" s="17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60"/>
      <c r="B84" s="60"/>
      <c r="C84" s="60"/>
      <c r="D84" s="60"/>
      <c r="E84" s="17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60"/>
      <c r="B85" s="60"/>
      <c r="C85" s="60"/>
      <c r="D85" s="60"/>
      <c r="E85" s="17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60"/>
      <c r="B86" s="60"/>
      <c r="C86" s="60"/>
      <c r="D86" s="60"/>
      <c r="E86" s="17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60"/>
      <c r="B87" s="60"/>
      <c r="C87" s="60"/>
      <c r="D87" s="60"/>
      <c r="E87" s="17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60"/>
      <c r="B88" s="60"/>
      <c r="C88" s="60"/>
      <c r="D88" s="60"/>
      <c r="E88" s="17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60"/>
      <c r="B89" s="60"/>
      <c r="C89" s="60"/>
      <c r="D89" s="60"/>
      <c r="E89" s="17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60"/>
      <c r="B90" s="60"/>
      <c r="C90" s="60"/>
      <c r="D90" s="60"/>
      <c r="E90" s="17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60"/>
      <c r="B91" s="60"/>
      <c r="C91" s="60"/>
      <c r="D91" s="60"/>
      <c r="E91" s="17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60"/>
      <c r="B92" s="60"/>
      <c r="C92" s="60"/>
      <c r="D92" s="60"/>
      <c r="E92" s="17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60"/>
      <c r="B93" s="60"/>
      <c r="C93" s="60"/>
      <c r="D93" s="60"/>
      <c r="E93" s="17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60"/>
      <c r="B94" s="60"/>
      <c r="C94" s="60"/>
      <c r="D94" s="60"/>
      <c r="E94" s="17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60"/>
      <c r="B95" s="60"/>
      <c r="C95" s="60"/>
      <c r="D95" s="60"/>
      <c r="E95" s="17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60"/>
      <c r="B96" s="60"/>
      <c r="C96" s="60"/>
      <c r="D96" s="60"/>
      <c r="E96" s="17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60"/>
      <c r="B97" s="60"/>
      <c r="C97" s="60"/>
      <c r="D97" s="60"/>
      <c r="E97" s="17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60"/>
      <c r="B98" s="60"/>
      <c r="C98" s="60"/>
      <c r="D98" s="60"/>
      <c r="E98" s="17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60"/>
      <c r="B99" s="60"/>
      <c r="C99" s="60"/>
      <c r="D99" s="60"/>
      <c r="E99" s="17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60"/>
      <c r="B100" s="60"/>
      <c r="C100" s="60"/>
      <c r="D100" s="60"/>
      <c r="E100" s="17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60"/>
      <c r="B101" s="60"/>
      <c r="C101" s="60"/>
      <c r="D101" s="60"/>
      <c r="E101" s="17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60"/>
      <c r="B102" s="60"/>
      <c r="C102" s="60"/>
      <c r="D102" s="60"/>
      <c r="E102" s="17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60"/>
      <c r="B103" s="60"/>
      <c r="C103" s="60"/>
      <c r="D103" s="60"/>
      <c r="E103" s="17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60"/>
      <c r="B104" s="60"/>
      <c r="C104" s="60"/>
      <c r="D104" s="60"/>
      <c r="E104" s="17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60"/>
      <c r="B105" s="60"/>
      <c r="C105" s="60"/>
      <c r="D105" s="60"/>
      <c r="E105" s="17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60"/>
      <c r="B106" s="60"/>
      <c r="C106" s="60"/>
      <c r="D106" s="60"/>
      <c r="E106" s="17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60"/>
      <c r="B107" s="60"/>
      <c r="C107" s="60"/>
      <c r="D107" s="60"/>
      <c r="E107" s="17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60"/>
      <c r="B108" s="60"/>
      <c r="C108" s="60"/>
      <c r="D108" s="60"/>
      <c r="E108" s="17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60"/>
      <c r="B109" s="60"/>
      <c r="C109" s="60"/>
      <c r="D109" s="60"/>
      <c r="E109" s="17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60"/>
      <c r="B110" s="60"/>
      <c r="C110" s="60"/>
      <c r="D110" s="60"/>
      <c r="E110" s="17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60"/>
      <c r="B111" s="60"/>
      <c r="C111" s="60"/>
      <c r="D111" s="60"/>
      <c r="E111" s="17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60"/>
      <c r="B112" s="60"/>
      <c r="C112" s="60"/>
      <c r="D112" s="60"/>
      <c r="E112" s="17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60"/>
      <c r="B113" s="60"/>
      <c r="C113" s="60"/>
      <c r="D113" s="60"/>
      <c r="E113" s="17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60"/>
      <c r="B114" s="60"/>
      <c r="C114" s="60"/>
      <c r="D114" s="60"/>
      <c r="E114" s="17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60"/>
      <c r="B115" s="60"/>
      <c r="C115" s="60"/>
      <c r="D115" s="60"/>
      <c r="E115" s="17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60"/>
      <c r="B116" s="60"/>
      <c r="C116" s="60"/>
      <c r="D116" s="60"/>
      <c r="E116" s="17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60"/>
      <c r="B117" s="60"/>
      <c r="C117" s="60"/>
      <c r="D117" s="60"/>
      <c r="E117" s="17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60"/>
      <c r="B118" s="60"/>
      <c r="C118" s="60"/>
      <c r="D118" s="60"/>
      <c r="E118" s="17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60"/>
      <c r="B119" s="60"/>
      <c r="C119" s="60"/>
      <c r="D119" s="60"/>
      <c r="E119" s="17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60"/>
      <c r="B120" s="60"/>
      <c r="C120" s="60"/>
      <c r="D120" s="60"/>
      <c r="E120" s="17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60"/>
      <c r="B121" s="60"/>
      <c r="C121" s="60"/>
      <c r="D121" s="60"/>
      <c r="E121" s="17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60"/>
      <c r="B122" s="60"/>
      <c r="C122" s="60"/>
      <c r="D122" s="60"/>
      <c r="E122" s="17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60"/>
      <c r="B123" s="60"/>
      <c r="C123" s="60"/>
      <c r="D123" s="60"/>
      <c r="E123" s="17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60"/>
      <c r="B124" s="60"/>
      <c r="C124" s="60"/>
      <c r="D124" s="60"/>
      <c r="E124" s="17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60"/>
      <c r="B125" s="60"/>
      <c r="C125" s="60"/>
      <c r="D125" s="60"/>
      <c r="E125" s="17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60"/>
      <c r="B126" s="60"/>
      <c r="C126" s="60"/>
      <c r="D126" s="60"/>
      <c r="E126" s="17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60"/>
      <c r="B127" s="60"/>
      <c r="C127" s="60"/>
      <c r="D127" s="60"/>
      <c r="E127" s="17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60"/>
      <c r="B128" s="60"/>
      <c r="C128" s="60"/>
      <c r="D128" s="60"/>
      <c r="E128" s="17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60"/>
      <c r="B129" s="60"/>
      <c r="C129" s="60"/>
      <c r="D129" s="60"/>
      <c r="E129" s="17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60"/>
      <c r="B130" s="60"/>
      <c r="C130" s="60"/>
      <c r="D130" s="60"/>
      <c r="E130" s="17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60"/>
      <c r="B131" s="60"/>
      <c r="C131" s="60"/>
      <c r="D131" s="60"/>
      <c r="E131" s="17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60"/>
      <c r="B132" s="60"/>
      <c r="C132" s="60"/>
      <c r="D132" s="60"/>
      <c r="E132" s="17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60"/>
      <c r="B133" s="60"/>
      <c r="C133" s="60"/>
      <c r="D133" s="60"/>
      <c r="E133" s="17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60"/>
      <c r="B134" s="60"/>
      <c r="C134" s="60"/>
      <c r="D134" s="60"/>
      <c r="E134" s="17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60"/>
      <c r="B135" s="60"/>
      <c r="C135" s="60"/>
      <c r="D135" s="60"/>
      <c r="E135" s="17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60"/>
      <c r="B136" s="60"/>
      <c r="C136" s="60"/>
      <c r="D136" s="60"/>
      <c r="E136" s="17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60"/>
      <c r="B137" s="60"/>
      <c r="C137" s="60"/>
      <c r="D137" s="60"/>
      <c r="E137" s="17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60"/>
      <c r="B138" s="60"/>
      <c r="C138" s="60"/>
      <c r="D138" s="60"/>
      <c r="E138" s="17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60"/>
      <c r="B139" s="60"/>
      <c r="C139" s="60"/>
      <c r="D139" s="60"/>
      <c r="E139" s="17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60"/>
      <c r="B140" s="60"/>
      <c r="C140" s="60"/>
      <c r="D140" s="60"/>
      <c r="E140" s="17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60"/>
      <c r="B141" s="60"/>
      <c r="C141" s="60"/>
      <c r="D141" s="60"/>
      <c r="E141" s="17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60"/>
      <c r="B142" s="60"/>
      <c r="C142" s="60"/>
      <c r="D142" s="60"/>
      <c r="E142" s="17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60"/>
      <c r="B143" s="60"/>
      <c r="C143" s="60"/>
      <c r="D143" s="60"/>
      <c r="E143" s="17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60"/>
      <c r="B144" s="60"/>
      <c r="C144" s="60"/>
      <c r="D144" s="60"/>
      <c r="E144" s="17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60"/>
      <c r="B145" s="60"/>
      <c r="C145" s="60"/>
      <c r="D145" s="60"/>
      <c r="E145" s="17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60"/>
      <c r="B146" s="60"/>
      <c r="C146" s="60"/>
      <c r="D146" s="60"/>
      <c r="E146" s="17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60"/>
      <c r="B147" s="60"/>
      <c r="C147" s="60"/>
      <c r="D147" s="60"/>
      <c r="E147" s="17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60"/>
      <c r="B148" s="60"/>
      <c r="C148" s="60"/>
      <c r="D148" s="60"/>
      <c r="E148" s="17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60"/>
      <c r="B149" s="60"/>
      <c r="C149" s="60"/>
      <c r="D149" s="60"/>
      <c r="E149" s="17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60"/>
      <c r="B150" s="60"/>
      <c r="C150" s="60"/>
      <c r="D150" s="60"/>
      <c r="E150" s="17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60"/>
      <c r="B151" s="60"/>
      <c r="C151" s="60"/>
      <c r="D151" s="60"/>
      <c r="E151" s="17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60"/>
      <c r="B152" s="60"/>
      <c r="C152" s="60"/>
      <c r="D152" s="60"/>
      <c r="E152" s="17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60"/>
      <c r="B153" s="60"/>
      <c r="C153" s="60"/>
      <c r="D153" s="60"/>
      <c r="E153" s="17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60"/>
      <c r="B154" s="60"/>
      <c r="C154" s="60"/>
      <c r="D154" s="60"/>
      <c r="E154" s="17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60"/>
      <c r="B155" s="60"/>
      <c r="C155" s="60"/>
      <c r="D155" s="60"/>
      <c r="E155" s="17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60"/>
      <c r="B156" s="60"/>
      <c r="C156" s="60"/>
      <c r="D156" s="60"/>
      <c r="E156" s="17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60"/>
      <c r="B157" s="60"/>
      <c r="C157" s="60"/>
      <c r="D157" s="60"/>
      <c r="E157" s="17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60"/>
      <c r="B158" s="60"/>
      <c r="C158" s="60"/>
      <c r="D158" s="60"/>
      <c r="E158" s="17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60"/>
      <c r="B159" s="60"/>
      <c r="C159" s="60"/>
      <c r="D159" s="60"/>
      <c r="E159" s="17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60"/>
      <c r="B160" s="60"/>
      <c r="C160" s="60"/>
      <c r="D160" s="60"/>
      <c r="E160" s="17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60"/>
      <c r="B161" s="60"/>
      <c r="C161" s="60"/>
      <c r="D161" s="60"/>
      <c r="E161" s="17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60"/>
      <c r="B162" s="60"/>
      <c r="C162" s="60"/>
      <c r="D162" s="60"/>
      <c r="E162" s="17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60"/>
      <c r="B163" s="60"/>
      <c r="C163" s="60"/>
      <c r="D163" s="60"/>
      <c r="E163" s="17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60"/>
      <c r="B164" s="60"/>
      <c r="C164" s="60"/>
      <c r="D164" s="60"/>
      <c r="E164" s="17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60"/>
      <c r="B165" s="60"/>
      <c r="C165" s="60"/>
      <c r="D165" s="60"/>
      <c r="E165" s="17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60"/>
      <c r="B166" s="60"/>
      <c r="C166" s="60"/>
      <c r="D166" s="60"/>
      <c r="E166" s="17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60"/>
      <c r="B167" s="60"/>
      <c r="C167" s="60"/>
      <c r="D167" s="60"/>
      <c r="E167" s="17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60"/>
      <c r="B168" s="60"/>
      <c r="C168" s="60"/>
      <c r="D168" s="60"/>
      <c r="E168" s="17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60"/>
      <c r="B169" s="60"/>
      <c r="C169" s="60"/>
      <c r="D169" s="60"/>
      <c r="E169" s="17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60"/>
      <c r="B170" s="60"/>
      <c r="C170" s="60"/>
      <c r="D170" s="60"/>
      <c r="E170" s="17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60"/>
      <c r="B171" s="60"/>
      <c r="C171" s="60"/>
      <c r="D171" s="60"/>
      <c r="E171" s="17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60"/>
      <c r="B172" s="60"/>
      <c r="C172" s="60"/>
      <c r="D172" s="60"/>
      <c r="E172" s="17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60"/>
      <c r="B173" s="60"/>
      <c r="C173" s="60"/>
      <c r="D173" s="60"/>
      <c r="E173" s="17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60"/>
      <c r="B174" s="60"/>
      <c r="C174" s="60"/>
      <c r="D174" s="60"/>
      <c r="E174" s="17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60"/>
      <c r="B175" s="60"/>
      <c r="C175" s="60"/>
      <c r="D175" s="60"/>
      <c r="E175" s="17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60"/>
      <c r="B176" s="60"/>
      <c r="C176" s="60"/>
      <c r="D176" s="60"/>
      <c r="E176" s="17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60"/>
      <c r="B177" s="60"/>
      <c r="C177" s="60"/>
      <c r="D177" s="60"/>
      <c r="E177" s="17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60"/>
      <c r="B178" s="60"/>
      <c r="C178" s="60"/>
      <c r="D178" s="60"/>
      <c r="E178" s="17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60"/>
      <c r="B179" s="60"/>
      <c r="C179" s="60"/>
      <c r="D179" s="60"/>
      <c r="E179" s="17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60"/>
      <c r="B180" s="60"/>
      <c r="C180" s="60"/>
      <c r="D180" s="60"/>
      <c r="E180" s="17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60"/>
      <c r="B181" s="60"/>
      <c r="C181" s="60"/>
      <c r="D181" s="60"/>
      <c r="E181" s="17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60"/>
      <c r="B182" s="60"/>
      <c r="C182" s="60"/>
      <c r="D182" s="60"/>
      <c r="E182" s="17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60"/>
      <c r="B183" s="60"/>
      <c r="C183" s="60"/>
      <c r="D183" s="60"/>
      <c r="E183" s="17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60"/>
      <c r="B184" s="60"/>
      <c r="C184" s="60"/>
      <c r="D184" s="60"/>
      <c r="E184" s="17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60"/>
      <c r="B185" s="60"/>
      <c r="C185" s="60"/>
      <c r="D185" s="60"/>
      <c r="E185" s="17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60"/>
      <c r="B186" s="60"/>
      <c r="C186" s="60"/>
      <c r="D186" s="60"/>
      <c r="E186" s="17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60"/>
      <c r="B187" s="60"/>
      <c r="C187" s="60"/>
      <c r="D187" s="60"/>
      <c r="E187" s="17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60"/>
      <c r="B188" s="60"/>
      <c r="C188" s="60"/>
      <c r="D188" s="60"/>
      <c r="E188" s="17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60"/>
      <c r="B189" s="60"/>
      <c r="C189" s="60"/>
      <c r="D189" s="60"/>
      <c r="E189" s="17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60"/>
      <c r="B190" s="60"/>
      <c r="C190" s="60"/>
      <c r="D190" s="60"/>
      <c r="E190" s="17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60"/>
      <c r="B191" s="60"/>
      <c r="C191" s="60"/>
      <c r="D191" s="60"/>
      <c r="E191" s="17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60"/>
      <c r="B192" s="60"/>
      <c r="C192" s="60"/>
      <c r="D192" s="60"/>
      <c r="E192" s="17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60"/>
      <c r="B193" s="60"/>
      <c r="C193" s="60"/>
      <c r="D193" s="60"/>
      <c r="E193" s="17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60"/>
      <c r="B194" s="60"/>
      <c r="C194" s="60"/>
      <c r="D194" s="60"/>
      <c r="E194" s="17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60"/>
      <c r="B195" s="60"/>
      <c r="C195" s="60"/>
      <c r="D195" s="60"/>
      <c r="E195" s="17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60"/>
      <c r="B196" s="60"/>
      <c r="C196" s="60"/>
      <c r="D196" s="60"/>
      <c r="E196" s="17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60"/>
      <c r="B197" s="60"/>
      <c r="C197" s="60"/>
      <c r="D197" s="60"/>
      <c r="E197" s="17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60"/>
      <c r="B198" s="60"/>
      <c r="C198" s="60"/>
      <c r="D198" s="60"/>
      <c r="E198" s="17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60"/>
      <c r="B199" s="60"/>
      <c r="C199" s="60"/>
      <c r="D199" s="60"/>
      <c r="E199" s="17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60"/>
      <c r="B200" s="60"/>
      <c r="C200" s="60"/>
      <c r="D200" s="60"/>
      <c r="E200" s="17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60"/>
      <c r="B201" s="60"/>
      <c r="C201" s="60"/>
      <c r="D201" s="60"/>
      <c r="E201" s="17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60"/>
      <c r="B202" s="60"/>
      <c r="C202" s="60"/>
      <c r="D202" s="60"/>
      <c r="E202" s="17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60"/>
      <c r="B203" s="60"/>
      <c r="C203" s="60"/>
      <c r="D203" s="60"/>
      <c r="E203" s="17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60"/>
      <c r="B204" s="60"/>
      <c r="C204" s="60"/>
      <c r="D204" s="60"/>
      <c r="E204" s="17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60"/>
      <c r="B205" s="60"/>
      <c r="C205" s="60"/>
      <c r="D205" s="60"/>
      <c r="E205" s="17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60"/>
      <c r="B206" s="60"/>
      <c r="C206" s="60"/>
      <c r="D206" s="60"/>
      <c r="E206" s="17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60"/>
      <c r="B207" s="60"/>
      <c r="C207" s="60"/>
      <c r="D207" s="60"/>
      <c r="E207" s="17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60"/>
      <c r="B208" s="60"/>
      <c r="C208" s="60"/>
      <c r="D208" s="60"/>
      <c r="E208" s="17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60"/>
      <c r="B209" s="60"/>
      <c r="C209" s="60"/>
      <c r="D209" s="60"/>
      <c r="E209" s="17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60"/>
      <c r="B210" s="60"/>
      <c r="C210" s="60"/>
      <c r="D210" s="60"/>
      <c r="E210" s="17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60"/>
      <c r="B211" s="60"/>
      <c r="C211" s="60"/>
      <c r="D211" s="60"/>
      <c r="E211" s="17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60"/>
      <c r="B212" s="60"/>
      <c r="C212" s="60"/>
      <c r="D212" s="60"/>
      <c r="E212" s="17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60"/>
      <c r="B213" s="60"/>
      <c r="C213" s="60"/>
      <c r="D213" s="60"/>
      <c r="E213" s="17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60"/>
      <c r="B214" s="60"/>
      <c r="C214" s="60"/>
      <c r="D214" s="60"/>
      <c r="E214" s="17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60"/>
      <c r="B215" s="60"/>
      <c r="C215" s="60"/>
      <c r="D215" s="60"/>
      <c r="E215" s="17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60"/>
      <c r="B216" s="60"/>
      <c r="C216" s="60"/>
      <c r="D216" s="60"/>
      <c r="E216" s="17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60"/>
      <c r="B217" s="60"/>
      <c r="C217" s="60"/>
      <c r="D217" s="60"/>
      <c r="E217" s="17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60"/>
      <c r="B218" s="60"/>
      <c r="C218" s="60"/>
      <c r="D218" s="60"/>
      <c r="E218" s="17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60"/>
      <c r="B219" s="60"/>
      <c r="C219" s="60"/>
      <c r="D219" s="60"/>
      <c r="E219" s="17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60"/>
      <c r="B220" s="60"/>
      <c r="C220" s="60"/>
      <c r="D220" s="60"/>
      <c r="E220" s="17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60"/>
      <c r="B221" s="60"/>
      <c r="C221" s="60"/>
      <c r="D221" s="60"/>
      <c r="E221" s="17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60"/>
      <c r="B222" s="60"/>
      <c r="C222" s="60"/>
      <c r="D222" s="60"/>
      <c r="E222" s="17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60"/>
      <c r="B223" s="60"/>
      <c r="C223" s="60"/>
      <c r="D223" s="60"/>
      <c r="E223" s="17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60"/>
      <c r="B224" s="60"/>
      <c r="C224" s="60"/>
      <c r="D224" s="60"/>
      <c r="E224" s="17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60"/>
      <c r="B225" s="60"/>
      <c r="C225" s="60"/>
      <c r="D225" s="60"/>
      <c r="E225" s="17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60"/>
      <c r="B226" s="60"/>
      <c r="C226" s="60"/>
      <c r="D226" s="60"/>
      <c r="E226" s="17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60"/>
      <c r="B227" s="60"/>
      <c r="C227" s="60"/>
      <c r="D227" s="60"/>
      <c r="E227" s="17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60"/>
      <c r="B228" s="60"/>
      <c r="C228" s="60"/>
      <c r="D228" s="60"/>
      <c r="E228" s="17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60"/>
      <c r="B229" s="60"/>
      <c r="C229" s="60"/>
      <c r="D229" s="60"/>
      <c r="E229" s="17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60"/>
      <c r="B230" s="60"/>
      <c r="C230" s="60"/>
      <c r="D230" s="60"/>
      <c r="E230" s="17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60"/>
      <c r="B231" s="60"/>
      <c r="C231" s="60"/>
      <c r="D231" s="60"/>
      <c r="E231" s="17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60"/>
      <c r="B232" s="60"/>
      <c r="C232" s="60"/>
      <c r="D232" s="60"/>
      <c r="E232" s="17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60"/>
      <c r="B233" s="60"/>
      <c r="C233" s="60"/>
      <c r="D233" s="60"/>
      <c r="E233" s="17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60"/>
      <c r="B234" s="60"/>
      <c r="C234" s="60"/>
      <c r="D234" s="60"/>
      <c r="E234" s="17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60"/>
      <c r="B235" s="60"/>
      <c r="C235" s="60"/>
      <c r="D235" s="60"/>
      <c r="E235" s="17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60"/>
      <c r="B236" s="60"/>
      <c r="C236" s="60"/>
      <c r="D236" s="60"/>
      <c r="E236" s="17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60"/>
      <c r="B237" s="60"/>
      <c r="C237" s="60"/>
      <c r="D237" s="60"/>
      <c r="E237" s="17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60"/>
      <c r="B238" s="60"/>
      <c r="C238" s="60"/>
      <c r="D238" s="60"/>
      <c r="E238" s="17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60"/>
      <c r="B239" s="60"/>
      <c r="C239" s="60"/>
      <c r="D239" s="60"/>
      <c r="E239" s="17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60"/>
      <c r="B240" s="60"/>
      <c r="C240" s="60"/>
      <c r="D240" s="60"/>
      <c r="E240" s="17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60"/>
      <c r="B241" s="60"/>
      <c r="C241" s="60"/>
      <c r="D241" s="60"/>
      <c r="E241" s="17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60"/>
      <c r="B242" s="60"/>
      <c r="C242" s="60"/>
      <c r="D242" s="60"/>
      <c r="E242" s="17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60"/>
      <c r="B243" s="60"/>
      <c r="C243" s="60"/>
      <c r="D243" s="60"/>
      <c r="E243" s="17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60"/>
      <c r="B244" s="60"/>
      <c r="C244" s="60"/>
      <c r="D244" s="60"/>
      <c r="E244" s="17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60"/>
      <c r="B245" s="60"/>
      <c r="C245" s="60"/>
      <c r="D245" s="60"/>
      <c r="E245" s="17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60"/>
      <c r="B246" s="60"/>
      <c r="C246" s="60"/>
      <c r="D246" s="60"/>
      <c r="E246" s="17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60"/>
      <c r="B247" s="60"/>
      <c r="C247" s="60"/>
      <c r="D247" s="60"/>
      <c r="E247" s="17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60"/>
      <c r="B248" s="60"/>
      <c r="C248" s="60"/>
      <c r="D248" s="60"/>
      <c r="E248" s="17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60"/>
      <c r="B249" s="60"/>
      <c r="C249" s="60"/>
      <c r="D249" s="60"/>
      <c r="E249" s="17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60"/>
      <c r="B250" s="60"/>
      <c r="C250" s="60"/>
      <c r="D250" s="60"/>
      <c r="E250" s="17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60"/>
      <c r="B251" s="60"/>
      <c r="C251" s="60"/>
      <c r="D251" s="60"/>
      <c r="E251" s="17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60"/>
      <c r="B252" s="60"/>
      <c r="C252" s="60"/>
      <c r="D252" s="60"/>
      <c r="E252" s="17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60"/>
      <c r="B253" s="60"/>
      <c r="C253" s="60"/>
      <c r="D253" s="60"/>
      <c r="E253" s="17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60"/>
      <c r="B254" s="60"/>
      <c r="C254" s="60"/>
      <c r="D254" s="60"/>
      <c r="E254" s="17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60"/>
      <c r="B255" s="60"/>
      <c r="C255" s="60"/>
      <c r="D255" s="60"/>
      <c r="E255" s="17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60"/>
      <c r="B256" s="60"/>
      <c r="C256" s="60"/>
      <c r="D256" s="60"/>
      <c r="E256" s="17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60"/>
      <c r="B257" s="60"/>
      <c r="C257" s="60"/>
      <c r="D257" s="60"/>
      <c r="E257" s="17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60"/>
      <c r="B258" s="60"/>
      <c r="C258" s="60"/>
      <c r="D258" s="60"/>
      <c r="E258" s="17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60"/>
      <c r="B259" s="60"/>
      <c r="C259" s="60"/>
      <c r="D259" s="60"/>
      <c r="E259" s="17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60"/>
      <c r="B260" s="60"/>
      <c r="C260" s="60"/>
      <c r="D260" s="60"/>
      <c r="E260" s="17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60"/>
      <c r="B261" s="60"/>
      <c r="C261" s="60"/>
      <c r="D261" s="60"/>
      <c r="E261" s="17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60"/>
      <c r="B262" s="60"/>
      <c r="C262" s="60"/>
      <c r="D262" s="60"/>
      <c r="E262" s="17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60"/>
      <c r="B263" s="60"/>
      <c r="C263" s="60"/>
      <c r="D263" s="60"/>
      <c r="E263" s="17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60"/>
      <c r="B264" s="60"/>
      <c r="C264" s="60"/>
      <c r="D264" s="60"/>
      <c r="E264" s="17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60"/>
      <c r="B265" s="60"/>
      <c r="C265" s="60"/>
      <c r="D265" s="60"/>
      <c r="E265" s="17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60"/>
      <c r="B266" s="60"/>
      <c r="C266" s="60"/>
      <c r="D266" s="60"/>
      <c r="E266" s="17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60"/>
      <c r="B267" s="60"/>
      <c r="C267" s="60"/>
      <c r="D267" s="60"/>
      <c r="E267" s="17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60"/>
      <c r="B268" s="60"/>
      <c r="C268" s="60"/>
      <c r="D268" s="60"/>
      <c r="E268" s="17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60"/>
      <c r="B269" s="60"/>
      <c r="C269" s="60"/>
      <c r="D269" s="60"/>
      <c r="E269" s="17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60"/>
      <c r="B270" s="60"/>
      <c r="C270" s="60"/>
      <c r="D270" s="60"/>
      <c r="E270" s="17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60"/>
      <c r="B271" s="60"/>
      <c r="C271" s="60"/>
      <c r="D271" s="60"/>
      <c r="E271" s="17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60"/>
      <c r="B272" s="60"/>
      <c r="C272" s="60"/>
      <c r="D272" s="60"/>
      <c r="E272" s="17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60"/>
      <c r="B273" s="60"/>
      <c r="C273" s="60"/>
      <c r="D273" s="60"/>
      <c r="E273" s="17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60"/>
      <c r="B274" s="60"/>
      <c r="C274" s="60"/>
      <c r="D274" s="60"/>
      <c r="E274" s="17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60"/>
      <c r="B275" s="60"/>
      <c r="C275" s="60"/>
      <c r="D275" s="60"/>
      <c r="E275" s="17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60"/>
      <c r="B276" s="60"/>
      <c r="C276" s="60"/>
      <c r="D276" s="60"/>
      <c r="E276" s="17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60"/>
      <c r="B277" s="60"/>
      <c r="C277" s="60"/>
      <c r="D277" s="60"/>
      <c r="E277" s="17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60"/>
      <c r="B278" s="60"/>
      <c r="C278" s="60"/>
      <c r="D278" s="60"/>
      <c r="E278" s="17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60"/>
      <c r="B279" s="60"/>
      <c r="C279" s="60"/>
      <c r="D279" s="60"/>
      <c r="E279" s="17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60"/>
      <c r="B280" s="60"/>
      <c r="C280" s="60"/>
      <c r="D280" s="60"/>
      <c r="E280" s="17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60"/>
      <c r="B281" s="60"/>
      <c r="C281" s="60"/>
      <c r="D281" s="60"/>
      <c r="E281" s="17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60"/>
      <c r="B282" s="60"/>
      <c r="C282" s="60"/>
      <c r="D282" s="60"/>
      <c r="E282" s="17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60"/>
      <c r="B283" s="60"/>
      <c r="C283" s="60"/>
      <c r="D283" s="60"/>
      <c r="E283" s="17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60"/>
      <c r="B284" s="60"/>
      <c r="C284" s="60"/>
      <c r="D284" s="60"/>
      <c r="E284" s="17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60"/>
      <c r="B285" s="60"/>
      <c r="C285" s="60"/>
      <c r="D285" s="60"/>
      <c r="E285" s="17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60"/>
      <c r="B286" s="60"/>
      <c r="C286" s="60"/>
      <c r="D286" s="60"/>
      <c r="E286" s="17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60"/>
      <c r="B287" s="60"/>
      <c r="C287" s="60"/>
      <c r="D287" s="60"/>
      <c r="E287" s="17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60"/>
      <c r="B288" s="60"/>
      <c r="C288" s="60"/>
      <c r="D288" s="60"/>
      <c r="E288" s="17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60"/>
      <c r="B289" s="60"/>
      <c r="C289" s="60"/>
      <c r="D289" s="60"/>
      <c r="E289" s="17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60"/>
      <c r="B290" s="60"/>
      <c r="C290" s="60"/>
      <c r="D290" s="60"/>
      <c r="E290" s="17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60"/>
      <c r="B291" s="60"/>
      <c r="C291" s="60"/>
      <c r="D291" s="60"/>
      <c r="E291" s="17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60"/>
      <c r="B292" s="60"/>
      <c r="C292" s="60"/>
      <c r="D292" s="60"/>
      <c r="E292" s="17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60"/>
      <c r="B293" s="60"/>
      <c r="C293" s="60"/>
      <c r="D293" s="60"/>
      <c r="E293" s="17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60"/>
      <c r="B294" s="60"/>
      <c r="C294" s="60"/>
      <c r="D294" s="60"/>
      <c r="E294" s="17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60"/>
      <c r="B295" s="60"/>
      <c r="C295" s="60"/>
      <c r="D295" s="60"/>
      <c r="E295" s="17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60"/>
      <c r="B296" s="60"/>
      <c r="C296" s="60"/>
      <c r="D296" s="60"/>
      <c r="E296" s="17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60"/>
      <c r="B297" s="60"/>
      <c r="C297" s="60"/>
      <c r="D297" s="60"/>
      <c r="E297" s="17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60"/>
      <c r="B298" s="60"/>
      <c r="C298" s="60"/>
      <c r="D298" s="60"/>
      <c r="E298" s="17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60"/>
      <c r="B299" s="60"/>
      <c r="C299" s="60"/>
      <c r="D299" s="60"/>
      <c r="E299" s="17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60"/>
      <c r="B300" s="60"/>
      <c r="C300" s="60"/>
      <c r="D300" s="60"/>
      <c r="E300" s="17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60"/>
      <c r="B301" s="60"/>
      <c r="C301" s="60"/>
      <c r="D301" s="60"/>
      <c r="E301" s="17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60"/>
      <c r="B302" s="60"/>
      <c r="C302" s="60"/>
      <c r="D302" s="60"/>
      <c r="E302" s="17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60"/>
      <c r="B303" s="60"/>
      <c r="C303" s="60"/>
      <c r="D303" s="60"/>
      <c r="E303" s="17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60"/>
      <c r="B304" s="60"/>
      <c r="C304" s="60"/>
      <c r="D304" s="60"/>
      <c r="E304" s="17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60"/>
      <c r="B305" s="60"/>
      <c r="C305" s="60"/>
      <c r="D305" s="60"/>
      <c r="E305" s="17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60"/>
      <c r="B306" s="60"/>
      <c r="C306" s="60"/>
      <c r="D306" s="60"/>
      <c r="E306" s="17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60"/>
      <c r="B307" s="60"/>
      <c r="C307" s="60"/>
      <c r="D307" s="60"/>
      <c r="E307" s="17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60"/>
      <c r="B308" s="60"/>
      <c r="C308" s="60"/>
      <c r="D308" s="60"/>
      <c r="E308" s="17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60"/>
      <c r="B309" s="60"/>
      <c r="C309" s="60"/>
      <c r="D309" s="60"/>
      <c r="E309" s="17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60"/>
      <c r="B310" s="60"/>
      <c r="C310" s="60"/>
      <c r="D310" s="60"/>
      <c r="E310" s="17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60"/>
      <c r="B311" s="60"/>
      <c r="C311" s="60"/>
      <c r="D311" s="60"/>
      <c r="E311" s="17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60"/>
      <c r="B312" s="60"/>
      <c r="C312" s="60"/>
      <c r="D312" s="60"/>
      <c r="E312" s="17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60"/>
      <c r="B313" s="60"/>
      <c r="C313" s="60"/>
      <c r="D313" s="60"/>
      <c r="E313" s="17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60"/>
      <c r="B314" s="60"/>
      <c r="C314" s="60"/>
      <c r="D314" s="60"/>
      <c r="E314" s="17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60"/>
      <c r="B315" s="60"/>
      <c r="C315" s="60"/>
      <c r="D315" s="60"/>
      <c r="E315" s="17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60"/>
      <c r="B316" s="60"/>
      <c r="C316" s="60"/>
      <c r="D316" s="60"/>
      <c r="E316" s="17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60"/>
      <c r="B317" s="60"/>
      <c r="C317" s="60"/>
      <c r="D317" s="60"/>
      <c r="E317" s="17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60"/>
      <c r="B318" s="60"/>
      <c r="C318" s="60"/>
      <c r="D318" s="60"/>
      <c r="E318" s="17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60"/>
      <c r="B319" s="60"/>
      <c r="C319" s="60"/>
      <c r="D319" s="60"/>
      <c r="E319" s="17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60"/>
      <c r="B320" s="60"/>
      <c r="C320" s="60"/>
      <c r="D320" s="60"/>
      <c r="E320" s="17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60"/>
      <c r="B321" s="60"/>
      <c r="C321" s="60"/>
      <c r="D321" s="60"/>
      <c r="E321" s="17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60"/>
      <c r="B322" s="60"/>
      <c r="C322" s="60"/>
      <c r="D322" s="60"/>
      <c r="E322" s="17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60"/>
      <c r="B323" s="60"/>
      <c r="C323" s="60"/>
      <c r="D323" s="60"/>
      <c r="E323" s="17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60"/>
      <c r="B324" s="60"/>
      <c r="C324" s="60"/>
      <c r="D324" s="60"/>
      <c r="E324" s="17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60"/>
      <c r="B325" s="60"/>
      <c r="C325" s="60"/>
      <c r="D325" s="60"/>
      <c r="E325" s="17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60"/>
      <c r="B326" s="60"/>
      <c r="C326" s="60"/>
      <c r="D326" s="60"/>
      <c r="E326" s="17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60"/>
      <c r="B327" s="60"/>
      <c r="C327" s="60"/>
      <c r="D327" s="60"/>
      <c r="E327" s="17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60"/>
      <c r="B328" s="60"/>
      <c r="C328" s="60"/>
      <c r="D328" s="60"/>
      <c r="E328" s="17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60"/>
      <c r="B329" s="60"/>
      <c r="C329" s="60"/>
      <c r="D329" s="60"/>
      <c r="E329" s="17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60"/>
      <c r="B330" s="60"/>
      <c r="C330" s="60"/>
      <c r="D330" s="60"/>
      <c r="E330" s="17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60"/>
      <c r="B331" s="60"/>
      <c r="C331" s="60"/>
      <c r="D331" s="60"/>
      <c r="E331" s="17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60"/>
      <c r="B332" s="60"/>
      <c r="C332" s="60"/>
      <c r="D332" s="60"/>
      <c r="E332" s="17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60"/>
      <c r="B333" s="60"/>
      <c r="C333" s="60"/>
      <c r="D333" s="60"/>
      <c r="E333" s="17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60"/>
      <c r="B334" s="60"/>
      <c r="C334" s="60"/>
      <c r="D334" s="60"/>
      <c r="E334" s="17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60"/>
      <c r="B335" s="60"/>
      <c r="C335" s="60"/>
      <c r="D335" s="60"/>
      <c r="E335" s="17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60"/>
      <c r="B336" s="60"/>
      <c r="C336" s="60"/>
      <c r="D336" s="60"/>
      <c r="E336" s="17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60"/>
      <c r="B337" s="60"/>
      <c r="C337" s="60"/>
      <c r="D337" s="60"/>
      <c r="E337" s="17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60"/>
      <c r="B338" s="60"/>
      <c r="C338" s="60"/>
      <c r="D338" s="60"/>
      <c r="E338" s="17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60"/>
      <c r="B339" s="60"/>
      <c r="C339" s="60"/>
      <c r="D339" s="60"/>
      <c r="E339" s="17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60"/>
      <c r="B340" s="60"/>
      <c r="C340" s="60"/>
      <c r="D340" s="60"/>
      <c r="E340" s="17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60"/>
      <c r="B341" s="60"/>
      <c r="C341" s="60"/>
      <c r="D341" s="60"/>
      <c r="E341" s="17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60"/>
      <c r="B342" s="60"/>
      <c r="C342" s="60"/>
      <c r="D342" s="60"/>
      <c r="E342" s="17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60"/>
      <c r="B343" s="60"/>
      <c r="C343" s="60"/>
      <c r="D343" s="60"/>
      <c r="E343" s="17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60"/>
      <c r="B344" s="60"/>
      <c r="C344" s="60"/>
      <c r="D344" s="60"/>
      <c r="E344" s="17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60"/>
      <c r="B345" s="60"/>
      <c r="C345" s="60"/>
      <c r="D345" s="60"/>
      <c r="E345" s="17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60"/>
      <c r="B346" s="60"/>
      <c r="C346" s="60"/>
      <c r="D346" s="60"/>
      <c r="E346" s="17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60"/>
      <c r="B347" s="60"/>
      <c r="C347" s="60"/>
      <c r="D347" s="60"/>
      <c r="E347" s="17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60"/>
      <c r="B348" s="60"/>
      <c r="C348" s="60"/>
      <c r="D348" s="60"/>
      <c r="E348" s="17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60"/>
      <c r="B349" s="60"/>
      <c r="C349" s="60"/>
      <c r="D349" s="60"/>
      <c r="E349" s="17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60"/>
      <c r="B350" s="60"/>
      <c r="C350" s="60"/>
      <c r="D350" s="60"/>
      <c r="E350" s="17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60"/>
      <c r="B351" s="60"/>
      <c r="C351" s="60"/>
      <c r="D351" s="60"/>
      <c r="E351" s="17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60"/>
      <c r="B352" s="60"/>
      <c r="C352" s="60"/>
      <c r="D352" s="60"/>
      <c r="E352" s="17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60"/>
      <c r="B353" s="60"/>
      <c r="C353" s="60"/>
      <c r="D353" s="60"/>
      <c r="E353" s="17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60"/>
      <c r="B354" s="60"/>
      <c r="C354" s="60"/>
      <c r="D354" s="60"/>
      <c r="E354" s="17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60"/>
      <c r="B355" s="60"/>
      <c r="C355" s="60"/>
      <c r="D355" s="60"/>
      <c r="E355" s="17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60"/>
      <c r="B356" s="60"/>
      <c r="C356" s="60"/>
      <c r="D356" s="60"/>
      <c r="E356" s="17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60"/>
      <c r="B357" s="60"/>
      <c r="C357" s="60"/>
      <c r="D357" s="60"/>
      <c r="E357" s="17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60"/>
      <c r="B358" s="60"/>
      <c r="C358" s="60"/>
      <c r="D358" s="60"/>
      <c r="E358" s="17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60"/>
      <c r="B359" s="60"/>
      <c r="C359" s="60"/>
      <c r="D359" s="60"/>
      <c r="E359" s="17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60"/>
      <c r="B360" s="60"/>
      <c r="C360" s="60"/>
      <c r="D360" s="60"/>
      <c r="E360" s="17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60"/>
      <c r="B361" s="60"/>
      <c r="C361" s="60"/>
      <c r="D361" s="60"/>
      <c r="E361" s="17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60"/>
      <c r="B362" s="60"/>
      <c r="C362" s="60"/>
      <c r="D362" s="60"/>
      <c r="E362" s="17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60"/>
      <c r="B363" s="60"/>
      <c r="C363" s="60"/>
      <c r="D363" s="60"/>
      <c r="E363" s="17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60"/>
      <c r="B364" s="60"/>
      <c r="C364" s="60"/>
      <c r="D364" s="60"/>
      <c r="E364" s="17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60"/>
      <c r="B365" s="60"/>
      <c r="C365" s="60"/>
      <c r="D365" s="60"/>
      <c r="E365" s="17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60"/>
      <c r="B366" s="60"/>
      <c r="C366" s="60"/>
      <c r="D366" s="60"/>
      <c r="E366" s="17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60"/>
      <c r="B367" s="60"/>
      <c r="C367" s="60"/>
      <c r="D367" s="60"/>
      <c r="E367" s="17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60"/>
      <c r="B368" s="60"/>
      <c r="C368" s="60"/>
      <c r="D368" s="60"/>
      <c r="E368" s="17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60"/>
      <c r="B369" s="60"/>
      <c r="C369" s="60"/>
      <c r="D369" s="60"/>
      <c r="E369" s="17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60"/>
      <c r="B370" s="60"/>
      <c r="C370" s="60"/>
      <c r="D370" s="60"/>
      <c r="E370" s="17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60"/>
      <c r="B371" s="60"/>
      <c r="C371" s="60"/>
      <c r="D371" s="60"/>
      <c r="E371" s="17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60"/>
      <c r="B372" s="60"/>
      <c r="C372" s="60"/>
      <c r="D372" s="60"/>
      <c r="E372" s="17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60"/>
      <c r="B373" s="60"/>
      <c r="C373" s="60"/>
      <c r="D373" s="60"/>
      <c r="E373" s="17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60"/>
      <c r="B374" s="60"/>
      <c r="C374" s="60"/>
      <c r="D374" s="60"/>
      <c r="E374" s="17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60"/>
      <c r="B375" s="60"/>
      <c r="C375" s="60"/>
      <c r="D375" s="60"/>
      <c r="E375" s="17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60"/>
      <c r="B376" s="60"/>
      <c r="C376" s="60"/>
      <c r="D376" s="60"/>
      <c r="E376" s="17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60"/>
      <c r="B377" s="60"/>
      <c r="C377" s="60"/>
      <c r="D377" s="60"/>
      <c r="E377" s="17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60"/>
      <c r="B378" s="60"/>
      <c r="C378" s="60"/>
      <c r="D378" s="60"/>
      <c r="E378" s="17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60"/>
      <c r="B379" s="60"/>
      <c r="C379" s="60"/>
      <c r="D379" s="60"/>
      <c r="E379" s="17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60"/>
      <c r="B380" s="60"/>
      <c r="C380" s="60"/>
      <c r="D380" s="60"/>
      <c r="E380" s="17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60"/>
      <c r="B381" s="60"/>
      <c r="C381" s="60"/>
      <c r="D381" s="60"/>
      <c r="E381" s="17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60"/>
      <c r="B382" s="60"/>
      <c r="C382" s="60"/>
      <c r="D382" s="60"/>
      <c r="E382" s="17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60"/>
      <c r="B383" s="60"/>
      <c r="C383" s="60"/>
      <c r="D383" s="60"/>
      <c r="E383" s="17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60"/>
      <c r="B384" s="60"/>
      <c r="C384" s="60"/>
      <c r="D384" s="60"/>
      <c r="E384" s="17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60"/>
      <c r="B385" s="60"/>
      <c r="C385" s="60"/>
      <c r="D385" s="60"/>
      <c r="E385" s="17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60"/>
      <c r="B386" s="60"/>
      <c r="C386" s="60"/>
      <c r="D386" s="60"/>
      <c r="E386" s="17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60"/>
      <c r="B387" s="60"/>
      <c r="C387" s="60"/>
      <c r="D387" s="60"/>
      <c r="E387" s="17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60"/>
      <c r="B388" s="60"/>
      <c r="C388" s="60"/>
      <c r="D388" s="60"/>
      <c r="E388" s="17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60"/>
      <c r="B389" s="60"/>
      <c r="C389" s="60"/>
      <c r="D389" s="60"/>
      <c r="E389" s="17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60"/>
      <c r="B390" s="60"/>
      <c r="C390" s="60"/>
      <c r="D390" s="60"/>
      <c r="E390" s="17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60"/>
      <c r="B391" s="60"/>
      <c r="C391" s="60"/>
      <c r="D391" s="60"/>
      <c r="E391" s="17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60"/>
      <c r="B392" s="60"/>
      <c r="C392" s="60"/>
      <c r="D392" s="60"/>
      <c r="E392" s="17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60"/>
      <c r="B393" s="60"/>
      <c r="C393" s="60"/>
      <c r="D393" s="60"/>
      <c r="E393" s="17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60"/>
      <c r="B394" s="60"/>
      <c r="C394" s="60"/>
      <c r="D394" s="60"/>
      <c r="E394" s="17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60"/>
      <c r="B395" s="60"/>
      <c r="C395" s="60"/>
      <c r="D395" s="60"/>
      <c r="E395" s="17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60"/>
      <c r="B396" s="60"/>
      <c r="C396" s="60"/>
      <c r="D396" s="60"/>
      <c r="E396" s="17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60"/>
      <c r="B397" s="60"/>
      <c r="C397" s="60"/>
      <c r="D397" s="60"/>
      <c r="E397" s="17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60"/>
      <c r="B398" s="60"/>
      <c r="C398" s="60"/>
      <c r="D398" s="60"/>
      <c r="E398" s="17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60"/>
      <c r="B399" s="60"/>
      <c r="C399" s="60"/>
      <c r="D399" s="60"/>
      <c r="E399" s="17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60"/>
      <c r="B400" s="60"/>
      <c r="C400" s="60"/>
      <c r="D400" s="60"/>
      <c r="E400" s="17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60"/>
      <c r="B401" s="60"/>
      <c r="C401" s="60"/>
      <c r="D401" s="60"/>
      <c r="E401" s="17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60"/>
      <c r="B402" s="60"/>
      <c r="C402" s="60"/>
      <c r="D402" s="60"/>
      <c r="E402" s="17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60"/>
      <c r="B403" s="60"/>
      <c r="C403" s="60"/>
      <c r="D403" s="60"/>
      <c r="E403" s="17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60"/>
      <c r="B404" s="60"/>
      <c r="C404" s="60"/>
      <c r="D404" s="60"/>
      <c r="E404" s="17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60"/>
      <c r="B405" s="60"/>
      <c r="C405" s="60"/>
      <c r="D405" s="60"/>
      <c r="E405" s="17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60"/>
      <c r="B406" s="60"/>
      <c r="C406" s="60"/>
      <c r="D406" s="60"/>
      <c r="E406" s="17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60"/>
      <c r="B407" s="60"/>
      <c r="C407" s="60"/>
      <c r="D407" s="60"/>
      <c r="E407" s="17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60"/>
      <c r="B408" s="60"/>
      <c r="C408" s="60"/>
      <c r="D408" s="60"/>
      <c r="E408" s="17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60"/>
      <c r="B409" s="60"/>
      <c r="C409" s="60"/>
      <c r="D409" s="60"/>
      <c r="E409" s="17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60"/>
      <c r="B410" s="60"/>
      <c r="C410" s="60"/>
      <c r="D410" s="60"/>
      <c r="E410" s="17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60"/>
      <c r="B411" s="60"/>
      <c r="C411" s="60"/>
      <c r="D411" s="60"/>
      <c r="E411" s="17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60"/>
      <c r="B412" s="60"/>
      <c r="C412" s="60"/>
      <c r="D412" s="60"/>
      <c r="E412" s="17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60"/>
      <c r="B413" s="60"/>
      <c r="C413" s="60"/>
      <c r="D413" s="60"/>
      <c r="E413" s="17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60"/>
      <c r="B414" s="60"/>
      <c r="C414" s="60"/>
      <c r="D414" s="60"/>
      <c r="E414" s="17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60"/>
      <c r="B415" s="60"/>
      <c r="C415" s="60"/>
      <c r="D415" s="60"/>
      <c r="E415" s="17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60"/>
      <c r="B416" s="60"/>
      <c r="C416" s="60"/>
      <c r="D416" s="60"/>
      <c r="E416" s="17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60"/>
      <c r="B417" s="60"/>
      <c r="C417" s="60"/>
      <c r="D417" s="60"/>
      <c r="E417" s="17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60"/>
      <c r="B418" s="60"/>
      <c r="C418" s="60"/>
      <c r="D418" s="60"/>
      <c r="E418" s="17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60"/>
      <c r="B419" s="60"/>
      <c r="C419" s="60"/>
      <c r="D419" s="60"/>
      <c r="E419" s="17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60"/>
      <c r="B420" s="60"/>
      <c r="C420" s="60"/>
      <c r="D420" s="60"/>
      <c r="E420" s="17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60"/>
      <c r="B421" s="60"/>
      <c r="C421" s="60"/>
      <c r="D421" s="60"/>
      <c r="E421" s="17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60"/>
      <c r="B422" s="60"/>
      <c r="C422" s="60"/>
      <c r="D422" s="60"/>
      <c r="E422" s="17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60"/>
      <c r="B423" s="60"/>
      <c r="C423" s="60"/>
      <c r="D423" s="60"/>
      <c r="E423" s="17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60"/>
      <c r="B424" s="60"/>
      <c r="C424" s="60"/>
      <c r="D424" s="60"/>
      <c r="E424" s="17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60"/>
      <c r="B425" s="60"/>
      <c r="C425" s="60"/>
      <c r="D425" s="60"/>
      <c r="E425" s="17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60"/>
      <c r="B426" s="60"/>
      <c r="C426" s="60"/>
      <c r="D426" s="60"/>
      <c r="E426" s="17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60"/>
      <c r="B427" s="60"/>
      <c r="C427" s="60"/>
      <c r="D427" s="60"/>
      <c r="E427" s="17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60"/>
      <c r="B428" s="60"/>
      <c r="C428" s="60"/>
      <c r="D428" s="60"/>
      <c r="E428" s="17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60"/>
      <c r="B429" s="60"/>
      <c r="C429" s="60"/>
      <c r="D429" s="60"/>
      <c r="E429" s="17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60"/>
      <c r="B430" s="60"/>
      <c r="C430" s="60"/>
      <c r="D430" s="60"/>
      <c r="E430" s="17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60"/>
      <c r="B431" s="60"/>
      <c r="C431" s="60"/>
      <c r="D431" s="60"/>
      <c r="E431" s="17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60"/>
      <c r="B432" s="60"/>
      <c r="C432" s="60"/>
      <c r="D432" s="60"/>
      <c r="E432" s="17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60"/>
      <c r="B433" s="60"/>
      <c r="C433" s="60"/>
      <c r="D433" s="60"/>
      <c r="E433" s="17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60"/>
      <c r="B434" s="60"/>
      <c r="C434" s="60"/>
      <c r="D434" s="60"/>
      <c r="E434" s="17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60"/>
      <c r="B435" s="60"/>
      <c r="C435" s="60"/>
      <c r="D435" s="60"/>
      <c r="E435" s="17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60"/>
      <c r="B436" s="60"/>
      <c r="C436" s="60"/>
      <c r="D436" s="60"/>
      <c r="E436" s="17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60"/>
      <c r="B437" s="60"/>
      <c r="C437" s="60"/>
      <c r="D437" s="60"/>
      <c r="E437" s="17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60"/>
      <c r="B438" s="60"/>
      <c r="C438" s="60"/>
      <c r="D438" s="60"/>
      <c r="E438" s="17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60"/>
      <c r="B439" s="60"/>
      <c r="C439" s="60"/>
      <c r="D439" s="60"/>
      <c r="E439" s="17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60"/>
      <c r="B440" s="60"/>
      <c r="C440" s="60"/>
      <c r="D440" s="60"/>
      <c r="E440" s="17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60"/>
      <c r="B441" s="60"/>
      <c r="C441" s="60"/>
      <c r="D441" s="60"/>
      <c r="E441" s="17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60"/>
      <c r="B442" s="60"/>
      <c r="C442" s="60"/>
      <c r="D442" s="60"/>
      <c r="E442" s="17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60"/>
      <c r="B443" s="60"/>
      <c r="C443" s="60"/>
      <c r="D443" s="60"/>
      <c r="E443" s="17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60"/>
      <c r="B444" s="60"/>
      <c r="C444" s="60"/>
      <c r="D444" s="60"/>
      <c r="E444" s="17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60"/>
      <c r="B445" s="60"/>
      <c r="C445" s="60"/>
      <c r="D445" s="60"/>
      <c r="E445" s="17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60"/>
      <c r="B446" s="60"/>
      <c r="C446" s="60"/>
      <c r="D446" s="60"/>
      <c r="E446" s="17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60"/>
      <c r="B447" s="60"/>
      <c r="C447" s="60"/>
      <c r="D447" s="60"/>
      <c r="E447" s="17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60"/>
      <c r="B448" s="60"/>
      <c r="C448" s="60"/>
      <c r="D448" s="60"/>
      <c r="E448" s="17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60"/>
      <c r="B449" s="60"/>
      <c r="C449" s="60"/>
      <c r="D449" s="60"/>
      <c r="E449" s="17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60"/>
      <c r="B450" s="60"/>
      <c r="C450" s="60"/>
      <c r="D450" s="60"/>
      <c r="E450" s="17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60"/>
      <c r="B451" s="60"/>
      <c r="C451" s="60"/>
      <c r="D451" s="60"/>
      <c r="E451" s="17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60"/>
      <c r="B452" s="60"/>
      <c r="C452" s="60"/>
      <c r="D452" s="60"/>
      <c r="E452" s="17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60"/>
      <c r="B453" s="60"/>
      <c r="C453" s="60"/>
      <c r="D453" s="60"/>
      <c r="E453" s="17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60"/>
      <c r="B454" s="60"/>
      <c r="C454" s="60"/>
      <c r="D454" s="60"/>
      <c r="E454" s="17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60"/>
      <c r="B455" s="60"/>
      <c r="C455" s="60"/>
      <c r="D455" s="60"/>
      <c r="E455" s="17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60"/>
      <c r="B456" s="60"/>
      <c r="C456" s="60"/>
      <c r="D456" s="60"/>
      <c r="E456" s="17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60"/>
      <c r="B457" s="60"/>
      <c r="C457" s="60"/>
      <c r="D457" s="60"/>
      <c r="E457" s="17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60"/>
      <c r="B458" s="60"/>
      <c r="C458" s="60"/>
      <c r="D458" s="60"/>
      <c r="E458" s="17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60"/>
      <c r="B459" s="60"/>
      <c r="C459" s="60"/>
      <c r="D459" s="60"/>
      <c r="E459" s="17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60"/>
      <c r="B460" s="60"/>
      <c r="C460" s="60"/>
      <c r="D460" s="60"/>
      <c r="E460" s="17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60"/>
      <c r="B461" s="60"/>
      <c r="C461" s="60"/>
      <c r="D461" s="60"/>
      <c r="E461" s="17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60"/>
      <c r="B462" s="60"/>
      <c r="C462" s="60"/>
      <c r="D462" s="60"/>
      <c r="E462" s="17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60"/>
      <c r="B463" s="60"/>
      <c r="C463" s="60"/>
      <c r="D463" s="60"/>
      <c r="E463" s="17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60"/>
      <c r="B464" s="60"/>
      <c r="C464" s="60"/>
      <c r="D464" s="60"/>
      <c r="E464" s="17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60"/>
      <c r="B465" s="60"/>
      <c r="C465" s="60"/>
      <c r="D465" s="60"/>
      <c r="E465" s="17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60"/>
      <c r="B466" s="60"/>
      <c r="C466" s="60"/>
      <c r="D466" s="60"/>
      <c r="E466" s="17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60"/>
      <c r="B467" s="60"/>
      <c r="C467" s="60"/>
      <c r="D467" s="60"/>
      <c r="E467" s="17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60"/>
      <c r="B468" s="60"/>
      <c r="C468" s="60"/>
      <c r="D468" s="60"/>
      <c r="E468" s="17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60"/>
      <c r="B469" s="60"/>
      <c r="C469" s="60"/>
      <c r="D469" s="60"/>
      <c r="E469" s="17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60"/>
      <c r="B470" s="60"/>
      <c r="C470" s="60"/>
      <c r="D470" s="60"/>
      <c r="E470" s="17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60"/>
      <c r="B471" s="60"/>
      <c r="C471" s="60"/>
      <c r="D471" s="60"/>
      <c r="E471" s="17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60"/>
      <c r="B472" s="60"/>
      <c r="C472" s="60"/>
      <c r="D472" s="60"/>
      <c r="E472" s="17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60"/>
      <c r="B473" s="60"/>
      <c r="C473" s="60"/>
      <c r="D473" s="60"/>
      <c r="E473" s="17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60"/>
      <c r="B474" s="60"/>
      <c r="C474" s="60"/>
      <c r="D474" s="60"/>
      <c r="E474" s="17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60"/>
      <c r="B475" s="60"/>
      <c r="C475" s="60"/>
      <c r="D475" s="60"/>
      <c r="E475" s="17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60"/>
      <c r="B476" s="60"/>
      <c r="C476" s="60"/>
      <c r="D476" s="60"/>
      <c r="E476" s="17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60"/>
      <c r="B477" s="60"/>
      <c r="C477" s="60"/>
      <c r="D477" s="60"/>
      <c r="E477" s="17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60"/>
      <c r="B478" s="60"/>
      <c r="C478" s="60"/>
      <c r="D478" s="60"/>
      <c r="E478" s="17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60"/>
      <c r="B479" s="60"/>
      <c r="C479" s="60"/>
      <c r="D479" s="60"/>
      <c r="E479" s="17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60"/>
      <c r="B480" s="60"/>
      <c r="C480" s="60"/>
      <c r="D480" s="60"/>
      <c r="E480" s="17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60"/>
      <c r="B481" s="60"/>
      <c r="C481" s="60"/>
      <c r="D481" s="60"/>
      <c r="E481" s="17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60"/>
      <c r="B482" s="60"/>
      <c r="C482" s="60"/>
      <c r="D482" s="60"/>
      <c r="E482" s="17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60"/>
      <c r="B483" s="60"/>
      <c r="C483" s="60"/>
      <c r="D483" s="60"/>
      <c r="E483" s="17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60"/>
      <c r="B484" s="60"/>
      <c r="C484" s="60"/>
      <c r="D484" s="60"/>
      <c r="E484" s="17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60"/>
      <c r="B485" s="60"/>
      <c r="C485" s="60"/>
      <c r="D485" s="60"/>
      <c r="E485" s="17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60"/>
      <c r="B486" s="60"/>
      <c r="C486" s="60"/>
      <c r="D486" s="60"/>
      <c r="E486" s="17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60"/>
      <c r="B487" s="60"/>
      <c r="C487" s="60"/>
      <c r="D487" s="60"/>
      <c r="E487" s="17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60"/>
      <c r="B488" s="60"/>
      <c r="C488" s="60"/>
      <c r="D488" s="60"/>
      <c r="E488" s="17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60"/>
      <c r="B489" s="60"/>
      <c r="C489" s="60"/>
      <c r="D489" s="60"/>
      <c r="E489" s="17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60"/>
      <c r="B490" s="60"/>
      <c r="C490" s="60"/>
      <c r="D490" s="60"/>
      <c r="E490" s="17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60"/>
      <c r="B491" s="60"/>
      <c r="C491" s="60"/>
      <c r="D491" s="60"/>
      <c r="E491" s="17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60"/>
      <c r="B492" s="60"/>
      <c r="C492" s="60"/>
      <c r="D492" s="60"/>
      <c r="E492" s="17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60"/>
      <c r="B493" s="60"/>
      <c r="C493" s="60"/>
      <c r="D493" s="60"/>
      <c r="E493" s="17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60"/>
      <c r="B494" s="60"/>
      <c r="C494" s="60"/>
      <c r="D494" s="60"/>
      <c r="E494" s="17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60"/>
      <c r="B495" s="60"/>
      <c r="C495" s="60"/>
      <c r="D495" s="60"/>
      <c r="E495" s="17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60"/>
      <c r="B496" s="60"/>
      <c r="C496" s="60"/>
      <c r="D496" s="60"/>
      <c r="E496" s="17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60"/>
      <c r="B497" s="60"/>
      <c r="C497" s="60"/>
      <c r="D497" s="60"/>
      <c r="E497" s="17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60"/>
      <c r="B498" s="60"/>
      <c r="C498" s="60"/>
      <c r="D498" s="60"/>
      <c r="E498" s="17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60"/>
      <c r="B499" s="60"/>
      <c r="C499" s="60"/>
      <c r="D499" s="60"/>
      <c r="E499" s="17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60"/>
      <c r="B500" s="60"/>
      <c r="C500" s="60"/>
      <c r="D500" s="60"/>
      <c r="E500" s="17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60"/>
      <c r="B501" s="60"/>
      <c r="C501" s="60"/>
      <c r="D501" s="60"/>
      <c r="E501" s="17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60"/>
      <c r="B502" s="60"/>
      <c r="C502" s="60"/>
      <c r="D502" s="60"/>
      <c r="E502" s="17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60"/>
      <c r="B503" s="60"/>
      <c r="C503" s="60"/>
      <c r="D503" s="60"/>
      <c r="E503" s="17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60"/>
      <c r="B504" s="60"/>
      <c r="C504" s="60"/>
      <c r="D504" s="60"/>
      <c r="E504" s="17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60"/>
      <c r="B505" s="60"/>
      <c r="C505" s="60"/>
      <c r="D505" s="60"/>
      <c r="E505" s="17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60"/>
      <c r="B506" s="60"/>
      <c r="C506" s="60"/>
      <c r="D506" s="60"/>
      <c r="E506" s="17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60"/>
      <c r="B507" s="60"/>
      <c r="C507" s="60"/>
      <c r="D507" s="60"/>
      <c r="E507" s="17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60"/>
      <c r="B508" s="60"/>
      <c r="C508" s="60"/>
      <c r="D508" s="60"/>
      <c r="E508" s="17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60"/>
      <c r="B509" s="60"/>
      <c r="C509" s="60"/>
      <c r="D509" s="60"/>
      <c r="E509" s="17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60"/>
      <c r="B510" s="60"/>
      <c r="C510" s="60"/>
      <c r="D510" s="60"/>
      <c r="E510" s="17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60"/>
      <c r="B511" s="60"/>
      <c r="C511" s="60"/>
      <c r="D511" s="60"/>
      <c r="E511" s="17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60"/>
      <c r="B512" s="60"/>
      <c r="C512" s="60"/>
      <c r="D512" s="60"/>
      <c r="E512" s="17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60"/>
      <c r="B513" s="60"/>
      <c r="C513" s="60"/>
      <c r="D513" s="60"/>
      <c r="E513" s="17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60"/>
      <c r="B514" s="60"/>
      <c r="C514" s="60"/>
      <c r="D514" s="60"/>
      <c r="E514" s="17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60"/>
      <c r="B515" s="60"/>
      <c r="C515" s="60"/>
      <c r="D515" s="60"/>
      <c r="E515" s="17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60"/>
      <c r="B516" s="60"/>
      <c r="C516" s="60"/>
      <c r="D516" s="60"/>
      <c r="E516" s="17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60"/>
      <c r="B517" s="60"/>
      <c r="C517" s="60"/>
      <c r="D517" s="60"/>
      <c r="E517" s="17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60"/>
      <c r="B518" s="60"/>
      <c r="C518" s="60"/>
      <c r="D518" s="60"/>
      <c r="E518" s="17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60"/>
      <c r="B519" s="60"/>
      <c r="C519" s="60"/>
      <c r="D519" s="60"/>
      <c r="E519" s="17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60"/>
      <c r="B520" s="60"/>
      <c r="C520" s="60"/>
      <c r="D520" s="60"/>
      <c r="E520" s="17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60"/>
      <c r="B521" s="60"/>
      <c r="C521" s="60"/>
      <c r="D521" s="60"/>
      <c r="E521" s="17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60"/>
      <c r="B522" s="60"/>
      <c r="C522" s="60"/>
      <c r="D522" s="60"/>
      <c r="E522" s="17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60"/>
      <c r="B523" s="60"/>
      <c r="C523" s="60"/>
      <c r="D523" s="60"/>
      <c r="E523" s="17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60"/>
      <c r="B524" s="60"/>
      <c r="C524" s="60"/>
      <c r="D524" s="60"/>
      <c r="E524" s="17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60"/>
      <c r="B525" s="60"/>
      <c r="C525" s="60"/>
      <c r="D525" s="60"/>
      <c r="E525" s="17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60"/>
      <c r="B526" s="60"/>
      <c r="C526" s="60"/>
      <c r="D526" s="60"/>
      <c r="E526" s="17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60"/>
      <c r="B527" s="60"/>
      <c r="C527" s="60"/>
      <c r="D527" s="60"/>
      <c r="E527" s="17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60"/>
      <c r="B528" s="60"/>
      <c r="C528" s="60"/>
      <c r="D528" s="60"/>
      <c r="E528" s="17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60"/>
      <c r="B529" s="60"/>
      <c r="C529" s="60"/>
      <c r="D529" s="60"/>
      <c r="E529" s="17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60"/>
      <c r="B530" s="60"/>
      <c r="C530" s="60"/>
      <c r="D530" s="60"/>
      <c r="E530" s="17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60"/>
      <c r="B531" s="60"/>
      <c r="C531" s="60"/>
      <c r="D531" s="60"/>
      <c r="E531" s="17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60"/>
      <c r="B532" s="60"/>
      <c r="C532" s="60"/>
      <c r="D532" s="60"/>
      <c r="E532" s="17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60"/>
      <c r="B533" s="60"/>
      <c r="C533" s="60"/>
      <c r="D533" s="60"/>
      <c r="E533" s="17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60"/>
      <c r="B534" s="60"/>
      <c r="C534" s="60"/>
      <c r="D534" s="60"/>
      <c r="E534" s="17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60"/>
      <c r="B535" s="60"/>
      <c r="C535" s="60"/>
      <c r="D535" s="60"/>
      <c r="E535" s="17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60"/>
      <c r="B536" s="60"/>
      <c r="C536" s="60"/>
      <c r="D536" s="60"/>
      <c r="E536" s="17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60"/>
      <c r="B537" s="60"/>
      <c r="C537" s="60"/>
      <c r="D537" s="60"/>
      <c r="E537" s="17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60"/>
      <c r="B538" s="60"/>
      <c r="C538" s="60"/>
      <c r="D538" s="60"/>
      <c r="E538" s="17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60"/>
      <c r="B539" s="60"/>
      <c r="C539" s="60"/>
      <c r="D539" s="60"/>
      <c r="E539" s="17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60"/>
      <c r="B540" s="60"/>
      <c r="C540" s="60"/>
      <c r="D540" s="60"/>
      <c r="E540" s="17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60"/>
      <c r="B541" s="60"/>
      <c r="C541" s="60"/>
      <c r="D541" s="60"/>
      <c r="E541" s="17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60"/>
      <c r="B542" s="60"/>
      <c r="C542" s="60"/>
      <c r="D542" s="60"/>
      <c r="E542" s="17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60"/>
      <c r="B543" s="60"/>
      <c r="C543" s="60"/>
      <c r="D543" s="60"/>
      <c r="E543" s="17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60"/>
      <c r="B544" s="60"/>
      <c r="C544" s="60"/>
      <c r="D544" s="60"/>
      <c r="E544" s="17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60"/>
      <c r="B545" s="60"/>
      <c r="C545" s="60"/>
      <c r="D545" s="60"/>
      <c r="E545" s="17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60"/>
      <c r="B546" s="60"/>
      <c r="C546" s="60"/>
      <c r="D546" s="60"/>
      <c r="E546" s="17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60"/>
      <c r="B547" s="60"/>
      <c r="C547" s="60"/>
      <c r="D547" s="60"/>
      <c r="E547" s="17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60"/>
      <c r="B548" s="60"/>
      <c r="C548" s="60"/>
      <c r="D548" s="60"/>
      <c r="E548" s="17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60"/>
      <c r="B549" s="60"/>
      <c r="C549" s="60"/>
      <c r="D549" s="60"/>
      <c r="E549" s="17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60"/>
      <c r="B550" s="60"/>
      <c r="C550" s="60"/>
      <c r="D550" s="60"/>
      <c r="E550" s="17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60"/>
      <c r="B551" s="60"/>
      <c r="C551" s="60"/>
      <c r="D551" s="60"/>
      <c r="E551" s="17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60"/>
      <c r="B552" s="60"/>
      <c r="C552" s="60"/>
      <c r="D552" s="60"/>
      <c r="E552" s="17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60"/>
      <c r="B553" s="60"/>
      <c r="C553" s="60"/>
      <c r="D553" s="60"/>
      <c r="E553" s="17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60"/>
      <c r="B554" s="60"/>
      <c r="C554" s="60"/>
      <c r="D554" s="60"/>
      <c r="E554" s="17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60"/>
      <c r="B555" s="60"/>
      <c r="C555" s="60"/>
      <c r="D555" s="60"/>
      <c r="E555" s="17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60"/>
      <c r="B556" s="60"/>
      <c r="C556" s="60"/>
      <c r="D556" s="60"/>
      <c r="E556" s="17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60"/>
      <c r="B557" s="60"/>
      <c r="C557" s="60"/>
      <c r="D557" s="60"/>
      <c r="E557" s="17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60"/>
      <c r="B558" s="60"/>
      <c r="C558" s="60"/>
      <c r="D558" s="60"/>
      <c r="E558" s="17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60"/>
      <c r="B559" s="60"/>
      <c r="C559" s="60"/>
      <c r="D559" s="60"/>
      <c r="E559" s="17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60"/>
      <c r="B560" s="60"/>
      <c r="C560" s="60"/>
      <c r="D560" s="60"/>
      <c r="E560" s="17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60"/>
      <c r="B561" s="60"/>
      <c r="C561" s="60"/>
      <c r="D561" s="60"/>
      <c r="E561" s="17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60"/>
      <c r="B562" s="60"/>
      <c r="C562" s="60"/>
      <c r="D562" s="60"/>
      <c r="E562" s="17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60"/>
      <c r="B563" s="60"/>
      <c r="C563" s="60"/>
      <c r="D563" s="60"/>
      <c r="E563" s="17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60"/>
      <c r="B564" s="60"/>
      <c r="C564" s="60"/>
      <c r="D564" s="60"/>
      <c r="E564" s="17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60"/>
      <c r="B565" s="60"/>
      <c r="C565" s="60"/>
      <c r="D565" s="60"/>
      <c r="E565" s="17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60"/>
      <c r="B566" s="60"/>
      <c r="C566" s="60"/>
      <c r="D566" s="60"/>
      <c r="E566" s="17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60"/>
      <c r="B567" s="60"/>
      <c r="C567" s="60"/>
      <c r="D567" s="60"/>
      <c r="E567" s="17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60"/>
      <c r="B568" s="60"/>
      <c r="C568" s="60"/>
      <c r="D568" s="60"/>
      <c r="E568" s="17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60"/>
      <c r="B569" s="60"/>
      <c r="C569" s="60"/>
      <c r="D569" s="60"/>
      <c r="E569" s="17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60"/>
      <c r="B570" s="60"/>
      <c r="C570" s="60"/>
      <c r="D570" s="60"/>
      <c r="E570" s="17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60"/>
      <c r="B571" s="60"/>
      <c r="C571" s="60"/>
      <c r="D571" s="60"/>
      <c r="E571" s="17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60"/>
      <c r="B572" s="60"/>
      <c r="C572" s="60"/>
      <c r="D572" s="60"/>
      <c r="E572" s="17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60"/>
      <c r="B573" s="60"/>
      <c r="C573" s="60"/>
      <c r="D573" s="60"/>
      <c r="E573" s="17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60"/>
      <c r="B574" s="60"/>
      <c r="C574" s="60"/>
      <c r="D574" s="60"/>
      <c r="E574" s="17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60"/>
      <c r="B575" s="60"/>
      <c r="C575" s="60"/>
      <c r="D575" s="60"/>
      <c r="E575" s="17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60"/>
      <c r="B576" s="60"/>
      <c r="C576" s="60"/>
      <c r="D576" s="60"/>
      <c r="E576" s="17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60"/>
      <c r="B577" s="60"/>
      <c r="C577" s="60"/>
      <c r="D577" s="60"/>
      <c r="E577" s="17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60"/>
      <c r="B578" s="60"/>
      <c r="C578" s="60"/>
      <c r="D578" s="60"/>
      <c r="E578" s="17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60"/>
      <c r="B579" s="60"/>
      <c r="C579" s="60"/>
      <c r="D579" s="60"/>
      <c r="E579" s="17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60"/>
      <c r="B580" s="60"/>
      <c r="C580" s="60"/>
      <c r="D580" s="60"/>
      <c r="E580" s="17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60"/>
      <c r="B581" s="60"/>
      <c r="C581" s="60"/>
      <c r="D581" s="60"/>
      <c r="E581" s="17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60"/>
      <c r="B582" s="60"/>
      <c r="C582" s="60"/>
      <c r="D582" s="60"/>
      <c r="E582" s="17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60"/>
      <c r="B583" s="60"/>
      <c r="C583" s="60"/>
      <c r="D583" s="60"/>
      <c r="E583" s="17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60"/>
      <c r="B584" s="60"/>
      <c r="C584" s="60"/>
      <c r="D584" s="60"/>
      <c r="E584" s="17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60"/>
      <c r="B585" s="60"/>
      <c r="C585" s="60"/>
      <c r="D585" s="60"/>
      <c r="E585" s="17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60"/>
      <c r="B586" s="60"/>
      <c r="C586" s="60"/>
      <c r="D586" s="60"/>
      <c r="E586" s="17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60"/>
      <c r="B587" s="60"/>
      <c r="C587" s="60"/>
      <c r="D587" s="60"/>
      <c r="E587" s="17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60"/>
      <c r="B588" s="60"/>
      <c r="C588" s="60"/>
      <c r="D588" s="60"/>
      <c r="E588" s="17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60"/>
      <c r="B589" s="60"/>
      <c r="C589" s="60"/>
      <c r="D589" s="60"/>
      <c r="E589" s="17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60"/>
      <c r="B590" s="60"/>
      <c r="C590" s="60"/>
      <c r="D590" s="60"/>
      <c r="E590" s="17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60"/>
      <c r="B591" s="60"/>
      <c r="C591" s="60"/>
      <c r="D591" s="60"/>
      <c r="E591" s="17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60"/>
      <c r="B592" s="60"/>
      <c r="C592" s="60"/>
      <c r="D592" s="60"/>
      <c r="E592" s="17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60"/>
      <c r="B593" s="60"/>
      <c r="C593" s="60"/>
      <c r="D593" s="60"/>
      <c r="E593" s="17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60"/>
      <c r="B594" s="60"/>
      <c r="C594" s="60"/>
      <c r="D594" s="60"/>
      <c r="E594" s="17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60"/>
      <c r="B595" s="60"/>
      <c r="C595" s="60"/>
      <c r="D595" s="60"/>
      <c r="E595" s="17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60"/>
      <c r="B596" s="60"/>
      <c r="C596" s="60"/>
      <c r="D596" s="60"/>
      <c r="E596" s="17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60"/>
      <c r="B597" s="60"/>
      <c r="C597" s="60"/>
      <c r="D597" s="60"/>
      <c r="E597" s="17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60"/>
      <c r="B598" s="60"/>
      <c r="C598" s="60"/>
      <c r="D598" s="60"/>
      <c r="E598" s="17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60"/>
      <c r="B599" s="60"/>
      <c r="C599" s="60"/>
      <c r="D599" s="60"/>
      <c r="E599" s="17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60"/>
      <c r="B600" s="60"/>
      <c r="C600" s="60"/>
      <c r="D600" s="60"/>
      <c r="E600" s="17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60"/>
      <c r="B601" s="60"/>
      <c r="C601" s="60"/>
      <c r="D601" s="60"/>
      <c r="E601" s="17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60"/>
      <c r="B602" s="60"/>
      <c r="C602" s="60"/>
      <c r="D602" s="60"/>
      <c r="E602" s="17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60"/>
      <c r="B603" s="60"/>
      <c r="C603" s="60"/>
      <c r="D603" s="60"/>
      <c r="E603" s="17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60"/>
      <c r="B604" s="60"/>
      <c r="C604" s="60"/>
      <c r="D604" s="60"/>
      <c r="E604" s="17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60"/>
      <c r="B605" s="60"/>
      <c r="C605" s="60"/>
      <c r="D605" s="60"/>
      <c r="E605" s="17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60"/>
      <c r="B606" s="60"/>
      <c r="C606" s="60"/>
      <c r="D606" s="60"/>
      <c r="E606" s="17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60"/>
      <c r="B607" s="60"/>
      <c r="C607" s="60"/>
      <c r="D607" s="60"/>
      <c r="E607" s="17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60"/>
      <c r="B608" s="60"/>
      <c r="C608" s="60"/>
      <c r="D608" s="60"/>
      <c r="E608" s="17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60"/>
      <c r="B609" s="60"/>
      <c r="C609" s="60"/>
      <c r="D609" s="60"/>
      <c r="E609" s="17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60"/>
      <c r="B610" s="60"/>
      <c r="C610" s="60"/>
      <c r="D610" s="60"/>
      <c r="E610" s="17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60"/>
      <c r="B611" s="60"/>
      <c r="C611" s="60"/>
      <c r="D611" s="60"/>
      <c r="E611" s="17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60"/>
      <c r="B612" s="60"/>
      <c r="C612" s="60"/>
      <c r="D612" s="60"/>
      <c r="E612" s="17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60"/>
      <c r="B613" s="60"/>
      <c r="C613" s="60"/>
      <c r="D613" s="60"/>
      <c r="E613" s="17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60"/>
      <c r="B614" s="60"/>
      <c r="C614" s="60"/>
      <c r="D614" s="60"/>
      <c r="E614" s="17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60"/>
      <c r="B615" s="60"/>
      <c r="C615" s="60"/>
      <c r="D615" s="60"/>
      <c r="E615" s="17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60"/>
      <c r="B616" s="60"/>
      <c r="C616" s="60"/>
      <c r="D616" s="60"/>
      <c r="E616" s="17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60"/>
      <c r="B617" s="60"/>
      <c r="C617" s="60"/>
      <c r="D617" s="60"/>
      <c r="E617" s="17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60"/>
      <c r="B618" s="60"/>
      <c r="C618" s="60"/>
      <c r="D618" s="60"/>
      <c r="E618" s="17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60"/>
      <c r="B619" s="60"/>
      <c r="C619" s="60"/>
      <c r="D619" s="60"/>
      <c r="E619" s="17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60"/>
      <c r="B620" s="60"/>
      <c r="C620" s="60"/>
      <c r="D620" s="60"/>
      <c r="E620" s="17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60"/>
      <c r="B621" s="60"/>
      <c r="C621" s="60"/>
      <c r="D621" s="60"/>
      <c r="E621" s="17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60"/>
      <c r="B622" s="60"/>
      <c r="C622" s="60"/>
      <c r="D622" s="60"/>
      <c r="E622" s="17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60"/>
      <c r="B623" s="60"/>
      <c r="C623" s="60"/>
      <c r="D623" s="60"/>
      <c r="E623" s="17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60"/>
      <c r="B624" s="60"/>
      <c r="C624" s="60"/>
      <c r="D624" s="60"/>
      <c r="E624" s="17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60"/>
      <c r="B625" s="60"/>
      <c r="C625" s="60"/>
      <c r="D625" s="60"/>
      <c r="E625" s="17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60"/>
      <c r="B626" s="60"/>
      <c r="C626" s="60"/>
      <c r="D626" s="60"/>
      <c r="E626" s="17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60"/>
      <c r="B627" s="60"/>
      <c r="C627" s="60"/>
      <c r="D627" s="60"/>
      <c r="E627" s="17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60"/>
      <c r="B628" s="60"/>
      <c r="C628" s="60"/>
      <c r="D628" s="60"/>
      <c r="E628" s="17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60"/>
      <c r="B629" s="60"/>
      <c r="C629" s="60"/>
      <c r="D629" s="60"/>
      <c r="E629" s="17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60"/>
      <c r="B630" s="60"/>
      <c r="C630" s="60"/>
      <c r="D630" s="60"/>
      <c r="E630" s="17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60"/>
      <c r="B631" s="60"/>
      <c r="C631" s="60"/>
      <c r="D631" s="60"/>
      <c r="E631" s="17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60"/>
      <c r="B632" s="60"/>
      <c r="C632" s="60"/>
      <c r="D632" s="60"/>
      <c r="E632" s="17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60"/>
      <c r="B633" s="60"/>
      <c r="C633" s="60"/>
      <c r="D633" s="60"/>
      <c r="E633" s="17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60"/>
      <c r="B634" s="60"/>
      <c r="C634" s="60"/>
      <c r="D634" s="60"/>
      <c r="E634" s="17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60"/>
      <c r="B635" s="60"/>
      <c r="C635" s="60"/>
      <c r="D635" s="60"/>
      <c r="E635" s="17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60"/>
      <c r="B636" s="60"/>
      <c r="C636" s="60"/>
      <c r="D636" s="60"/>
      <c r="E636" s="17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60"/>
      <c r="B637" s="60"/>
      <c r="C637" s="60"/>
      <c r="D637" s="60"/>
      <c r="E637" s="17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60"/>
      <c r="B638" s="60"/>
      <c r="C638" s="60"/>
      <c r="D638" s="60"/>
      <c r="E638" s="17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60"/>
      <c r="B639" s="60"/>
      <c r="C639" s="60"/>
      <c r="D639" s="60"/>
      <c r="E639" s="17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60"/>
      <c r="B640" s="60"/>
      <c r="C640" s="60"/>
      <c r="D640" s="60"/>
      <c r="E640" s="17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60"/>
      <c r="B641" s="60"/>
      <c r="C641" s="60"/>
      <c r="D641" s="60"/>
      <c r="E641" s="17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60"/>
      <c r="B642" s="60"/>
      <c r="C642" s="60"/>
      <c r="D642" s="60"/>
      <c r="E642" s="17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60"/>
      <c r="B643" s="60"/>
      <c r="C643" s="60"/>
      <c r="D643" s="60"/>
      <c r="E643" s="17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60"/>
      <c r="B644" s="60"/>
      <c r="C644" s="60"/>
      <c r="D644" s="60"/>
      <c r="E644" s="17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60"/>
      <c r="B645" s="60"/>
      <c r="C645" s="60"/>
      <c r="D645" s="60"/>
      <c r="E645" s="17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60"/>
      <c r="B646" s="60"/>
      <c r="C646" s="60"/>
      <c r="D646" s="60"/>
      <c r="E646" s="17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60"/>
      <c r="B647" s="60"/>
      <c r="C647" s="60"/>
      <c r="D647" s="60"/>
      <c r="E647" s="17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60"/>
      <c r="B648" s="60"/>
      <c r="C648" s="60"/>
      <c r="D648" s="60"/>
      <c r="E648" s="17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60"/>
      <c r="B649" s="60"/>
      <c r="C649" s="60"/>
      <c r="D649" s="60"/>
      <c r="E649" s="17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60"/>
      <c r="B650" s="60"/>
      <c r="C650" s="60"/>
      <c r="D650" s="60"/>
      <c r="E650" s="17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60"/>
      <c r="B651" s="60"/>
      <c r="C651" s="60"/>
      <c r="D651" s="60"/>
      <c r="E651" s="17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60"/>
      <c r="B652" s="60"/>
      <c r="C652" s="60"/>
      <c r="D652" s="60"/>
      <c r="E652" s="17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60"/>
      <c r="B653" s="60"/>
      <c r="C653" s="60"/>
      <c r="D653" s="60"/>
      <c r="E653" s="17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60"/>
      <c r="B654" s="60"/>
      <c r="C654" s="60"/>
      <c r="D654" s="60"/>
      <c r="E654" s="17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60"/>
      <c r="B655" s="60"/>
      <c r="C655" s="60"/>
      <c r="D655" s="60"/>
      <c r="E655" s="17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60"/>
      <c r="B656" s="60"/>
      <c r="C656" s="60"/>
      <c r="D656" s="60"/>
      <c r="E656" s="17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60"/>
      <c r="B657" s="60"/>
      <c r="C657" s="60"/>
      <c r="D657" s="60"/>
      <c r="E657" s="17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60"/>
      <c r="B658" s="60"/>
      <c r="C658" s="60"/>
      <c r="D658" s="60"/>
      <c r="E658" s="17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60"/>
      <c r="B659" s="60"/>
      <c r="C659" s="60"/>
      <c r="D659" s="60"/>
      <c r="E659" s="17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60"/>
      <c r="B660" s="60"/>
      <c r="C660" s="60"/>
      <c r="D660" s="60"/>
      <c r="E660" s="17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60"/>
      <c r="B661" s="60"/>
      <c r="C661" s="60"/>
      <c r="D661" s="60"/>
      <c r="E661" s="17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60"/>
      <c r="B662" s="60"/>
      <c r="C662" s="60"/>
      <c r="D662" s="60"/>
      <c r="E662" s="17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60"/>
      <c r="B663" s="60"/>
      <c r="C663" s="60"/>
      <c r="D663" s="60"/>
      <c r="E663" s="17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60"/>
      <c r="B664" s="60"/>
      <c r="C664" s="60"/>
      <c r="D664" s="60"/>
      <c r="E664" s="17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60"/>
      <c r="B665" s="60"/>
      <c r="C665" s="60"/>
      <c r="D665" s="60"/>
      <c r="E665" s="17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60"/>
      <c r="B666" s="60"/>
      <c r="C666" s="60"/>
      <c r="D666" s="60"/>
      <c r="E666" s="17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60"/>
      <c r="B667" s="60"/>
      <c r="C667" s="60"/>
      <c r="D667" s="60"/>
      <c r="E667" s="17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60"/>
      <c r="B668" s="60"/>
      <c r="C668" s="60"/>
      <c r="D668" s="60"/>
      <c r="E668" s="17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60"/>
      <c r="B669" s="60"/>
      <c r="C669" s="60"/>
      <c r="D669" s="60"/>
      <c r="E669" s="17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60"/>
      <c r="B670" s="60"/>
      <c r="C670" s="60"/>
      <c r="D670" s="60"/>
      <c r="E670" s="17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60"/>
      <c r="B671" s="60"/>
      <c r="C671" s="60"/>
      <c r="D671" s="60"/>
      <c r="E671" s="17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60"/>
      <c r="B672" s="60"/>
      <c r="C672" s="60"/>
      <c r="D672" s="60"/>
      <c r="E672" s="17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60"/>
      <c r="B673" s="60"/>
      <c r="C673" s="60"/>
      <c r="D673" s="60"/>
      <c r="E673" s="17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60"/>
      <c r="B674" s="60"/>
      <c r="C674" s="60"/>
      <c r="D674" s="60"/>
      <c r="E674" s="17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60"/>
      <c r="B675" s="60"/>
      <c r="C675" s="60"/>
      <c r="D675" s="60"/>
      <c r="E675" s="17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60"/>
      <c r="B676" s="60"/>
      <c r="C676" s="60"/>
      <c r="D676" s="60"/>
      <c r="E676" s="17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60"/>
      <c r="B677" s="60"/>
      <c r="C677" s="60"/>
      <c r="D677" s="60"/>
      <c r="E677" s="17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60"/>
      <c r="B678" s="60"/>
      <c r="C678" s="60"/>
      <c r="D678" s="60"/>
      <c r="E678" s="17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60"/>
      <c r="B679" s="60"/>
      <c r="C679" s="60"/>
      <c r="D679" s="60"/>
      <c r="E679" s="17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60"/>
      <c r="B680" s="60"/>
      <c r="C680" s="60"/>
      <c r="D680" s="60"/>
      <c r="E680" s="17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60"/>
      <c r="B681" s="60"/>
      <c r="C681" s="60"/>
      <c r="D681" s="60"/>
      <c r="E681" s="17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60"/>
      <c r="B682" s="60"/>
      <c r="C682" s="60"/>
      <c r="D682" s="60"/>
      <c r="E682" s="17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60"/>
      <c r="B683" s="60"/>
      <c r="C683" s="60"/>
      <c r="D683" s="60"/>
      <c r="E683" s="17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60"/>
      <c r="B684" s="60"/>
      <c r="C684" s="60"/>
      <c r="D684" s="60"/>
      <c r="E684" s="17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60"/>
      <c r="B685" s="60"/>
      <c r="C685" s="60"/>
      <c r="D685" s="60"/>
      <c r="E685" s="17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60"/>
      <c r="B686" s="60"/>
      <c r="C686" s="60"/>
      <c r="D686" s="60"/>
      <c r="E686" s="17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60"/>
      <c r="B687" s="60"/>
      <c r="C687" s="60"/>
      <c r="D687" s="60"/>
      <c r="E687" s="17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60"/>
      <c r="B688" s="60"/>
      <c r="C688" s="60"/>
      <c r="D688" s="60"/>
      <c r="E688" s="17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60"/>
      <c r="B689" s="60"/>
      <c r="C689" s="60"/>
      <c r="D689" s="60"/>
      <c r="E689" s="17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60"/>
      <c r="B690" s="60"/>
      <c r="C690" s="60"/>
      <c r="D690" s="60"/>
      <c r="E690" s="17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60"/>
      <c r="B691" s="60"/>
      <c r="C691" s="60"/>
      <c r="D691" s="60"/>
      <c r="E691" s="17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60"/>
      <c r="B692" s="60"/>
      <c r="C692" s="60"/>
      <c r="D692" s="60"/>
      <c r="E692" s="17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60"/>
      <c r="B693" s="60"/>
      <c r="C693" s="60"/>
      <c r="D693" s="60"/>
      <c r="E693" s="17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60"/>
      <c r="B694" s="60"/>
      <c r="C694" s="60"/>
      <c r="D694" s="60"/>
      <c r="E694" s="17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60"/>
      <c r="B695" s="60"/>
      <c r="C695" s="60"/>
      <c r="D695" s="60"/>
      <c r="E695" s="17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60"/>
      <c r="B696" s="60"/>
      <c r="C696" s="60"/>
      <c r="D696" s="60"/>
      <c r="E696" s="17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60"/>
      <c r="B697" s="60"/>
      <c r="C697" s="60"/>
      <c r="D697" s="60"/>
      <c r="E697" s="17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60"/>
      <c r="B698" s="60"/>
      <c r="C698" s="60"/>
      <c r="D698" s="60"/>
      <c r="E698" s="17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60"/>
      <c r="B699" s="60"/>
      <c r="C699" s="60"/>
      <c r="D699" s="60"/>
      <c r="E699" s="17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60"/>
      <c r="B700" s="60"/>
      <c r="C700" s="60"/>
      <c r="D700" s="60"/>
      <c r="E700" s="17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60"/>
      <c r="B701" s="60"/>
      <c r="C701" s="60"/>
      <c r="D701" s="60"/>
      <c r="E701" s="17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60"/>
      <c r="B702" s="60"/>
      <c r="C702" s="60"/>
      <c r="D702" s="60"/>
      <c r="E702" s="17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60"/>
      <c r="B703" s="60"/>
      <c r="C703" s="60"/>
      <c r="D703" s="60"/>
      <c r="E703" s="17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60"/>
      <c r="B704" s="60"/>
      <c r="C704" s="60"/>
      <c r="D704" s="60"/>
      <c r="E704" s="17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60"/>
      <c r="B705" s="60"/>
      <c r="C705" s="60"/>
      <c r="D705" s="60"/>
      <c r="E705" s="17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60"/>
      <c r="B706" s="60"/>
      <c r="C706" s="60"/>
      <c r="D706" s="60"/>
      <c r="E706" s="17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60"/>
      <c r="B707" s="60"/>
      <c r="C707" s="60"/>
      <c r="D707" s="60"/>
      <c r="E707" s="17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60"/>
      <c r="B708" s="60"/>
      <c r="C708" s="60"/>
      <c r="D708" s="60"/>
      <c r="E708" s="17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60"/>
      <c r="B709" s="60"/>
      <c r="C709" s="60"/>
      <c r="D709" s="60"/>
      <c r="E709" s="17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60"/>
      <c r="B710" s="60"/>
      <c r="C710" s="60"/>
      <c r="D710" s="60"/>
      <c r="E710" s="17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60"/>
      <c r="B711" s="60"/>
      <c r="C711" s="60"/>
      <c r="D711" s="60"/>
      <c r="E711" s="17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60"/>
      <c r="B712" s="60"/>
      <c r="C712" s="60"/>
      <c r="D712" s="60"/>
      <c r="E712" s="17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60"/>
      <c r="B713" s="60"/>
      <c r="C713" s="60"/>
      <c r="D713" s="60"/>
      <c r="E713" s="17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60"/>
      <c r="B714" s="60"/>
      <c r="C714" s="60"/>
      <c r="D714" s="60"/>
      <c r="E714" s="17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60"/>
      <c r="B715" s="60"/>
      <c r="C715" s="60"/>
      <c r="D715" s="60"/>
      <c r="E715" s="17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60"/>
      <c r="B716" s="60"/>
      <c r="C716" s="60"/>
      <c r="D716" s="60"/>
      <c r="E716" s="17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60"/>
      <c r="B717" s="60"/>
      <c r="C717" s="60"/>
      <c r="D717" s="60"/>
      <c r="E717" s="17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60"/>
      <c r="B718" s="60"/>
      <c r="C718" s="60"/>
      <c r="D718" s="60"/>
      <c r="E718" s="17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60"/>
      <c r="B719" s="60"/>
      <c r="C719" s="60"/>
      <c r="D719" s="60"/>
      <c r="E719" s="17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60"/>
      <c r="B720" s="60"/>
      <c r="C720" s="60"/>
      <c r="D720" s="60"/>
      <c r="E720" s="17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60"/>
      <c r="B721" s="60"/>
      <c r="C721" s="60"/>
      <c r="D721" s="60"/>
      <c r="E721" s="17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60"/>
      <c r="B722" s="60"/>
      <c r="C722" s="60"/>
      <c r="D722" s="60"/>
      <c r="E722" s="17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60"/>
      <c r="B723" s="60"/>
      <c r="C723" s="60"/>
      <c r="D723" s="60"/>
      <c r="E723" s="17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60"/>
      <c r="B724" s="60"/>
      <c r="C724" s="60"/>
      <c r="D724" s="60"/>
      <c r="E724" s="17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60"/>
      <c r="B725" s="60"/>
      <c r="C725" s="60"/>
      <c r="D725" s="60"/>
      <c r="E725" s="17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60"/>
      <c r="B726" s="60"/>
      <c r="C726" s="60"/>
      <c r="D726" s="60"/>
      <c r="E726" s="17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60"/>
      <c r="B727" s="60"/>
      <c r="C727" s="60"/>
      <c r="D727" s="60"/>
      <c r="E727" s="17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60"/>
      <c r="B728" s="60"/>
      <c r="C728" s="60"/>
      <c r="D728" s="60"/>
      <c r="E728" s="17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60"/>
      <c r="B729" s="60"/>
      <c r="C729" s="60"/>
      <c r="D729" s="60"/>
      <c r="E729" s="17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60"/>
      <c r="B730" s="60"/>
      <c r="C730" s="60"/>
      <c r="D730" s="60"/>
      <c r="E730" s="17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60"/>
      <c r="B731" s="60"/>
      <c r="C731" s="60"/>
      <c r="D731" s="60"/>
      <c r="E731" s="17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60"/>
      <c r="B732" s="60"/>
      <c r="C732" s="60"/>
      <c r="D732" s="60"/>
      <c r="E732" s="17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60"/>
      <c r="B733" s="60"/>
      <c r="C733" s="60"/>
      <c r="D733" s="60"/>
      <c r="E733" s="17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60"/>
      <c r="B734" s="60"/>
      <c r="C734" s="60"/>
      <c r="D734" s="60"/>
      <c r="E734" s="17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60"/>
      <c r="B735" s="60"/>
      <c r="C735" s="60"/>
      <c r="D735" s="60"/>
      <c r="E735" s="17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60"/>
      <c r="B736" s="60"/>
      <c r="C736" s="60"/>
      <c r="D736" s="60"/>
      <c r="E736" s="17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60"/>
      <c r="B737" s="60"/>
      <c r="C737" s="60"/>
      <c r="D737" s="60"/>
      <c r="E737" s="17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60"/>
      <c r="B738" s="60"/>
      <c r="C738" s="60"/>
      <c r="D738" s="60"/>
      <c r="E738" s="17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60"/>
      <c r="B739" s="60"/>
      <c r="C739" s="60"/>
      <c r="D739" s="60"/>
      <c r="E739" s="17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60"/>
      <c r="B740" s="60"/>
      <c r="C740" s="60"/>
      <c r="D740" s="60"/>
      <c r="E740" s="17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60"/>
      <c r="B741" s="60"/>
      <c r="C741" s="60"/>
      <c r="D741" s="60"/>
      <c r="E741" s="17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60"/>
      <c r="B742" s="60"/>
      <c r="C742" s="60"/>
      <c r="D742" s="60"/>
      <c r="E742" s="17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60"/>
      <c r="B743" s="60"/>
      <c r="C743" s="60"/>
      <c r="D743" s="60"/>
      <c r="E743" s="17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60"/>
      <c r="B744" s="60"/>
      <c r="C744" s="60"/>
      <c r="D744" s="60"/>
      <c r="E744" s="17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60"/>
      <c r="B745" s="60"/>
      <c r="C745" s="60"/>
      <c r="D745" s="60"/>
      <c r="E745" s="17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60"/>
      <c r="B746" s="60"/>
      <c r="C746" s="60"/>
      <c r="D746" s="60"/>
      <c r="E746" s="17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60"/>
      <c r="B747" s="60"/>
      <c r="C747" s="60"/>
      <c r="D747" s="60"/>
      <c r="E747" s="17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60"/>
      <c r="B748" s="60"/>
      <c r="C748" s="60"/>
      <c r="D748" s="60"/>
      <c r="E748" s="17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60"/>
      <c r="B749" s="60"/>
      <c r="C749" s="60"/>
      <c r="D749" s="60"/>
      <c r="E749" s="17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60"/>
      <c r="B750" s="60"/>
      <c r="C750" s="60"/>
      <c r="D750" s="60"/>
      <c r="E750" s="17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60"/>
      <c r="B751" s="60"/>
      <c r="C751" s="60"/>
      <c r="D751" s="60"/>
      <c r="E751" s="17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60"/>
      <c r="B752" s="60"/>
      <c r="C752" s="60"/>
      <c r="D752" s="60"/>
      <c r="E752" s="17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60"/>
      <c r="B753" s="60"/>
      <c r="C753" s="60"/>
      <c r="D753" s="60"/>
      <c r="E753" s="17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60"/>
      <c r="B754" s="60"/>
      <c r="C754" s="60"/>
      <c r="D754" s="60"/>
      <c r="E754" s="17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60"/>
      <c r="B755" s="60"/>
      <c r="C755" s="60"/>
      <c r="D755" s="60"/>
      <c r="E755" s="17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60"/>
      <c r="B756" s="60"/>
      <c r="C756" s="60"/>
      <c r="D756" s="60"/>
      <c r="E756" s="17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60"/>
      <c r="B757" s="60"/>
      <c r="C757" s="60"/>
      <c r="D757" s="60"/>
      <c r="E757" s="17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60"/>
      <c r="B758" s="60"/>
      <c r="C758" s="60"/>
      <c r="D758" s="60"/>
      <c r="E758" s="17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60"/>
      <c r="B759" s="60"/>
      <c r="C759" s="60"/>
      <c r="D759" s="60"/>
      <c r="E759" s="17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60"/>
      <c r="B760" s="60"/>
      <c r="C760" s="60"/>
      <c r="D760" s="60"/>
      <c r="E760" s="17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60"/>
      <c r="B761" s="60"/>
      <c r="C761" s="60"/>
      <c r="D761" s="60"/>
      <c r="E761" s="17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60"/>
      <c r="B762" s="60"/>
      <c r="C762" s="60"/>
      <c r="D762" s="60"/>
      <c r="E762" s="17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60"/>
      <c r="B763" s="60"/>
      <c r="C763" s="60"/>
      <c r="D763" s="60"/>
      <c r="E763" s="17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60"/>
      <c r="B764" s="60"/>
      <c r="C764" s="60"/>
      <c r="D764" s="60"/>
      <c r="E764" s="17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60"/>
      <c r="B765" s="60"/>
      <c r="C765" s="60"/>
      <c r="D765" s="60"/>
      <c r="E765" s="17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60"/>
      <c r="B766" s="60"/>
      <c r="C766" s="60"/>
      <c r="D766" s="60"/>
      <c r="E766" s="17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60"/>
      <c r="B767" s="60"/>
      <c r="C767" s="60"/>
      <c r="D767" s="60"/>
      <c r="E767" s="17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60"/>
      <c r="B768" s="60"/>
      <c r="C768" s="60"/>
      <c r="D768" s="60"/>
      <c r="E768" s="17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60"/>
      <c r="B769" s="60"/>
      <c r="C769" s="60"/>
      <c r="D769" s="60"/>
      <c r="E769" s="17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60"/>
      <c r="B770" s="60"/>
      <c r="C770" s="60"/>
      <c r="D770" s="60"/>
      <c r="E770" s="17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60"/>
      <c r="B771" s="60"/>
      <c r="C771" s="60"/>
      <c r="D771" s="60"/>
      <c r="E771" s="17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60"/>
      <c r="B772" s="60"/>
      <c r="C772" s="60"/>
      <c r="D772" s="60"/>
      <c r="E772" s="17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60"/>
      <c r="B773" s="60"/>
      <c r="C773" s="60"/>
      <c r="D773" s="60"/>
      <c r="E773" s="17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60"/>
      <c r="B774" s="60"/>
      <c r="C774" s="60"/>
      <c r="D774" s="60"/>
      <c r="E774" s="17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60"/>
      <c r="B775" s="60"/>
      <c r="C775" s="60"/>
      <c r="D775" s="60"/>
      <c r="E775" s="17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60"/>
      <c r="B776" s="60"/>
      <c r="C776" s="60"/>
      <c r="D776" s="60"/>
      <c r="E776" s="17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60"/>
      <c r="B777" s="60"/>
      <c r="C777" s="60"/>
      <c r="D777" s="60"/>
      <c r="E777" s="17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60"/>
      <c r="B778" s="60"/>
      <c r="C778" s="60"/>
      <c r="D778" s="60"/>
      <c r="E778" s="17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60"/>
      <c r="B779" s="60"/>
      <c r="C779" s="60"/>
      <c r="D779" s="60"/>
      <c r="E779" s="17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60"/>
      <c r="B780" s="60"/>
      <c r="C780" s="60"/>
      <c r="D780" s="60"/>
      <c r="E780" s="17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60"/>
      <c r="B781" s="60"/>
      <c r="C781" s="60"/>
      <c r="D781" s="60"/>
      <c r="E781" s="17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60"/>
      <c r="B782" s="60"/>
      <c r="C782" s="60"/>
      <c r="D782" s="60"/>
      <c r="E782" s="17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60"/>
      <c r="B783" s="60"/>
      <c r="C783" s="60"/>
      <c r="D783" s="60"/>
      <c r="E783" s="17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60"/>
      <c r="B784" s="60"/>
      <c r="C784" s="60"/>
      <c r="D784" s="60"/>
      <c r="E784" s="17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60"/>
      <c r="B785" s="60"/>
      <c r="C785" s="60"/>
      <c r="D785" s="60"/>
      <c r="E785" s="17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60"/>
      <c r="B786" s="60"/>
      <c r="C786" s="60"/>
      <c r="D786" s="60"/>
      <c r="E786" s="17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60"/>
      <c r="B787" s="60"/>
      <c r="C787" s="60"/>
      <c r="D787" s="60"/>
      <c r="E787" s="17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60"/>
      <c r="B788" s="60"/>
      <c r="C788" s="60"/>
      <c r="D788" s="60"/>
      <c r="E788" s="17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60"/>
      <c r="B789" s="60"/>
      <c r="C789" s="60"/>
      <c r="D789" s="60"/>
      <c r="E789" s="17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60"/>
      <c r="B790" s="60"/>
      <c r="C790" s="60"/>
      <c r="D790" s="60"/>
      <c r="E790" s="17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60"/>
      <c r="B791" s="60"/>
      <c r="C791" s="60"/>
      <c r="D791" s="60"/>
      <c r="E791" s="17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60"/>
      <c r="B792" s="60"/>
      <c r="C792" s="60"/>
      <c r="D792" s="60"/>
      <c r="E792" s="17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60"/>
      <c r="B793" s="60"/>
      <c r="C793" s="60"/>
      <c r="D793" s="60"/>
      <c r="E793" s="17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60"/>
      <c r="B794" s="60"/>
      <c r="C794" s="60"/>
      <c r="D794" s="60"/>
      <c r="E794" s="17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60"/>
      <c r="B795" s="60"/>
      <c r="C795" s="60"/>
      <c r="D795" s="60"/>
      <c r="E795" s="17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60"/>
      <c r="B796" s="60"/>
      <c r="C796" s="60"/>
      <c r="D796" s="60"/>
      <c r="E796" s="17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60"/>
      <c r="B797" s="60"/>
      <c r="C797" s="60"/>
      <c r="D797" s="60"/>
      <c r="E797" s="17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60"/>
      <c r="B798" s="60"/>
      <c r="C798" s="60"/>
      <c r="D798" s="60"/>
      <c r="E798" s="17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60"/>
      <c r="B799" s="60"/>
      <c r="C799" s="60"/>
      <c r="D799" s="60"/>
      <c r="E799" s="17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60"/>
      <c r="B800" s="60"/>
      <c r="C800" s="60"/>
      <c r="D800" s="60"/>
      <c r="E800" s="17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60"/>
      <c r="B801" s="60"/>
      <c r="C801" s="60"/>
      <c r="D801" s="60"/>
      <c r="E801" s="17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60"/>
      <c r="B802" s="60"/>
      <c r="C802" s="60"/>
      <c r="D802" s="60"/>
      <c r="E802" s="17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60"/>
      <c r="B803" s="60"/>
      <c r="C803" s="60"/>
      <c r="D803" s="60"/>
      <c r="E803" s="17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60"/>
      <c r="B804" s="60"/>
      <c r="C804" s="60"/>
      <c r="D804" s="60"/>
      <c r="E804" s="17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60"/>
      <c r="B805" s="60"/>
      <c r="C805" s="60"/>
      <c r="D805" s="60"/>
      <c r="E805" s="17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60"/>
      <c r="B806" s="60"/>
      <c r="C806" s="60"/>
      <c r="D806" s="60"/>
      <c r="E806" s="17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60"/>
      <c r="B807" s="60"/>
      <c r="C807" s="60"/>
      <c r="D807" s="60"/>
      <c r="E807" s="17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60"/>
      <c r="B808" s="60"/>
      <c r="C808" s="60"/>
      <c r="D808" s="60"/>
      <c r="E808" s="17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60"/>
      <c r="B809" s="60"/>
      <c r="C809" s="60"/>
      <c r="D809" s="60"/>
      <c r="E809" s="17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60"/>
      <c r="B810" s="60"/>
      <c r="C810" s="60"/>
      <c r="D810" s="60"/>
      <c r="E810" s="17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60"/>
      <c r="B811" s="60"/>
      <c r="C811" s="60"/>
      <c r="D811" s="60"/>
      <c r="E811" s="17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60"/>
      <c r="B812" s="60"/>
      <c r="C812" s="60"/>
      <c r="D812" s="60"/>
      <c r="E812" s="17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60"/>
      <c r="B813" s="60"/>
      <c r="C813" s="60"/>
      <c r="D813" s="60"/>
      <c r="E813" s="17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60"/>
      <c r="B814" s="60"/>
      <c r="C814" s="60"/>
      <c r="D814" s="60"/>
      <c r="E814" s="17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60"/>
      <c r="B815" s="60"/>
      <c r="C815" s="60"/>
      <c r="D815" s="60"/>
      <c r="E815" s="17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60"/>
      <c r="B816" s="60"/>
      <c r="C816" s="60"/>
      <c r="D816" s="60"/>
      <c r="E816" s="17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60"/>
      <c r="B817" s="60"/>
      <c r="C817" s="60"/>
      <c r="D817" s="60"/>
      <c r="E817" s="17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60"/>
      <c r="B818" s="60"/>
      <c r="C818" s="60"/>
      <c r="D818" s="60"/>
      <c r="E818" s="17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60"/>
      <c r="B819" s="60"/>
      <c r="C819" s="60"/>
      <c r="D819" s="60"/>
      <c r="E819" s="17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60"/>
      <c r="B820" s="60"/>
      <c r="C820" s="60"/>
      <c r="D820" s="60"/>
      <c r="E820" s="17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60"/>
      <c r="B821" s="60"/>
      <c r="C821" s="60"/>
      <c r="D821" s="60"/>
      <c r="E821" s="17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60"/>
      <c r="B822" s="60"/>
      <c r="C822" s="60"/>
      <c r="D822" s="60"/>
      <c r="E822" s="17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60"/>
      <c r="B823" s="60"/>
      <c r="C823" s="60"/>
      <c r="D823" s="60"/>
      <c r="E823" s="17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60"/>
      <c r="B824" s="60"/>
      <c r="C824" s="60"/>
      <c r="D824" s="60"/>
      <c r="E824" s="17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60"/>
      <c r="B825" s="60"/>
      <c r="C825" s="60"/>
      <c r="D825" s="60"/>
      <c r="E825" s="17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60"/>
      <c r="B826" s="60"/>
      <c r="C826" s="60"/>
      <c r="D826" s="60"/>
      <c r="E826" s="17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60"/>
      <c r="B827" s="60"/>
      <c r="C827" s="60"/>
      <c r="D827" s="60"/>
      <c r="E827" s="17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60"/>
      <c r="B828" s="60"/>
      <c r="C828" s="60"/>
      <c r="D828" s="60"/>
      <c r="E828" s="17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60"/>
      <c r="B829" s="60"/>
      <c r="C829" s="60"/>
      <c r="D829" s="60"/>
      <c r="E829" s="17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60"/>
      <c r="B830" s="60"/>
      <c r="C830" s="60"/>
      <c r="D830" s="60"/>
      <c r="E830" s="17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60"/>
      <c r="B831" s="60"/>
      <c r="C831" s="60"/>
      <c r="D831" s="60"/>
      <c r="E831" s="17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60"/>
      <c r="B832" s="60"/>
      <c r="C832" s="60"/>
      <c r="D832" s="60"/>
      <c r="E832" s="17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60"/>
      <c r="B833" s="60"/>
      <c r="C833" s="60"/>
      <c r="D833" s="60"/>
      <c r="E833" s="17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60"/>
      <c r="B834" s="60"/>
      <c r="C834" s="60"/>
      <c r="D834" s="60"/>
      <c r="E834" s="17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60"/>
      <c r="B835" s="60"/>
      <c r="C835" s="60"/>
      <c r="D835" s="60"/>
      <c r="E835" s="17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60"/>
      <c r="B836" s="60"/>
      <c r="C836" s="60"/>
      <c r="D836" s="60"/>
      <c r="E836" s="17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60"/>
      <c r="B837" s="60"/>
      <c r="C837" s="60"/>
      <c r="D837" s="60"/>
      <c r="E837" s="17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60"/>
      <c r="B838" s="60"/>
      <c r="C838" s="60"/>
      <c r="D838" s="60"/>
      <c r="E838" s="17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60"/>
      <c r="B839" s="60"/>
      <c r="C839" s="60"/>
      <c r="D839" s="60"/>
      <c r="E839" s="17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60"/>
      <c r="B840" s="60"/>
      <c r="C840" s="60"/>
      <c r="D840" s="60"/>
      <c r="E840" s="17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60"/>
      <c r="B841" s="60"/>
      <c r="C841" s="60"/>
      <c r="D841" s="60"/>
      <c r="E841" s="17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60"/>
      <c r="B842" s="60"/>
      <c r="C842" s="60"/>
      <c r="D842" s="60"/>
      <c r="E842" s="17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60"/>
      <c r="B843" s="60"/>
      <c r="C843" s="60"/>
      <c r="D843" s="60"/>
      <c r="E843" s="17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60"/>
      <c r="B844" s="60"/>
      <c r="C844" s="60"/>
      <c r="D844" s="60"/>
      <c r="E844" s="17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60"/>
      <c r="B845" s="60"/>
      <c r="C845" s="60"/>
      <c r="D845" s="60"/>
      <c r="E845" s="17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60"/>
      <c r="B846" s="60"/>
      <c r="C846" s="60"/>
      <c r="D846" s="60"/>
      <c r="E846" s="17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60"/>
      <c r="B847" s="60"/>
      <c r="C847" s="60"/>
      <c r="D847" s="60"/>
      <c r="E847" s="17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60"/>
      <c r="B848" s="60"/>
      <c r="C848" s="60"/>
      <c r="D848" s="60"/>
      <c r="E848" s="17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60"/>
      <c r="B849" s="60"/>
      <c r="C849" s="60"/>
      <c r="D849" s="60"/>
      <c r="E849" s="17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60"/>
      <c r="B850" s="60"/>
      <c r="C850" s="60"/>
      <c r="D850" s="60"/>
      <c r="E850" s="17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60"/>
      <c r="B851" s="60"/>
      <c r="C851" s="60"/>
      <c r="D851" s="60"/>
      <c r="E851" s="17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60"/>
      <c r="B852" s="60"/>
      <c r="C852" s="60"/>
      <c r="D852" s="60"/>
      <c r="E852" s="17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60"/>
      <c r="B853" s="60"/>
      <c r="C853" s="60"/>
      <c r="D853" s="60"/>
      <c r="E853" s="17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60"/>
      <c r="B854" s="60"/>
      <c r="C854" s="60"/>
      <c r="D854" s="60"/>
      <c r="E854" s="17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60"/>
      <c r="B855" s="60"/>
      <c r="C855" s="60"/>
      <c r="D855" s="60"/>
      <c r="E855" s="17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60"/>
      <c r="B856" s="60"/>
      <c r="C856" s="60"/>
      <c r="D856" s="60"/>
      <c r="E856" s="17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60"/>
      <c r="B857" s="60"/>
      <c r="C857" s="60"/>
      <c r="D857" s="60"/>
      <c r="E857" s="17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60"/>
      <c r="B858" s="60"/>
      <c r="C858" s="60"/>
      <c r="D858" s="60"/>
      <c r="E858" s="17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60"/>
      <c r="B859" s="60"/>
      <c r="C859" s="60"/>
      <c r="D859" s="60"/>
      <c r="E859" s="17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60"/>
      <c r="B860" s="60"/>
      <c r="C860" s="60"/>
      <c r="D860" s="60"/>
      <c r="E860" s="17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60"/>
      <c r="B861" s="60"/>
      <c r="C861" s="60"/>
      <c r="D861" s="60"/>
      <c r="E861" s="17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60"/>
      <c r="B862" s="60"/>
      <c r="C862" s="60"/>
      <c r="D862" s="60"/>
      <c r="E862" s="17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60"/>
      <c r="B863" s="60"/>
      <c r="C863" s="60"/>
      <c r="D863" s="60"/>
      <c r="E863" s="17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60"/>
      <c r="B864" s="60"/>
      <c r="C864" s="60"/>
      <c r="D864" s="60"/>
      <c r="E864" s="17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60"/>
      <c r="B865" s="60"/>
      <c r="C865" s="60"/>
      <c r="D865" s="60"/>
      <c r="E865" s="17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60"/>
      <c r="B866" s="60"/>
      <c r="C866" s="60"/>
      <c r="D866" s="60"/>
      <c r="E866" s="17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60"/>
      <c r="B867" s="60"/>
      <c r="C867" s="60"/>
      <c r="D867" s="60"/>
      <c r="E867" s="17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60"/>
      <c r="B868" s="60"/>
      <c r="C868" s="60"/>
      <c r="D868" s="60"/>
      <c r="E868" s="17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60"/>
      <c r="B869" s="60"/>
      <c r="C869" s="60"/>
      <c r="D869" s="60"/>
      <c r="E869" s="17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60"/>
      <c r="B870" s="60"/>
      <c r="C870" s="60"/>
      <c r="D870" s="60"/>
      <c r="E870" s="17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60"/>
      <c r="B871" s="60"/>
      <c r="C871" s="60"/>
      <c r="D871" s="60"/>
      <c r="E871" s="17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60"/>
      <c r="B872" s="60"/>
      <c r="C872" s="60"/>
      <c r="D872" s="60"/>
      <c r="E872" s="17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60"/>
      <c r="B873" s="60"/>
      <c r="C873" s="60"/>
      <c r="D873" s="60"/>
      <c r="E873" s="17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60"/>
      <c r="B874" s="60"/>
      <c r="C874" s="60"/>
      <c r="D874" s="60"/>
      <c r="E874" s="17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60"/>
      <c r="B875" s="60"/>
      <c r="C875" s="60"/>
      <c r="D875" s="60"/>
      <c r="E875" s="17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60"/>
      <c r="B876" s="60"/>
      <c r="C876" s="60"/>
      <c r="D876" s="60"/>
      <c r="E876" s="17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60"/>
      <c r="B877" s="60"/>
      <c r="C877" s="60"/>
      <c r="D877" s="60"/>
      <c r="E877" s="17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60"/>
      <c r="B878" s="60"/>
      <c r="C878" s="60"/>
      <c r="D878" s="60"/>
      <c r="E878" s="17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60"/>
      <c r="B879" s="60"/>
      <c r="C879" s="60"/>
      <c r="D879" s="60"/>
      <c r="E879" s="17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60"/>
      <c r="B880" s="60"/>
      <c r="C880" s="60"/>
      <c r="D880" s="60"/>
      <c r="E880" s="17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60"/>
      <c r="B881" s="60"/>
      <c r="C881" s="60"/>
      <c r="D881" s="60"/>
      <c r="E881" s="17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60"/>
      <c r="B882" s="60"/>
      <c r="C882" s="60"/>
      <c r="D882" s="60"/>
      <c r="E882" s="17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60"/>
      <c r="B883" s="60"/>
      <c r="C883" s="60"/>
      <c r="D883" s="60"/>
      <c r="E883" s="17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60"/>
      <c r="B884" s="60"/>
      <c r="C884" s="60"/>
      <c r="D884" s="60"/>
      <c r="E884" s="17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60"/>
      <c r="B885" s="60"/>
      <c r="C885" s="60"/>
      <c r="D885" s="60"/>
      <c r="E885" s="17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60"/>
      <c r="B886" s="60"/>
      <c r="C886" s="60"/>
      <c r="D886" s="60"/>
      <c r="E886" s="17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60"/>
      <c r="B887" s="60"/>
      <c r="C887" s="60"/>
      <c r="D887" s="60"/>
      <c r="E887" s="17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60"/>
      <c r="B888" s="60"/>
      <c r="C888" s="60"/>
      <c r="D888" s="60"/>
      <c r="E888" s="17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60"/>
      <c r="B889" s="60"/>
      <c r="C889" s="60"/>
      <c r="D889" s="60"/>
      <c r="E889" s="17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60"/>
      <c r="B890" s="60"/>
      <c r="C890" s="60"/>
      <c r="D890" s="60"/>
      <c r="E890" s="17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60"/>
      <c r="B891" s="60"/>
      <c r="C891" s="60"/>
      <c r="D891" s="60"/>
      <c r="E891" s="17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60"/>
      <c r="B892" s="60"/>
      <c r="C892" s="60"/>
      <c r="D892" s="60"/>
      <c r="E892" s="17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60"/>
      <c r="B893" s="60"/>
      <c r="C893" s="60"/>
      <c r="D893" s="60"/>
      <c r="E893" s="17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60"/>
      <c r="B894" s="60"/>
      <c r="C894" s="60"/>
      <c r="D894" s="60"/>
      <c r="E894" s="17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60"/>
      <c r="B895" s="60"/>
      <c r="C895" s="60"/>
      <c r="D895" s="60"/>
      <c r="E895" s="17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60"/>
      <c r="B896" s="60"/>
      <c r="C896" s="60"/>
      <c r="D896" s="60"/>
      <c r="E896" s="17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60"/>
      <c r="B897" s="60"/>
      <c r="C897" s="60"/>
      <c r="D897" s="60"/>
      <c r="E897" s="17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60"/>
      <c r="B898" s="60"/>
      <c r="C898" s="60"/>
      <c r="D898" s="60"/>
      <c r="E898" s="17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60"/>
      <c r="B899" s="60"/>
      <c r="C899" s="60"/>
      <c r="D899" s="60"/>
      <c r="E899" s="17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60"/>
      <c r="B900" s="60"/>
      <c r="C900" s="60"/>
      <c r="D900" s="60"/>
      <c r="E900" s="17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60"/>
      <c r="B901" s="60"/>
      <c r="C901" s="60"/>
      <c r="D901" s="60"/>
      <c r="E901" s="17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60"/>
      <c r="B902" s="60"/>
      <c r="C902" s="60"/>
      <c r="D902" s="60"/>
      <c r="E902" s="17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60"/>
      <c r="B903" s="60"/>
      <c r="C903" s="60"/>
      <c r="D903" s="60"/>
      <c r="E903" s="17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60"/>
      <c r="B904" s="60"/>
      <c r="C904" s="60"/>
      <c r="D904" s="60"/>
      <c r="E904" s="17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60"/>
      <c r="B905" s="60"/>
      <c r="C905" s="60"/>
      <c r="D905" s="60"/>
      <c r="E905" s="17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60"/>
      <c r="B906" s="60"/>
      <c r="C906" s="60"/>
      <c r="D906" s="60"/>
      <c r="E906" s="17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60"/>
      <c r="B907" s="60"/>
      <c r="C907" s="60"/>
      <c r="D907" s="60"/>
      <c r="E907" s="17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60"/>
      <c r="B908" s="60"/>
      <c r="C908" s="60"/>
      <c r="D908" s="60"/>
      <c r="E908" s="17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60"/>
      <c r="B909" s="60"/>
      <c r="C909" s="60"/>
      <c r="D909" s="60"/>
      <c r="E909" s="17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60"/>
      <c r="B910" s="60"/>
      <c r="C910" s="60"/>
      <c r="D910" s="60"/>
      <c r="E910" s="17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60"/>
      <c r="B911" s="60"/>
      <c r="C911" s="60"/>
      <c r="D911" s="60"/>
      <c r="E911" s="17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60"/>
      <c r="B912" s="60"/>
      <c r="C912" s="60"/>
      <c r="D912" s="60"/>
      <c r="E912" s="17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60"/>
      <c r="B913" s="60"/>
      <c r="C913" s="60"/>
      <c r="D913" s="60"/>
      <c r="E913" s="17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60"/>
      <c r="B914" s="60"/>
      <c r="C914" s="60"/>
      <c r="D914" s="60"/>
      <c r="E914" s="17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60"/>
      <c r="B915" s="60"/>
      <c r="C915" s="60"/>
      <c r="D915" s="60"/>
      <c r="E915" s="17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60"/>
      <c r="B916" s="60"/>
      <c r="C916" s="60"/>
      <c r="D916" s="60"/>
      <c r="E916" s="17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60"/>
      <c r="B917" s="60"/>
      <c r="C917" s="60"/>
      <c r="D917" s="60"/>
      <c r="E917" s="17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60"/>
      <c r="B918" s="60"/>
      <c r="C918" s="60"/>
      <c r="D918" s="60"/>
      <c r="E918" s="17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60"/>
      <c r="B919" s="60"/>
      <c r="C919" s="60"/>
      <c r="D919" s="60"/>
      <c r="E919" s="17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60"/>
      <c r="B920" s="60"/>
      <c r="C920" s="60"/>
      <c r="D920" s="60"/>
      <c r="E920" s="17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60"/>
      <c r="B921" s="60"/>
      <c r="C921" s="60"/>
      <c r="D921" s="60"/>
      <c r="E921" s="17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60"/>
      <c r="B922" s="60"/>
      <c r="C922" s="60"/>
      <c r="D922" s="60"/>
      <c r="E922" s="17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60"/>
      <c r="B923" s="60"/>
      <c r="C923" s="60"/>
      <c r="D923" s="60"/>
      <c r="E923" s="17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60"/>
      <c r="B924" s="60"/>
      <c r="C924" s="60"/>
      <c r="D924" s="60"/>
      <c r="E924" s="17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60"/>
      <c r="B925" s="60"/>
      <c r="C925" s="60"/>
      <c r="D925" s="60"/>
      <c r="E925" s="17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60"/>
      <c r="B926" s="60"/>
      <c r="C926" s="60"/>
      <c r="D926" s="60"/>
      <c r="E926" s="17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60"/>
      <c r="B927" s="60"/>
      <c r="C927" s="60"/>
      <c r="D927" s="60"/>
      <c r="E927" s="17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60"/>
      <c r="B928" s="60"/>
      <c r="C928" s="60"/>
      <c r="D928" s="60"/>
      <c r="E928" s="17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60"/>
      <c r="B929" s="60"/>
      <c r="C929" s="60"/>
      <c r="D929" s="60"/>
      <c r="E929" s="17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60"/>
      <c r="B930" s="60"/>
      <c r="C930" s="60"/>
      <c r="D930" s="60"/>
      <c r="E930" s="17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60"/>
      <c r="B931" s="60"/>
      <c r="C931" s="60"/>
      <c r="D931" s="60"/>
      <c r="E931" s="17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60"/>
      <c r="B932" s="60"/>
      <c r="C932" s="60"/>
      <c r="D932" s="60"/>
      <c r="E932" s="17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60"/>
      <c r="B933" s="60"/>
      <c r="C933" s="60"/>
      <c r="D933" s="60"/>
      <c r="E933" s="17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60"/>
      <c r="B934" s="60"/>
      <c r="C934" s="60"/>
      <c r="D934" s="60"/>
      <c r="E934" s="17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60"/>
      <c r="B935" s="60"/>
      <c r="C935" s="60"/>
      <c r="D935" s="60"/>
      <c r="E935" s="17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60"/>
      <c r="B936" s="60"/>
      <c r="C936" s="60"/>
      <c r="D936" s="60"/>
      <c r="E936" s="17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60"/>
      <c r="B937" s="60"/>
      <c r="C937" s="60"/>
      <c r="D937" s="60"/>
      <c r="E937" s="17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60"/>
      <c r="B938" s="60"/>
      <c r="C938" s="60"/>
      <c r="D938" s="60"/>
      <c r="E938" s="17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60"/>
      <c r="B939" s="60"/>
      <c r="C939" s="60"/>
      <c r="D939" s="60"/>
      <c r="E939" s="17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60"/>
      <c r="B940" s="60"/>
      <c r="C940" s="60"/>
      <c r="D940" s="60"/>
      <c r="E940" s="17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60"/>
      <c r="B941" s="60"/>
      <c r="C941" s="60"/>
      <c r="D941" s="60"/>
      <c r="E941" s="17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60"/>
      <c r="B942" s="60"/>
      <c r="C942" s="60"/>
      <c r="D942" s="60"/>
      <c r="E942" s="17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60"/>
      <c r="B943" s="60"/>
      <c r="C943" s="60"/>
      <c r="D943" s="60"/>
      <c r="E943" s="17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60"/>
      <c r="B944" s="60"/>
      <c r="C944" s="60"/>
      <c r="D944" s="60"/>
      <c r="E944" s="17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60"/>
      <c r="B945" s="60"/>
      <c r="C945" s="60"/>
      <c r="D945" s="60"/>
      <c r="E945" s="17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60"/>
      <c r="B946" s="60"/>
      <c r="C946" s="60"/>
      <c r="D946" s="60"/>
      <c r="E946" s="17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60"/>
      <c r="B947" s="60"/>
      <c r="C947" s="60"/>
      <c r="D947" s="60"/>
      <c r="E947" s="17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60"/>
      <c r="B948" s="60"/>
      <c r="C948" s="60"/>
      <c r="D948" s="60"/>
      <c r="E948" s="17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60"/>
      <c r="B949" s="60"/>
      <c r="C949" s="60"/>
      <c r="D949" s="60"/>
      <c r="E949" s="17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60"/>
      <c r="B950" s="60"/>
      <c r="C950" s="60"/>
      <c r="D950" s="60"/>
      <c r="E950" s="17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60"/>
      <c r="B951" s="60"/>
      <c r="C951" s="60"/>
      <c r="D951" s="60"/>
      <c r="E951" s="17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60"/>
      <c r="B952" s="60"/>
      <c r="C952" s="60"/>
      <c r="D952" s="60"/>
      <c r="E952" s="17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60"/>
      <c r="B953" s="60"/>
      <c r="C953" s="60"/>
      <c r="D953" s="60"/>
      <c r="E953" s="17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60"/>
      <c r="B954" s="60"/>
      <c r="C954" s="60"/>
      <c r="D954" s="60"/>
      <c r="E954" s="17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60"/>
      <c r="B955" s="60"/>
      <c r="C955" s="60"/>
      <c r="D955" s="60"/>
      <c r="E955" s="17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60"/>
      <c r="B956" s="60"/>
      <c r="C956" s="60"/>
      <c r="D956" s="60"/>
      <c r="E956" s="17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60"/>
      <c r="B957" s="60"/>
      <c r="C957" s="60"/>
      <c r="D957" s="60"/>
      <c r="E957" s="17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60"/>
      <c r="B958" s="60"/>
      <c r="C958" s="60"/>
      <c r="D958" s="60"/>
      <c r="E958" s="17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60"/>
      <c r="B959" s="60"/>
      <c r="C959" s="60"/>
      <c r="D959" s="60"/>
      <c r="E959" s="17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60"/>
      <c r="B960" s="60"/>
      <c r="C960" s="60"/>
      <c r="D960" s="60"/>
      <c r="E960" s="17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60"/>
      <c r="B961" s="60"/>
      <c r="C961" s="60"/>
      <c r="D961" s="60"/>
      <c r="E961" s="17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60"/>
      <c r="B962" s="60"/>
      <c r="C962" s="60"/>
      <c r="D962" s="60"/>
      <c r="E962" s="17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60"/>
      <c r="B963" s="60"/>
      <c r="C963" s="60"/>
      <c r="D963" s="60"/>
      <c r="E963" s="17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60"/>
      <c r="B964" s="60"/>
      <c r="C964" s="60"/>
      <c r="D964" s="60"/>
      <c r="E964" s="17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60"/>
      <c r="B965" s="60"/>
      <c r="C965" s="60"/>
      <c r="D965" s="60"/>
      <c r="E965" s="17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60"/>
      <c r="B966" s="60"/>
      <c r="C966" s="60"/>
      <c r="D966" s="60"/>
      <c r="E966" s="17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60"/>
      <c r="B967" s="60"/>
      <c r="C967" s="60"/>
      <c r="D967" s="60"/>
      <c r="E967" s="17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60"/>
      <c r="B968" s="60"/>
      <c r="C968" s="60"/>
      <c r="D968" s="60"/>
      <c r="E968" s="17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60"/>
      <c r="B969" s="60"/>
      <c r="C969" s="60"/>
      <c r="D969" s="60"/>
      <c r="E969" s="17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60"/>
      <c r="B970" s="60"/>
      <c r="C970" s="60"/>
      <c r="D970" s="60"/>
      <c r="E970" s="17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60"/>
      <c r="B971" s="60"/>
      <c r="C971" s="60"/>
      <c r="D971" s="60"/>
      <c r="E971" s="17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60"/>
      <c r="B972" s="60"/>
      <c r="C972" s="60"/>
      <c r="D972" s="60"/>
      <c r="E972" s="17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60"/>
      <c r="B973" s="60"/>
      <c r="C973" s="60"/>
      <c r="D973" s="60"/>
      <c r="E973" s="17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60"/>
      <c r="B974" s="60"/>
      <c r="C974" s="60"/>
      <c r="D974" s="60"/>
      <c r="E974" s="17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60"/>
      <c r="B975" s="60"/>
      <c r="C975" s="60"/>
      <c r="D975" s="60"/>
      <c r="E975" s="17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60"/>
      <c r="B976" s="60"/>
      <c r="C976" s="60"/>
      <c r="D976" s="60"/>
      <c r="E976" s="17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60"/>
      <c r="B977" s="60"/>
      <c r="C977" s="60"/>
      <c r="D977" s="60"/>
      <c r="E977" s="17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60"/>
      <c r="B978" s="60"/>
      <c r="C978" s="60"/>
      <c r="D978" s="60"/>
      <c r="E978" s="17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60"/>
      <c r="B979" s="60"/>
      <c r="C979" s="60"/>
      <c r="D979" s="60"/>
      <c r="E979" s="17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60"/>
      <c r="B980" s="60"/>
      <c r="C980" s="60"/>
      <c r="D980" s="60"/>
      <c r="E980" s="17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60"/>
      <c r="B981" s="60"/>
      <c r="C981" s="60"/>
      <c r="D981" s="60"/>
      <c r="E981" s="17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60"/>
      <c r="B982" s="60"/>
      <c r="C982" s="60"/>
      <c r="D982" s="60"/>
      <c r="E982" s="17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60"/>
      <c r="B983" s="60"/>
      <c r="C983" s="60"/>
      <c r="D983" s="60"/>
      <c r="E983" s="17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60"/>
      <c r="B984" s="60"/>
      <c r="C984" s="60"/>
      <c r="D984" s="60"/>
      <c r="E984" s="17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60"/>
      <c r="B985" s="60"/>
      <c r="C985" s="60"/>
      <c r="D985" s="60"/>
      <c r="E985" s="17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60"/>
      <c r="B986" s="60"/>
      <c r="C986" s="60"/>
      <c r="D986" s="60"/>
      <c r="E986" s="17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60"/>
      <c r="B987" s="60"/>
      <c r="C987" s="60"/>
      <c r="D987" s="60"/>
      <c r="E987" s="17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60"/>
      <c r="B988" s="60"/>
      <c r="C988" s="60"/>
      <c r="D988" s="60"/>
      <c r="E988" s="17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60"/>
      <c r="B989" s="60"/>
      <c r="C989" s="60"/>
      <c r="D989" s="60"/>
      <c r="E989" s="17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60"/>
      <c r="B990" s="60"/>
      <c r="C990" s="60"/>
      <c r="D990" s="60"/>
      <c r="E990" s="17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60"/>
      <c r="B991" s="60"/>
      <c r="C991" s="60"/>
      <c r="D991" s="60"/>
      <c r="E991" s="17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60"/>
      <c r="B992" s="60"/>
      <c r="C992" s="60"/>
      <c r="D992" s="60"/>
      <c r="E992" s="17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60"/>
      <c r="B993" s="60"/>
      <c r="C993" s="60"/>
      <c r="D993" s="60"/>
      <c r="E993" s="17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60"/>
      <c r="B994" s="60"/>
      <c r="C994" s="60"/>
      <c r="D994" s="60"/>
      <c r="E994" s="17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60"/>
      <c r="B995" s="60"/>
      <c r="C995" s="60"/>
      <c r="D995" s="60"/>
      <c r="E995" s="17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60"/>
      <c r="B996" s="60"/>
      <c r="C996" s="60"/>
      <c r="D996" s="60"/>
      <c r="E996" s="17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60"/>
      <c r="B997" s="60"/>
      <c r="C997" s="60"/>
      <c r="D997" s="60"/>
      <c r="E997" s="17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60"/>
      <c r="B998" s="60"/>
      <c r="C998" s="60"/>
      <c r="D998" s="60"/>
      <c r="E998" s="17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60"/>
      <c r="B999" s="60"/>
      <c r="C999" s="60"/>
      <c r="D999" s="60"/>
      <c r="E999" s="17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60"/>
      <c r="B1000" s="60"/>
      <c r="C1000" s="60"/>
      <c r="D1000" s="60"/>
      <c r="E1000" s="17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60"/>
      <c r="B1001" s="60"/>
      <c r="C1001" s="60"/>
      <c r="D1001" s="60"/>
      <c r="E1001" s="17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60"/>
      <c r="B1002" s="60"/>
      <c r="C1002" s="60"/>
      <c r="D1002" s="60"/>
      <c r="E1002" s="17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60"/>
      <c r="B1003" s="60"/>
      <c r="C1003" s="60"/>
      <c r="D1003" s="60"/>
      <c r="E1003" s="17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</sheetData>
  <dataValidations>
    <dataValidation type="list" allowBlank="1" sqref="C2:C46">
      <formula1>"Exploración,Evaluación,Desarrollo"</formula1>
    </dataValidation>
    <dataValidation type="custom" allowBlank="1" showDropDown="1" sqref="D2:D46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33.5"/>
    <col customWidth="1" min="3" max="3" width="67.63"/>
    <col customWidth="1" min="4" max="4" width="22.88"/>
    <col customWidth="1" min="5" max="8" width="24.38"/>
  </cols>
  <sheetData>
    <row r="1" ht="22.5" customHeight="1">
      <c r="A1" s="4" t="s">
        <v>2378</v>
      </c>
      <c r="B1" s="4" t="s">
        <v>2</v>
      </c>
      <c r="C1" s="4" t="s">
        <v>2380</v>
      </c>
      <c r="D1" s="4" t="s">
        <v>2381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22.5" customHeight="1">
      <c r="A2" s="11" t="s">
        <v>2382</v>
      </c>
      <c r="B2" s="11" t="s">
        <v>28</v>
      </c>
      <c r="C2" s="179" t="s">
        <v>2384</v>
      </c>
      <c r="D2" s="180" t="s">
        <v>2385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22.5" customHeight="1">
      <c r="A3" s="11" t="s">
        <v>2386</v>
      </c>
      <c r="B3" s="11" t="s">
        <v>28</v>
      </c>
      <c r="C3" s="179" t="s">
        <v>2388</v>
      </c>
      <c r="D3" s="180" t="s">
        <v>2385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22.5" customHeight="1">
      <c r="A4" s="11" t="s">
        <v>2389</v>
      </c>
      <c r="B4" s="11" t="s">
        <v>28</v>
      </c>
      <c r="C4" s="179" t="s">
        <v>2390</v>
      </c>
      <c r="D4" s="180" t="s">
        <v>2385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22.5" customHeight="1">
      <c r="A5" s="11" t="s">
        <v>2392</v>
      </c>
      <c r="B5" s="11" t="s">
        <v>67</v>
      </c>
      <c r="C5" s="179" t="s">
        <v>240</v>
      </c>
      <c r="D5" s="180" t="s">
        <v>2393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22.5" customHeight="1">
      <c r="A6" s="11" t="s">
        <v>2395</v>
      </c>
      <c r="B6" s="11" t="s">
        <v>67</v>
      </c>
      <c r="C6" s="179" t="s">
        <v>2396</v>
      </c>
      <c r="D6" s="180" t="s">
        <v>2393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22.5" customHeight="1">
      <c r="A7" s="11" t="s">
        <v>2398</v>
      </c>
      <c r="B7" s="11" t="s">
        <v>67</v>
      </c>
      <c r="C7" s="179" t="s">
        <v>401</v>
      </c>
      <c r="D7" s="180" t="s">
        <v>2399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22.5" customHeight="1">
      <c r="A8" s="11" t="s">
        <v>2401</v>
      </c>
      <c r="B8" s="11" t="s">
        <v>67</v>
      </c>
      <c r="C8" s="179" t="s">
        <v>495</v>
      </c>
      <c r="D8" s="180" t="s">
        <v>2399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22.5" customHeight="1">
      <c r="A9" s="11" t="s">
        <v>2403</v>
      </c>
      <c r="B9" s="11" t="s">
        <v>67</v>
      </c>
      <c r="C9" s="179" t="s">
        <v>137</v>
      </c>
      <c r="D9" s="180" t="s">
        <v>2404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22.5" customHeight="1">
      <c r="A10" s="11" t="s">
        <v>2406</v>
      </c>
      <c r="B10" s="11" t="s">
        <v>67</v>
      </c>
      <c r="C10" s="179" t="s">
        <v>146</v>
      </c>
      <c r="D10" s="180" t="s">
        <v>2404</v>
      </c>
      <c r="E10" s="54"/>
      <c r="F10" s="54"/>
      <c r="G10" s="54"/>
      <c r="H10" s="54"/>
      <c r="I10" s="54"/>
      <c r="J10" s="54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22.5" customHeight="1">
      <c r="A11" s="11" t="s">
        <v>2408</v>
      </c>
      <c r="B11" s="11" t="s">
        <v>67</v>
      </c>
      <c r="C11" s="179" t="s">
        <v>990</v>
      </c>
      <c r="D11" s="180" t="s">
        <v>2409</v>
      </c>
      <c r="E11" s="54"/>
      <c r="F11" s="54"/>
      <c r="G11" s="54"/>
      <c r="H11" s="54"/>
      <c r="I11" s="54"/>
      <c r="J11" s="54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22.5" customHeight="1">
      <c r="A12" s="11" t="s">
        <v>2410</v>
      </c>
      <c r="B12" s="11" t="s">
        <v>67</v>
      </c>
      <c r="C12" s="179" t="s">
        <v>151</v>
      </c>
      <c r="D12" s="180" t="s">
        <v>2409</v>
      </c>
      <c r="E12" s="54"/>
      <c r="F12" s="54"/>
      <c r="G12" s="54"/>
      <c r="H12" s="54"/>
      <c r="I12" s="54"/>
      <c r="J12" s="5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22.5" customHeight="1">
      <c r="A13" s="11" t="s">
        <v>2412</v>
      </c>
      <c r="B13" s="11" t="s">
        <v>67</v>
      </c>
      <c r="C13" s="179" t="s">
        <v>160</v>
      </c>
      <c r="D13" s="180" t="s">
        <v>2409</v>
      </c>
      <c r="E13" s="54"/>
      <c r="F13" s="54"/>
      <c r="G13" s="54"/>
      <c r="H13" s="54"/>
      <c r="I13" s="54"/>
      <c r="J13" s="54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22.5" customHeight="1">
      <c r="A14" s="11" t="s">
        <v>2414</v>
      </c>
      <c r="B14" s="11" t="s">
        <v>67</v>
      </c>
      <c r="C14" s="179" t="s">
        <v>184</v>
      </c>
      <c r="D14" s="180" t="s">
        <v>2416</v>
      </c>
      <c r="E14" s="54"/>
      <c r="F14" s="54"/>
      <c r="G14" s="54"/>
      <c r="H14" s="54"/>
      <c r="I14" s="54"/>
      <c r="J14" s="54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22.5" customHeight="1">
      <c r="A15" s="11" t="s">
        <v>2417</v>
      </c>
      <c r="B15" s="11" t="s">
        <v>67</v>
      </c>
      <c r="C15" s="179" t="s">
        <v>192</v>
      </c>
      <c r="D15" s="180" t="s">
        <v>2416</v>
      </c>
      <c r="E15" s="54"/>
      <c r="F15" s="54"/>
      <c r="G15" s="54"/>
      <c r="H15" s="54"/>
      <c r="I15" s="54"/>
      <c r="J15" s="54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22.5" customHeight="1">
      <c r="A16" s="11" t="s">
        <v>2419</v>
      </c>
      <c r="B16" s="11" t="s">
        <v>67</v>
      </c>
      <c r="C16" s="179" t="s">
        <v>1008</v>
      </c>
      <c r="D16" s="180" t="s">
        <v>2420</v>
      </c>
      <c r="E16" s="54"/>
      <c r="F16" s="54"/>
      <c r="G16" s="54"/>
      <c r="H16" s="54"/>
      <c r="I16" s="54"/>
      <c r="J16" s="54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22.5" customHeight="1">
      <c r="A17" s="11" t="s">
        <v>2422</v>
      </c>
      <c r="B17" s="11" t="s">
        <v>67</v>
      </c>
      <c r="C17" s="179" t="s">
        <v>1013</v>
      </c>
      <c r="D17" s="180" t="s">
        <v>2420</v>
      </c>
      <c r="E17" s="54"/>
      <c r="F17" s="54"/>
      <c r="G17" s="54"/>
      <c r="H17" s="54"/>
      <c r="I17" s="54"/>
      <c r="J17" s="54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22.5" customHeight="1">
      <c r="A18" s="11" t="s">
        <v>2423</v>
      </c>
      <c r="B18" s="11" t="s">
        <v>67</v>
      </c>
      <c r="C18" s="179" t="s">
        <v>2425</v>
      </c>
      <c r="D18" s="180" t="s">
        <v>2426</v>
      </c>
      <c r="E18" s="54"/>
      <c r="F18" s="54"/>
      <c r="G18" s="54"/>
      <c r="H18" s="54"/>
      <c r="I18" s="54"/>
      <c r="J18" s="54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22.5" customHeight="1">
      <c r="A19" s="11" t="s">
        <v>2427</v>
      </c>
      <c r="B19" s="11" t="s">
        <v>133</v>
      </c>
      <c r="C19" s="179" t="s">
        <v>2384</v>
      </c>
      <c r="D19" s="180" t="s">
        <v>2428</v>
      </c>
      <c r="E19" s="54"/>
      <c r="F19" s="54"/>
      <c r="G19" s="54"/>
      <c r="H19" s="54"/>
      <c r="I19" s="54"/>
      <c r="J19" s="54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22.5" customHeight="1">
      <c r="A20" s="11" t="s">
        <v>2430</v>
      </c>
      <c r="B20" s="11" t="s">
        <v>103</v>
      </c>
      <c r="C20" s="179" t="s">
        <v>2384</v>
      </c>
      <c r="D20" s="180" t="s">
        <v>2431</v>
      </c>
      <c r="E20" s="54"/>
      <c r="F20" s="54"/>
      <c r="G20" s="54"/>
      <c r="H20" s="54"/>
      <c r="I20" s="54"/>
      <c r="J20" s="54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22.5" customHeight="1">
      <c r="A21" s="11" t="s">
        <v>2433</v>
      </c>
      <c r="B21" s="11" t="s">
        <v>142</v>
      </c>
      <c r="C21" s="179" t="s">
        <v>240</v>
      </c>
      <c r="D21" s="180" t="s">
        <v>2434</v>
      </c>
      <c r="E21" s="54"/>
      <c r="F21" s="54"/>
      <c r="G21" s="54"/>
      <c r="H21" s="54"/>
      <c r="I21" s="54"/>
      <c r="J21" s="54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22.5" customHeight="1">
      <c r="A22" s="11" t="s">
        <v>2435</v>
      </c>
      <c r="B22" s="11" t="s">
        <v>142</v>
      </c>
      <c r="C22" s="179" t="s">
        <v>2396</v>
      </c>
      <c r="D22" s="180" t="s">
        <v>2434</v>
      </c>
      <c r="E22" s="54"/>
      <c r="F22" s="54"/>
      <c r="G22" s="54"/>
      <c r="H22" s="54"/>
      <c r="I22" s="54"/>
      <c r="J22" s="54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22.5" customHeight="1">
      <c r="A23" s="11" t="s">
        <v>2437</v>
      </c>
      <c r="B23" s="11" t="s">
        <v>142</v>
      </c>
      <c r="C23" s="179" t="s">
        <v>401</v>
      </c>
      <c r="D23" s="180" t="s">
        <v>2438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22.5" customHeight="1">
      <c r="A24" s="11" t="s">
        <v>2439</v>
      </c>
      <c r="B24" s="11" t="s">
        <v>142</v>
      </c>
      <c r="C24" s="179" t="s">
        <v>495</v>
      </c>
      <c r="D24" s="180" t="s">
        <v>2438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22.5" customHeight="1">
      <c r="A25" s="11" t="s">
        <v>2441</v>
      </c>
      <c r="B25" s="11" t="s">
        <v>142</v>
      </c>
      <c r="C25" s="179" t="s">
        <v>137</v>
      </c>
      <c r="D25" s="180" t="s">
        <v>2443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22.5" customHeight="1">
      <c r="A26" s="11" t="s">
        <v>2444</v>
      </c>
      <c r="B26" s="11" t="s">
        <v>142</v>
      </c>
      <c r="C26" s="179" t="s">
        <v>146</v>
      </c>
      <c r="D26" s="180" t="s">
        <v>2443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22.5" customHeight="1">
      <c r="A27" s="11" t="s">
        <v>2446</v>
      </c>
      <c r="B27" s="11" t="s">
        <v>142</v>
      </c>
      <c r="C27" s="179" t="s">
        <v>990</v>
      </c>
      <c r="D27" s="180" t="s">
        <v>2447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22.5" customHeight="1">
      <c r="A28" s="11" t="s">
        <v>2448</v>
      </c>
      <c r="B28" s="11" t="s">
        <v>142</v>
      </c>
      <c r="C28" s="179" t="s">
        <v>151</v>
      </c>
      <c r="D28" s="180" t="s">
        <v>2447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22.5" customHeight="1">
      <c r="A29" s="11" t="s">
        <v>2450</v>
      </c>
      <c r="B29" s="11" t="s">
        <v>142</v>
      </c>
      <c r="C29" s="179" t="s">
        <v>160</v>
      </c>
      <c r="D29" s="180" t="s">
        <v>2447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22.5" customHeight="1">
      <c r="A30" s="11" t="s">
        <v>2451</v>
      </c>
      <c r="B30" s="11" t="s">
        <v>142</v>
      </c>
      <c r="C30" s="179" t="s">
        <v>184</v>
      </c>
      <c r="D30" s="180" t="s">
        <v>2452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22.5" customHeight="1">
      <c r="A31" s="11" t="s">
        <v>2454</v>
      </c>
      <c r="B31" s="11" t="s">
        <v>142</v>
      </c>
      <c r="C31" s="179" t="s">
        <v>192</v>
      </c>
      <c r="D31" s="180" t="s">
        <v>2452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22.5" customHeight="1">
      <c r="A32" s="11" t="s">
        <v>2456</v>
      </c>
      <c r="B32" s="11" t="s">
        <v>142</v>
      </c>
      <c r="C32" s="179" t="s">
        <v>1008</v>
      </c>
      <c r="D32" s="180" t="s">
        <v>2457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22.5" customHeight="1">
      <c r="A33" s="11" t="s">
        <v>2458</v>
      </c>
      <c r="B33" s="11" t="s">
        <v>142</v>
      </c>
      <c r="C33" s="179" t="s">
        <v>1013</v>
      </c>
      <c r="D33" s="180" t="s">
        <v>2457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22.5" customHeight="1">
      <c r="A34" s="11" t="s">
        <v>2460</v>
      </c>
      <c r="B34" s="11" t="s">
        <v>142</v>
      </c>
      <c r="C34" s="179" t="s">
        <v>2425</v>
      </c>
      <c r="D34" s="180" t="s">
        <v>2461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22.5" customHeight="1">
      <c r="A35" s="11" t="s">
        <v>2462</v>
      </c>
      <c r="B35" s="11" t="s">
        <v>169</v>
      </c>
      <c r="C35" s="179" t="s">
        <v>2384</v>
      </c>
      <c r="D35" s="180" t="s">
        <v>2464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22.5" customHeight="1">
      <c r="A36" s="11" t="s">
        <v>2465</v>
      </c>
      <c r="B36" s="11" t="s">
        <v>169</v>
      </c>
      <c r="C36" s="179" t="s">
        <v>2466</v>
      </c>
      <c r="D36" s="180" t="s">
        <v>2468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22.5" customHeight="1">
      <c r="A37" s="11" t="s">
        <v>2471</v>
      </c>
      <c r="B37" s="11" t="s">
        <v>28</v>
      </c>
      <c r="C37" s="179" t="s">
        <v>2384</v>
      </c>
      <c r="D37" s="180" t="s">
        <v>2385</v>
      </c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22.5" customHeight="1">
      <c r="A38" s="11" t="s">
        <v>2474</v>
      </c>
      <c r="B38" s="11" t="s">
        <v>28</v>
      </c>
      <c r="C38" s="179" t="s">
        <v>2388</v>
      </c>
      <c r="D38" s="180" t="s">
        <v>2385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22.5" customHeight="1">
      <c r="A39" s="11" t="s">
        <v>2479</v>
      </c>
      <c r="B39" s="11" t="s">
        <v>28</v>
      </c>
      <c r="C39" s="179" t="s">
        <v>2390</v>
      </c>
      <c r="D39" s="180" t="s">
        <v>2385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22.5" customHeight="1">
      <c r="A40" s="11" t="s">
        <v>2486</v>
      </c>
      <c r="B40" s="11" t="s">
        <v>216</v>
      </c>
      <c r="C40" s="179" t="s">
        <v>240</v>
      </c>
      <c r="D40" s="180" t="s">
        <v>2488</v>
      </c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22.5" customHeight="1">
      <c r="A41" s="11" t="s">
        <v>2494</v>
      </c>
      <c r="B41" s="11" t="s">
        <v>239</v>
      </c>
      <c r="C41" s="179" t="s">
        <v>240</v>
      </c>
      <c r="D41" s="180" t="s">
        <v>2385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22.5" customHeight="1">
      <c r="A42" s="11" t="s">
        <v>2498</v>
      </c>
      <c r="B42" s="11" t="s">
        <v>239</v>
      </c>
      <c r="C42" s="179" t="s">
        <v>2500</v>
      </c>
      <c r="D42" s="180" t="s">
        <v>2385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22.5" customHeight="1">
      <c r="A43" s="11" t="s">
        <v>2503</v>
      </c>
      <c r="B43" s="11" t="s">
        <v>239</v>
      </c>
      <c r="C43" s="179" t="s">
        <v>2505</v>
      </c>
      <c r="D43" s="180" t="s">
        <v>2468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22.5" customHeight="1">
      <c r="A44" s="11" t="s">
        <v>2507</v>
      </c>
      <c r="B44" s="11" t="s">
        <v>245</v>
      </c>
      <c r="C44" s="179" t="s">
        <v>2508</v>
      </c>
      <c r="D44" s="180" t="s">
        <v>2509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22.5" customHeight="1">
      <c r="A45" s="11" t="s">
        <v>2512</v>
      </c>
      <c r="B45" s="11" t="s">
        <v>245</v>
      </c>
      <c r="C45" s="179" t="s">
        <v>2514</v>
      </c>
      <c r="D45" s="180" t="s">
        <v>2515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22.5" customHeight="1">
      <c r="A46" s="11" t="s">
        <v>2517</v>
      </c>
      <c r="B46" s="11" t="s">
        <v>245</v>
      </c>
      <c r="C46" s="179" t="s">
        <v>2518</v>
      </c>
      <c r="D46" s="180" t="s">
        <v>2519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22.5" customHeight="1">
      <c r="A47" s="11" t="s">
        <v>2521</v>
      </c>
      <c r="B47" s="11" t="s">
        <v>245</v>
      </c>
      <c r="C47" s="179" t="s">
        <v>2524</v>
      </c>
      <c r="D47" s="180" t="s">
        <v>2525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22.5" customHeight="1">
      <c r="A48" s="11" t="s">
        <v>2527</v>
      </c>
      <c r="B48" s="11" t="s">
        <v>245</v>
      </c>
      <c r="C48" s="179" t="s">
        <v>2529</v>
      </c>
      <c r="D48" s="180" t="s">
        <v>2515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22.5" customHeight="1">
      <c r="A49" s="11" t="s">
        <v>2531</v>
      </c>
      <c r="B49" s="11" t="s">
        <v>245</v>
      </c>
      <c r="C49" s="179" t="s">
        <v>2524</v>
      </c>
      <c r="D49" s="180" t="s">
        <v>2532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22.5" customHeight="1">
      <c r="A50" s="11" t="s">
        <v>2536</v>
      </c>
      <c r="B50" s="11" t="s">
        <v>245</v>
      </c>
      <c r="C50" s="179" t="s">
        <v>2539</v>
      </c>
      <c r="D50" s="180" t="s">
        <v>2515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22.5" customHeight="1">
      <c r="A51" s="11" t="s">
        <v>2542</v>
      </c>
      <c r="B51" s="11" t="s">
        <v>245</v>
      </c>
      <c r="C51" s="179" t="s">
        <v>2544</v>
      </c>
      <c r="D51" s="180" t="s">
        <v>2545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22.5" customHeight="1">
      <c r="A52" s="11" t="s">
        <v>2547</v>
      </c>
      <c r="B52" s="11" t="s">
        <v>268</v>
      </c>
      <c r="C52" s="179" t="s">
        <v>2384</v>
      </c>
      <c r="D52" s="180" t="s">
        <v>2550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22.5" customHeight="1">
      <c r="A53" s="11" t="s">
        <v>2552</v>
      </c>
      <c r="B53" s="11" t="s">
        <v>268</v>
      </c>
      <c r="C53" s="179" t="s">
        <v>2388</v>
      </c>
      <c r="D53" s="180" t="s">
        <v>2554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22.5" customHeight="1">
      <c r="A54" s="11" t="s">
        <v>2556</v>
      </c>
      <c r="B54" s="11" t="s">
        <v>268</v>
      </c>
      <c r="C54" s="179" t="s">
        <v>2390</v>
      </c>
      <c r="D54" s="180" t="s">
        <v>2557</v>
      </c>
      <c r="E54" s="182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22.5" customHeight="1">
      <c r="A55" s="11" t="s">
        <v>2562</v>
      </c>
      <c r="B55" s="11" t="s">
        <v>292</v>
      </c>
      <c r="C55" s="179" t="s">
        <v>2384</v>
      </c>
      <c r="D55" s="180" t="s">
        <v>2385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22.5" customHeight="1">
      <c r="A56" s="11" t="s">
        <v>2564</v>
      </c>
      <c r="B56" s="11" t="s">
        <v>292</v>
      </c>
      <c r="C56" s="179" t="s">
        <v>2566</v>
      </c>
      <c r="D56" s="180" t="s">
        <v>2568</v>
      </c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22.5" customHeight="1">
      <c r="A57" s="11" t="s">
        <v>2569</v>
      </c>
      <c r="B57" s="11" t="s">
        <v>292</v>
      </c>
      <c r="C57" s="179" t="s">
        <v>2571</v>
      </c>
      <c r="D57" s="180" t="s">
        <v>2385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22.5" customHeight="1">
      <c r="A58" s="11" t="s">
        <v>2574</v>
      </c>
      <c r="B58" s="11" t="s">
        <v>317</v>
      </c>
      <c r="C58" s="179" t="s">
        <v>2384</v>
      </c>
      <c r="D58" s="180" t="s">
        <v>2576</v>
      </c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22.5" customHeight="1">
      <c r="A59" s="11" t="s">
        <v>2579</v>
      </c>
      <c r="B59" s="11" t="s">
        <v>317</v>
      </c>
      <c r="C59" s="179" t="s">
        <v>2581</v>
      </c>
      <c r="D59" s="180" t="s">
        <v>2582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17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17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17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17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17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17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17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17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17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17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17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17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17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17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17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17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17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17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17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17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17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17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17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17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17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17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17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17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17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17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17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17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17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17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17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17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17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17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17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17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17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17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17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17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17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17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17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17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17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17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17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17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17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17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17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17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17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17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17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17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17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17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17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17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17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17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17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17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17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17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17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17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17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17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17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17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17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17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17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17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17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17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17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17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17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17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17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17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17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17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17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17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17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17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17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17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17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17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17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17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17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17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17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17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17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17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17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17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17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17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17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17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17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17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17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17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17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17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17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17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17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17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17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17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17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17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17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17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17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17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17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17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17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17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17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17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17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17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17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17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17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17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17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17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17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17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17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17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17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17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17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17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17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17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17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17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17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17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17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17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17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17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17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17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17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17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17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17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17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17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17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17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17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17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17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17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17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17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17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17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17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17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17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17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17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17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17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17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17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17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17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17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17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17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17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17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17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17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17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17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17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17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17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17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17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17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17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17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17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17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17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17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17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17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17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17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17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17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17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17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17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17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17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17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17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17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17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17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17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17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17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17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17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17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17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17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17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17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17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17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17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17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17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17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17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17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17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17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17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17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17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17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17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17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17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17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17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17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17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17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17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17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17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17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17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17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17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17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17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17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17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17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17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17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17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17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17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17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17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17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17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17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17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17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17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17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17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17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17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17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17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17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17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17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17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17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17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17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17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17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17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17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17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17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17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17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17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17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17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17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17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17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17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17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17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17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17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17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17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17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17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17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17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17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17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17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17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17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17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17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17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17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17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17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17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17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17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17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17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17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17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17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17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17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17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17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17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17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17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17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17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17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17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17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17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17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17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17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17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17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17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17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17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17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17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17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17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17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17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17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17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17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17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17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17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17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17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17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17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17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17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17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17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17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17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17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17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17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17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17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17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17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17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17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17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17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17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17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17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17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17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17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17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17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17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17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17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17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17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17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17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17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17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17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17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17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17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17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17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17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17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17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17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17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17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17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17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17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17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17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17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17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17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17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17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17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17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17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17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17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17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17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17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17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17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17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17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17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17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17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17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17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17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17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17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17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17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17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17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17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17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17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17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17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17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17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17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17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17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17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17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17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17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17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17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17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17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17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17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17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17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17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17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17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17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17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17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17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17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17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17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17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17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17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17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17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17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17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17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17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17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17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17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17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17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17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17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17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17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17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17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17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17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17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17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17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17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17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17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17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17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17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17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17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17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17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17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17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17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17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17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17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17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17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17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17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17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17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17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17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17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17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17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17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17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17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17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17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17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17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17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17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17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17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17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17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17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17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17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17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17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17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17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17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17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17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17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17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17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17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17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17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17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17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17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17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17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17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17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17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17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17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17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17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17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17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17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17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17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17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17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17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17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17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17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17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17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17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17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17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17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17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17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17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17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17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17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17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17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17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17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17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17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17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17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17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17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17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17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17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17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17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17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17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17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17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17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17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17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17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17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17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17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17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17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17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17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17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17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17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17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17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17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17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17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17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17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17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17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17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17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17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17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17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17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17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17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17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17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17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17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17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17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17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17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17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17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17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17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17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17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17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17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17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17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17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17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17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17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17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17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17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17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17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17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17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17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17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17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17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17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17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17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17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17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17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17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17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17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17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17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17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17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17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17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17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17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17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17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17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17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17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17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17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17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17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17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17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17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17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17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17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17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17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17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17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17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17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17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17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17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17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17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17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17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17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17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17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17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17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17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17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17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17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17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17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17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17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17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17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17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17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17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17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17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17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17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17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17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17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17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17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17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17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17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17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17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17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17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17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17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17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17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17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17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17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17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17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17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17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17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17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17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17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17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17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17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17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17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17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17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17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17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17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17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17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17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17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17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17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17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17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17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17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17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17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17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17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17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17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17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17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17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17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17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17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17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17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17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17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17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17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17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17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17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17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17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17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17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17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17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17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17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17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17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17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17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17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17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17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17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17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17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17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17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17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17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17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17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17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17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17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17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17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17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17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17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17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17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17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17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17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17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17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17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17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17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17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17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17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17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17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17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17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17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17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17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17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17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17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17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17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17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17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17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17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17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17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17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17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17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17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17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17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17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17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17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17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17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17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17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17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17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17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17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17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17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17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17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17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17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17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17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17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17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17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17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17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17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17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17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17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17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17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17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17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17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17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17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17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17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17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17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17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17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17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17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17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17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17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17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dataValidations>
    <dataValidation allowBlank="1" showDropDown="1" sqref="C2:D59"/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4.88"/>
    <col customWidth="1" min="3" max="3" width="23.25"/>
    <col customWidth="1" min="4" max="4" width="61.75"/>
    <col customWidth="1" min="5" max="5" width="13.25"/>
    <col customWidth="1" min="6" max="6" width="11.75"/>
    <col customWidth="1" min="7" max="7" width="13.5"/>
    <col customWidth="1" min="8" max="8" width="11.88"/>
    <col customWidth="1" min="9" max="9" width="12.13"/>
    <col customWidth="1" min="10" max="10" width="16.88"/>
  </cols>
  <sheetData>
    <row r="1" ht="22.5" customHeight="1">
      <c r="A1" s="1" t="s">
        <v>2469</v>
      </c>
      <c r="B1" s="1" t="s">
        <v>2378</v>
      </c>
      <c r="C1" s="1" t="s">
        <v>2472</v>
      </c>
      <c r="D1" s="4" t="s">
        <v>2475</v>
      </c>
      <c r="E1" s="1" t="s">
        <v>2476</v>
      </c>
      <c r="F1" s="181" t="s">
        <v>2478</v>
      </c>
      <c r="G1" s="181" t="s">
        <v>2480</v>
      </c>
      <c r="H1" s="181" t="s">
        <v>2482</v>
      </c>
      <c r="I1" s="1" t="s">
        <v>2483</v>
      </c>
      <c r="J1" s="1" t="s">
        <v>2484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22.5" customHeight="1">
      <c r="A2" s="10" t="s">
        <v>2487</v>
      </c>
      <c r="B2" s="10" t="s">
        <v>2490</v>
      </c>
      <c r="C2" s="10" t="s">
        <v>2491</v>
      </c>
      <c r="D2" s="12" t="s">
        <v>2492</v>
      </c>
      <c r="E2" s="10">
        <v>2019.0</v>
      </c>
      <c r="F2" s="10">
        <v>2019.0</v>
      </c>
      <c r="G2" s="10" t="s">
        <v>2495</v>
      </c>
      <c r="H2" s="10" t="s">
        <v>2496</v>
      </c>
      <c r="I2" s="10">
        <v>855.0</v>
      </c>
      <c r="J2" s="150">
        <v>3420.0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22.5" customHeight="1">
      <c r="A3" s="10" t="s">
        <v>2501</v>
      </c>
      <c r="B3" s="10" t="s">
        <v>2490</v>
      </c>
      <c r="C3" s="10" t="s">
        <v>2491</v>
      </c>
      <c r="D3" s="12" t="s">
        <v>2502</v>
      </c>
      <c r="E3" s="10">
        <v>2019.0</v>
      </c>
      <c r="F3" s="10">
        <v>2019.0</v>
      </c>
      <c r="G3" s="10" t="s">
        <v>2495</v>
      </c>
      <c r="H3" s="10" t="s">
        <v>2496</v>
      </c>
      <c r="I3" s="10">
        <v>855.0</v>
      </c>
      <c r="J3" s="150">
        <v>1068.75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22.5" customHeight="1">
      <c r="A4" s="10" t="s">
        <v>2510</v>
      </c>
      <c r="B4" s="10" t="s">
        <v>2490</v>
      </c>
      <c r="C4" s="10" t="s">
        <v>2513</v>
      </c>
      <c r="D4" s="12" t="s">
        <v>1262</v>
      </c>
      <c r="E4" s="10">
        <v>2019.0</v>
      </c>
      <c r="F4" s="10">
        <v>2021.0</v>
      </c>
      <c r="G4" s="10" t="s">
        <v>2495</v>
      </c>
      <c r="H4" s="10" t="s">
        <v>2496</v>
      </c>
      <c r="I4" s="10">
        <v>1.0</v>
      </c>
      <c r="J4" s="10">
        <v>100.0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22.5" customHeight="1">
      <c r="A5" s="10" t="s">
        <v>2523</v>
      </c>
      <c r="B5" s="10" t="s">
        <v>2490</v>
      </c>
      <c r="C5" s="10" t="s">
        <v>2513</v>
      </c>
      <c r="D5" s="12" t="s">
        <v>2526</v>
      </c>
      <c r="E5" s="10">
        <v>2021.0</v>
      </c>
      <c r="F5" s="10">
        <v>2023.0</v>
      </c>
      <c r="G5" s="10" t="s">
        <v>2495</v>
      </c>
      <c r="H5" s="10" t="s">
        <v>2496</v>
      </c>
      <c r="I5" s="10">
        <v>3.0</v>
      </c>
      <c r="J5" s="10">
        <v>200.0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22.5" customHeight="1">
      <c r="A6" s="10" t="s">
        <v>2533</v>
      </c>
      <c r="B6" s="10" t="s">
        <v>2535</v>
      </c>
      <c r="C6" s="10" t="s">
        <v>2537</v>
      </c>
      <c r="D6" s="12" t="s">
        <v>2540</v>
      </c>
      <c r="E6" s="10">
        <v>2018.0</v>
      </c>
      <c r="F6" s="10">
        <v>2019.0</v>
      </c>
      <c r="G6" s="10" t="s">
        <v>2541</v>
      </c>
      <c r="H6" s="10" t="s">
        <v>2496</v>
      </c>
      <c r="I6" s="10" t="s">
        <v>170</v>
      </c>
      <c r="J6" s="10" t="s">
        <v>170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22.5" customHeight="1">
      <c r="A7" s="10" t="s">
        <v>2548</v>
      </c>
      <c r="B7" s="10" t="s">
        <v>2535</v>
      </c>
      <c r="C7" s="10" t="s">
        <v>2491</v>
      </c>
      <c r="D7" s="12" t="s">
        <v>2551</v>
      </c>
      <c r="E7" s="10">
        <v>2019.0</v>
      </c>
      <c r="F7" s="10">
        <v>2019.0</v>
      </c>
      <c r="G7" s="10" t="s">
        <v>2553</v>
      </c>
      <c r="H7" s="10" t="s">
        <v>2553</v>
      </c>
      <c r="I7" s="10" t="s">
        <v>170</v>
      </c>
      <c r="J7" s="10" t="s">
        <v>170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22.5" customHeight="1">
      <c r="A8" s="10" t="s">
        <v>2558</v>
      </c>
      <c r="B8" s="10" t="s">
        <v>2535</v>
      </c>
      <c r="C8" s="10" t="s">
        <v>2491</v>
      </c>
      <c r="D8" s="12" t="s">
        <v>2560</v>
      </c>
      <c r="E8" s="10">
        <v>2019.0</v>
      </c>
      <c r="F8" s="10">
        <v>2019.0</v>
      </c>
      <c r="G8" s="10" t="s">
        <v>2553</v>
      </c>
      <c r="H8" s="10" t="s">
        <v>2553</v>
      </c>
      <c r="I8" s="10" t="s">
        <v>170</v>
      </c>
      <c r="J8" s="10" t="s">
        <v>170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22.5" customHeight="1">
      <c r="A9" s="10" t="s">
        <v>2567</v>
      </c>
      <c r="B9" s="10" t="s">
        <v>2535</v>
      </c>
      <c r="C9" s="10" t="s">
        <v>2513</v>
      </c>
      <c r="D9" s="12" t="s">
        <v>1262</v>
      </c>
      <c r="E9" s="10">
        <v>2019.0</v>
      </c>
      <c r="F9" s="10">
        <v>2019.0</v>
      </c>
      <c r="G9" s="10" t="s">
        <v>2573</v>
      </c>
      <c r="H9" s="10" t="s">
        <v>2496</v>
      </c>
      <c r="I9" s="10" t="s">
        <v>170</v>
      </c>
      <c r="J9" s="10" t="s">
        <v>170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22.5" customHeight="1">
      <c r="A10" s="10" t="s">
        <v>2578</v>
      </c>
      <c r="B10" s="10" t="s">
        <v>2535</v>
      </c>
      <c r="C10" s="10" t="s">
        <v>2580</v>
      </c>
      <c r="D10" s="12" t="s">
        <v>2583</v>
      </c>
      <c r="E10" s="10">
        <v>2018.0</v>
      </c>
      <c r="F10" s="10">
        <v>2019.0</v>
      </c>
      <c r="G10" s="10" t="s">
        <v>2541</v>
      </c>
      <c r="H10" s="10" t="s">
        <v>2585</v>
      </c>
      <c r="I10" s="10" t="s">
        <v>170</v>
      </c>
      <c r="J10" s="10" t="s">
        <v>170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22.5" customHeight="1">
      <c r="A11" s="10" t="s">
        <v>2586</v>
      </c>
      <c r="B11" s="10" t="s">
        <v>2587</v>
      </c>
      <c r="C11" s="10" t="s">
        <v>2537</v>
      </c>
      <c r="D11" s="12" t="s">
        <v>2588</v>
      </c>
      <c r="E11" s="10">
        <v>2020.0</v>
      </c>
      <c r="F11" s="10">
        <v>2020.0</v>
      </c>
      <c r="G11" s="10" t="s">
        <v>2495</v>
      </c>
      <c r="H11" s="10" t="s">
        <v>2496</v>
      </c>
      <c r="I11" s="10" t="s">
        <v>170</v>
      </c>
      <c r="J11" s="10" t="s">
        <v>170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22.5" customHeight="1">
      <c r="A12" s="10" t="s">
        <v>2589</v>
      </c>
      <c r="B12" s="10" t="s">
        <v>2587</v>
      </c>
      <c r="C12" s="10" t="s">
        <v>2513</v>
      </c>
      <c r="D12" s="12" t="s">
        <v>2590</v>
      </c>
      <c r="E12" s="10">
        <v>2020.0</v>
      </c>
      <c r="F12" s="10">
        <v>2020.0</v>
      </c>
      <c r="G12" s="10" t="s">
        <v>2495</v>
      </c>
      <c r="H12" s="10" t="s">
        <v>2573</v>
      </c>
      <c r="I12" s="10" t="s">
        <v>170</v>
      </c>
      <c r="J12" s="10" t="s">
        <v>170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22.5" customHeight="1">
      <c r="A13" s="10" t="s">
        <v>2591</v>
      </c>
      <c r="B13" s="10" t="s">
        <v>2587</v>
      </c>
      <c r="C13" s="10" t="s">
        <v>2513</v>
      </c>
      <c r="D13" s="12" t="s">
        <v>2592</v>
      </c>
      <c r="E13" s="10">
        <v>2020.0</v>
      </c>
      <c r="F13" s="10">
        <v>2021.0</v>
      </c>
      <c r="G13" s="10" t="s">
        <v>2593</v>
      </c>
      <c r="H13" s="10" t="s">
        <v>2594</v>
      </c>
      <c r="I13" s="10" t="s">
        <v>170</v>
      </c>
      <c r="J13" s="10" t="s">
        <v>170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22.5" customHeight="1">
      <c r="A14" s="10" t="s">
        <v>2595</v>
      </c>
      <c r="B14" s="10" t="s">
        <v>2596</v>
      </c>
      <c r="C14" s="10" t="s">
        <v>2537</v>
      </c>
      <c r="D14" s="12" t="s">
        <v>2597</v>
      </c>
      <c r="E14" s="10">
        <v>2020.0</v>
      </c>
      <c r="F14" s="10">
        <v>2020.0</v>
      </c>
      <c r="G14" s="10" t="s">
        <v>2495</v>
      </c>
      <c r="H14" s="10" t="s">
        <v>2496</v>
      </c>
      <c r="I14" s="10" t="s">
        <v>78</v>
      </c>
      <c r="J14" s="10" t="s">
        <v>78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22.5" customHeight="1">
      <c r="A15" s="10" t="s">
        <v>2598</v>
      </c>
      <c r="B15" s="10" t="s">
        <v>2596</v>
      </c>
      <c r="C15" s="10" t="s">
        <v>2537</v>
      </c>
      <c r="D15" s="12" t="s">
        <v>2599</v>
      </c>
      <c r="E15" s="10">
        <v>2020.0</v>
      </c>
      <c r="F15" s="10">
        <v>2020.0</v>
      </c>
      <c r="G15" s="10" t="s">
        <v>2495</v>
      </c>
      <c r="H15" s="10" t="s">
        <v>2496</v>
      </c>
      <c r="I15" s="10" t="s">
        <v>78</v>
      </c>
      <c r="J15" s="10" t="s">
        <v>78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22.5" customHeight="1">
      <c r="A16" s="10" t="s">
        <v>2600</v>
      </c>
      <c r="B16" s="10" t="s">
        <v>2596</v>
      </c>
      <c r="C16" s="10" t="s">
        <v>2491</v>
      </c>
      <c r="D16" s="12" t="s">
        <v>2601</v>
      </c>
      <c r="E16" s="10">
        <v>2019.0</v>
      </c>
      <c r="F16" s="10">
        <v>2021.0</v>
      </c>
      <c r="G16" s="10" t="s">
        <v>2573</v>
      </c>
      <c r="H16" s="10" t="s">
        <v>2541</v>
      </c>
      <c r="I16" s="10">
        <v>812.0</v>
      </c>
      <c r="J16" s="10" t="s">
        <v>78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22.5" customHeight="1">
      <c r="A17" s="10" t="s">
        <v>2602</v>
      </c>
      <c r="B17" s="10" t="s">
        <v>2596</v>
      </c>
      <c r="C17" s="10" t="s">
        <v>2513</v>
      </c>
      <c r="D17" s="12" t="s">
        <v>2603</v>
      </c>
      <c r="E17" s="10">
        <v>2020.0</v>
      </c>
      <c r="F17" s="10">
        <v>2020.0</v>
      </c>
      <c r="G17" s="10" t="s">
        <v>2495</v>
      </c>
      <c r="H17" s="10" t="s">
        <v>2496</v>
      </c>
      <c r="I17" s="10" t="s">
        <v>78</v>
      </c>
      <c r="J17" s="10" t="s">
        <v>78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22.5" customHeight="1">
      <c r="A18" s="10" t="s">
        <v>2604</v>
      </c>
      <c r="B18" s="10" t="s">
        <v>2596</v>
      </c>
      <c r="C18" s="10" t="s">
        <v>2513</v>
      </c>
      <c r="D18" s="12" t="s">
        <v>2605</v>
      </c>
      <c r="E18" s="10">
        <v>2019.0</v>
      </c>
      <c r="F18" s="10">
        <v>2020.0</v>
      </c>
      <c r="G18" s="10" t="s">
        <v>2496</v>
      </c>
      <c r="H18" s="10" t="s">
        <v>2496</v>
      </c>
      <c r="I18" s="10" t="s">
        <v>78</v>
      </c>
      <c r="J18" s="10" t="s">
        <v>78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22.5" customHeight="1">
      <c r="A19" s="10" t="s">
        <v>2606</v>
      </c>
      <c r="B19" s="10" t="s">
        <v>2596</v>
      </c>
      <c r="C19" s="10" t="s">
        <v>2513</v>
      </c>
      <c r="D19" s="12" t="s">
        <v>2607</v>
      </c>
      <c r="E19" s="10">
        <v>2020.0</v>
      </c>
      <c r="F19" s="10">
        <v>2020.0</v>
      </c>
      <c r="G19" s="10" t="s">
        <v>2495</v>
      </c>
      <c r="H19" s="10" t="s">
        <v>2496</v>
      </c>
      <c r="I19" s="10" t="s">
        <v>78</v>
      </c>
      <c r="J19" s="10" t="s">
        <v>78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22.5" customHeight="1">
      <c r="A20" s="10" t="s">
        <v>2608</v>
      </c>
      <c r="B20" s="10" t="s">
        <v>2609</v>
      </c>
      <c r="C20" s="10" t="s">
        <v>2513</v>
      </c>
      <c r="D20" s="12" t="s">
        <v>2610</v>
      </c>
      <c r="E20" s="10">
        <v>2021.0</v>
      </c>
      <c r="F20" s="10">
        <v>2023.0</v>
      </c>
      <c r="G20" s="10" t="s">
        <v>2495</v>
      </c>
      <c r="H20" s="10" t="s">
        <v>2496</v>
      </c>
      <c r="I20" s="10">
        <v>1.0</v>
      </c>
      <c r="J20" s="10">
        <v>200.0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22.5" customHeight="1">
      <c r="A21" s="10" t="s">
        <v>2611</v>
      </c>
      <c r="B21" s="10" t="s">
        <v>2609</v>
      </c>
      <c r="C21" s="10" t="s">
        <v>2491</v>
      </c>
      <c r="D21" s="12" t="s">
        <v>2612</v>
      </c>
      <c r="E21" s="10">
        <v>2019.0</v>
      </c>
      <c r="F21" s="10">
        <v>2023.0</v>
      </c>
      <c r="G21" s="10" t="s">
        <v>2495</v>
      </c>
      <c r="H21" s="10" t="s">
        <v>2496</v>
      </c>
      <c r="I21" s="10">
        <v>1.0</v>
      </c>
      <c r="J21" s="10">
        <v>100.0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22.5" customHeight="1">
      <c r="A22" s="10" t="s">
        <v>2613</v>
      </c>
      <c r="B22" s="10" t="s">
        <v>2614</v>
      </c>
      <c r="C22" s="10" t="s">
        <v>2491</v>
      </c>
      <c r="D22" s="12" t="s">
        <v>2615</v>
      </c>
      <c r="E22" s="10">
        <v>2018.0</v>
      </c>
      <c r="F22" s="10">
        <v>2018.0</v>
      </c>
      <c r="G22" s="10" t="s">
        <v>2594</v>
      </c>
      <c r="H22" s="10" t="s">
        <v>2616</v>
      </c>
      <c r="I22" s="183">
        <v>1233.0</v>
      </c>
      <c r="J22" s="10" t="s">
        <v>170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22.5" customHeight="1">
      <c r="A23" s="10" t="s">
        <v>2617</v>
      </c>
      <c r="B23" s="10" t="s">
        <v>2614</v>
      </c>
      <c r="C23" s="10" t="s">
        <v>2491</v>
      </c>
      <c r="D23" s="12" t="s">
        <v>2618</v>
      </c>
      <c r="E23" s="10">
        <v>2018.0</v>
      </c>
      <c r="F23" s="10">
        <v>2019.0</v>
      </c>
      <c r="G23" s="10" t="s">
        <v>2553</v>
      </c>
      <c r="H23" s="10" t="s">
        <v>2553</v>
      </c>
      <c r="I23" s="10">
        <v>2146.0</v>
      </c>
      <c r="J23" s="10" t="s">
        <v>170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22.5" customHeight="1">
      <c r="A24" s="10" t="s">
        <v>2619</v>
      </c>
      <c r="B24" s="10" t="s">
        <v>2614</v>
      </c>
      <c r="C24" s="10" t="s">
        <v>2491</v>
      </c>
      <c r="D24" s="12" t="s">
        <v>2620</v>
      </c>
      <c r="E24" s="10">
        <v>2019.0</v>
      </c>
      <c r="F24" s="10">
        <v>2021.0</v>
      </c>
      <c r="G24" s="10" t="s">
        <v>2553</v>
      </c>
      <c r="H24" s="10" t="s">
        <v>2616</v>
      </c>
      <c r="I24" s="10">
        <v>2146.0</v>
      </c>
      <c r="J24" s="10" t="s">
        <v>170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22.5" customHeight="1">
      <c r="A25" s="10" t="s">
        <v>2621</v>
      </c>
      <c r="B25" s="10" t="s">
        <v>2614</v>
      </c>
      <c r="C25" s="10" t="s">
        <v>2622</v>
      </c>
      <c r="D25" s="12" t="s">
        <v>2623</v>
      </c>
      <c r="E25" s="10">
        <v>2019.0</v>
      </c>
      <c r="F25" s="10">
        <v>2020.0</v>
      </c>
      <c r="G25" s="10" t="s">
        <v>2495</v>
      </c>
      <c r="H25" s="10" t="s">
        <v>2553</v>
      </c>
      <c r="I25" s="10" t="s">
        <v>170</v>
      </c>
      <c r="J25" s="10" t="s">
        <v>170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22.5" customHeight="1">
      <c r="A26" s="10" t="s">
        <v>2624</v>
      </c>
      <c r="B26" s="10" t="s">
        <v>2614</v>
      </c>
      <c r="C26" s="10" t="s">
        <v>2513</v>
      </c>
      <c r="D26" s="12" t="s">
        <v>1563</v>
      </c>
      <c r="E26" s="10">
        <v>2019.0</v>
      </c>
      <c r="F26" s="10">
        <v>2021.0</v>
      </c>
      <c r="G26" s="10" t="s">
        <v>2553</v>
      </c>
      <c r="H26" s="10" t="s">
        <v>2594</v>
      </c>
      <c r="I26" s="10" t="s">
        <v>170</v>
      </c>
      <c r="J26" s="10" t="s">
        <v>170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22.5" customHeight="1">
      <c r="A27" s="10" t="s">
        <v>2625</v>
      </c>
      <c r="B27" s="10" t="s">
        <v>2614</v>
      </c>
      <c r="C27" s="10" t="s">
        <v>2513</v>
      </c>
      <c r="D27" s="12" t="s">
        <v>2626</v>
      </c>
      <c r="E27" s="10">
        <v>2020.0</v>
      </c>
      <c r="F27" s="10">
        <v>2021.0</v>
      </c>
      <c r="G27" s="10" t="s">
        <v>2495</v>
      </c>
      <c r="H27" s="10" t="s">
        <v>2553</v>
      </c>
      <c r="I27" s="10" t="s">
        <v>170</v>
      </c>
      <c r="J27" s="10" t="s">
        <v>170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22.5" customHeight="1">
      <c r="A28" s="10" t="s">
        <v>2627</v>
      </c>
      <c r="B28" s="10" t="s">
        <v>2614</v>
      </c>
      <c r="C28" s="10" t="s">
        <v>2513</v>
      </c>
      <c r="D28" s="12" t="s">
        <v>2628</v>
      </c>
      <c r="E28" s="10">
        <v>2020.0</v>
      </c>
      <c r="F28" s="10">
        <v>2021.0</v>
      </c>
      <c r="G28" s="10" t="s">
        <v>2594</v>
      </c>
      <c r="H28" s="10" t="s">
        <v>2616</v>
      </c>
      <c r="I28" s="10" t="s">
        <v>170</v>
      </c>
      <c r="J28" s="10" t="s">
        <v>170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22.5" customHeight="1">
      <c r="A29" s="10" t="s">
        <v>2629</v>
      </c>
      <c r="B29" s="10" t="s">
        <v>2614</v>
      </c>
      <c r="C29" s="10" t="s">
        <v>2513</v>
      </c>
      <c r="D29" s="12" t="s">
        <v>2630</v>
      </c>
      <c r="E29" s="10">
        <v>2021.0</v>
      </c>
      <c r="F29" s="10">
        <v>2022.0</v>
      </c>
      <c r="G29" s="10" t="s">
        <v>2495</v>
      </c>
      <c r="H29" s="10" t="s">
        <v>2594</v>
      </c>
      <c r="I29" s="10" t="s">
        <v>170</v>
      </c>
      <c r="J29" s="10" t="s">
        <v>170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22.5" customHeight="1">
      <c r="A30" s="10" t="s">
        <v>2631</v>
      </c>
      <c r="B30" s="10" t="s">
        <v>2614</v>
      </c>
      <c r="C30" s="10" t="s">
        <v>2632</v>
      </c>
      <c r="D30" s="12" t="s">
        <v>2633</v>
      </c>
      <c r="E30" s="10">
        <v>2022.0</v>
      </c>
      <c r="F30" s="10">
        <v>2023.0</v>
      </c>
      <c r="G30" s="10" t="s">
        <v>2495</v>
      </c>
      <c r="H30" s="10" t="s">
        <v>2594</v>
      </c>
      <c r="I30" s="10">
        <v>1.0</v>
      </c>
      <c r="J30" s="10" t="s">
        <v>170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22.5" customHeight="1">
      <c r="A31" s="10" t="s">
        <v>2634</v>
      </c>
      <c r="B31" s="10" t="s">
        <v>2635</v>
      </c>
      <c r="C31" s="10" t="s">
        <v>2491</v>
      </c>
      <c r="D31" s="12" t="s">
        <v>2636</v>
      </c>
      <c r="E31" s="10">
        <v>2015.0</v>
      </c>
      <c r="F31" s="10">
        <v>2018.0</v>
      </c>
      <c r="G31" s="10"/>
      <c r="H31" s="10"/>
      <c r="I31" s="10"/>
      <c r="J31" s="10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22.5" customHeight="1">
      <c r="A32" s="10" t="s">
        <v>2637</v>
      </c>
      <c r="B32" s="10" t="s">
        <v>2635</v>
      </c>
      <c r="C32" s="10" t="s">
        <v>2491</v>
      </c>
      <c r="D32" s="12" t="s">
        <v>2638</v>
      </c>
      <c r="E32" s="10">
        <v>2018.0</v>
      </c>
      <c r="F32" s="10">
        <v>2019.0</v>
      </c>
      <c r="G32" s="10"/>
      <c r="H32" s="10"/>
      <c r="I32" s="10"/>
      <c r="J32" s="10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22.5" customHeight="1">
      <c r="A33" s="10" t="s">
        <v>2639</v>
      </c>
      <c r="B33" s="10" t="s">
        <v>2635</v>
      </c>
      <c r="C33" s="10" t="s">
        <v>2491</v>
      </c>
      <c r="D33" s="12" t="s">
        <v>1262</v>
      </c>
      <c r="E33" s="10">
        <v>2018.0</v>
      </c>
      <c r="F33" s="10">
        <v>2022.0</v>
      </c>
      <c r="G33" s="10"/>
      <c r="H33" s="10"/>
      <c r="I33" s="10"/>
      <c r="J33" s="10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22.5" customHeight="1">
      <c r="A34" s="10" t="s">
        <v>2640</v>
      </c>
      <c r="B34" s="10" t="s">
        <v>2635</v>
      </c>
      <c r="C34" s="10" t="s">
        <v>2513</v>
      </c>
      <c r="D34" s="12" t="s">
        <v>2641</v>
      </c>
      <c r="E34" s="10">
        <v>2019.0</v>
      </c>
      <c r="F34" s="10">
        <v>2021.0</v>
      </c>
      <c r="G34" s="10"/>
      <c r="H34" s="10"/>
      <c r="I34" s="10"/>
      <c r="J34" s="10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22.5" customHeight="1">
      <c r="A35" s="10" t="s">
        <v>2642</v>
      </c>
      <c r="B35" s="10" t="s">
        <v>2635</v>
      </c>
      <c r="C35" s="10" t="s">
        <v>2513</v>
      </c>
      <c r="D35" s="12" t="s">
        <v>2643</v>
      </c>
      <c r="E35" s="10">
        <v>2019.0</v>
      </c>
      <c r="F35" s="10">
        <v>2021.0</v>
      </c>
      <c r="G35" s="10"/>
      <c r="H35" s="10"/>
      <c r="I35" s="10"/>
      <c r="J35" s="10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22.5" customHeight="1">
      <c r="A36" s="10" t="s">
        <v>2644</v>
      </c>
      <c r="B36" s="10" t="s">
        <v>2635</v>
      </c>
      <c r="C36" s="10" t="s">
        <v>2513</v>
      </c>
      <c r="D36" s="12" t="s">
        <v>2645</v>
      </c>
      <c r="E36" s="10">
        <v>2019.0</v>
      </c>
      <c r="F36" s="10">
        <v>2021.0</v>
      </c>
      <c r="G36" s="10"/>
      <c r="H36" s="10"/>
      <c r="I36" s="10"/>
      <c r="J36" s="10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22.5" customHeight="1">
      <c r="A37" s="10" t="s">
        <v>2646</v>
      </c>
      <c r="B37" s="10" t="s">
        <v>2635</v>
      </c>
      <c r="C37" s="10" t="s">
        <v>2632</v>
      </c>
      <c r="D37" s="12" t="s">
        <v>2647</v>
      </c>
      <c r="E37" s="10">
        <v>2019.0</v>
      </c>
      <c r="F37" s="10">
        <v>2021.0</v>
      </c>
      <c r="G37" s="10"/>
      <c r="H37" s="10"/>
      <c r="I37" s="10">
        <v>1.0</v>
      </c>
      <c r="J37" s="10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22.5" customHeight="1">
      <c r="A38" s="10" t="s">
        <v>2648</v>
      </c>
      <c r="B38" s="10" t="s">
        <v>2635</v>
      </c>
      <c r="C38" s="10" t="s">
        <v>2580</v>
      </c>
      <c r="D38" s="12" t="s">
        <v>2583</v>
      </c>
      <c r="E38" s="10">
        <v>2018.0</v>
      </c>
      <c r="F38" s="10">
        <v>2022.0</v>
      </c>
      <c r="G38" s="10"/>
      <c r="H38" s="10"/>
      <c r="I38" s="10"/>
      <c r="J38" s="10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22.5" customHeight="1">
      <c r="A39" s="10" t="s">
        <v>2649</v>
      </c>
      <c r="B39" s="10" t="s">
        <v>2635</v>
      </c>
      <c r="C39" s="10" t="s">
        <v>2580</v>
      </c>
      <c r="D39" s="12" t="s">
        <v>2650</v>
      </c>
      <c r="E39" s="10">
        <v>2020.0</v>
      </c>
      <c r="F39" s="10">
        <v>2022.0</v>
      </c>
      <c r="G39" s="10"/>
      <c r="H39" s="10"/>
      <c r="I39" s="10"/>
      <c r="J39" s="10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22.5" customHeight="1">
      <c r="A40" s="10" t="s">
        <v>2651</v>
      </c>
      <c r="B40" s="10" t="s">
        <v>2635</v>
      </c>
      <c r="C40" s="10" t="s">
        <v>2580</v>
      </c>
      <c r="D40" s="12" t="s">
        <v>2652</v>
      </c>
      <c r="E40" s="10">
        <v>2018.0</v>
      </c>
      <c r="F40" s="10">
        <v>2023.0</v>
      </c>
      <c r="G40" s="10"/>
      <c r="H40" s="10"/>
      <c r="I40" s="10"/>
      <c r="J40" s="10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22.5" customHeight="1">
      <c r="A41" s="10" t="s">
        <v>2653</v>
      </c>
      <c r="B41" s="10" t="s">
        <v>142</v>
      </c>
      <c r="C41" s="10" t="s">
        <v>2537</v>
      </c>
      <c r="D41" s="12" t="s">
        <v>2654</v>
      </c>
      <c r="E41" s="10">
        <v>2020.0</v>
      </c>
      <c r="F41" s="10">
        <v>2020.0</v>
      </c>
      <c r="G41" s="10" t="s">
        <v>2495</v>
      </c>
      <c r="H41" s="10" t="s">
        <v>2496</v>
      </c>
      <c r="I41" s="10" t="s">
        <v>78</v>
      </c>
      <c r="J41" s="10" t="s">
        <v>78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22.5" customHeight="1">
      <c r="A42" s="10" t="s">
        <v>2655</v>
      </c>
      <c r="B42" s="10" t="s">
        <v>142</v>
      </c>
      <c r="C42" s="10" t="s">
        <v>2537</v>
      </c>
      <c r="D42" s="12" t="s">
        <v>2588</v>
      </c>
      <c r="E42" s="10">
        <v>2020.0</v>
      </c>
      <c r="F42" s="10">
        <v>2020.0</v>
      </c>
      <c r="G42" s="10" t="s">
        <v>2495</v>
      </c>
      <c r="H42" s="10" t="s">
        <v>2496</v>
      </c>
      <c r="I42" s="10" t="s">
        <v>78</v>
      </c>
      <c r="J42" s="10" t="s">
        <v>78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22.5" customHeight="1">
      <c r="A43" s="10" t="s">
        <v>2656</v>
      </c>
      <c r="B43" s="10" t="s">
        <v>142</v>
      </c>
      <c r="C43" s="10" t="s">
        <v>2491</v>
      </c>
      <c r="D43" s="12" t="s">
        <v>2492</v>
      </c>
      <c r="E43" s="10">
        <v>2019.0</v>
      </c>
      <c r="F43" s="10">
        <v>2019.0</v>
      </c>
      <c r="G43" s="10" t="s">
        <v>2495</v>
      </c>
      <c r="H43" s="10" t="s">
        <v>2496</v>
      </c>
      <c r="I43" s="10">
        <v>855.0</v>
      </c>
      <c r="J43" s="10">
        <v>3420.0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22.5" customHeight="1">
      <c r="A44" s="10" t="s">
        <v>2657</v>
      </c>
      <c r="B44" s="10" t="s">
        <v>142</v>
      </c>
      <c r="C44" s="10" t="s">
        <v>2491</v>
      </c>
      <c r="D44" s="12" t="s">
        <v>2502</v>
      </c>
      <c r="E44" s="10">
        <v>2019.0</v>
      </c>
      <c r="F44" s="10">
        <v>2019.0</v>
      </c>
      <c r="G44" s="10" t="s">
        <v>2495</v>
      </c>
      <c r="H44" s="10" t="s">
        <v>2496</v>
      </c>
      <c r="I44" s="10">
        <v>855.0</v>
      </c>
      <c r="J44" s="10">
        <v>1068.75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22.5" customHeight="1">
      <c r="A45" s="10" t="s">
        <v>2658</v>
      </c>
      <c r="B45" s="10" t="s">
        <v>142</v>
      </c>
      <c r="C45" s="10" t="s">
        <v>2513</v>
      </c>
      <c r="D45" s="12" t="s">
        <v>1262</v>
      </c>
      <c r="E45" s="10">
        <v>2019.0</v>
      </c>
      <c r="F45" s="10">
        <v>2021.0</v>
      </c>
      <c r="G45" s="10" t="s">
        <v>2495</v>
      </c>
      <c r="H45" s="10" t="s">
        <v>2496</v>
      </c>
      <c r="I45" s="10">
        <v>1.0</v>
      </c>
      <c r="J45" s="10">
        <v>100.0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22.5" customHeight="1">
      <c r="A46" s="10" t="s">
        <v>2659</v>
      </c>
      <c r="B46" s="10" t="s">
        <v>142</v>
      </c>
      <c r="C46" s="10" t="s">
        <v>2513</v>
      </c>
      <c r="D46" s="12" t="s">
        <v>2526</v>
      </c>
      <c r="E46" s="10">
        <v>2021.0</v>
      </c>
      <c r="F46" s="10">
        <v>2023.0</v>
      </c>
      <c r="G46" s="10" t="s">
        <v>2495</v>
      </c>
      <c r="H46" s="10" t="s">
        <v>2496</v>
      </c>
      <c r="I46" s="10">
        <v>3.0</v>
      </c>
      <c r="J46" s="10">
        <v>200.0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22.5" customHeight="1">
      <c r="A47" s="10" t="s">
        <v>2660</v>
      </c>
      <c r="B47" s="10" t="s">
        <v>142</v>
      </c>
      <c r="C47" s="10" t="s">
        <v>2537</v>
      </c>
      <c r="D47" s="12" t="s">
        <v>2540</v>
      </c>
      <c r="E47" s="10">
        <v>2018.0</v>
      </c>
      <c r="F47" s="10">
        <v>2019.0</v>
      </c>
      <c r="G47" s="10" t="s">
        <v>2541</v>
      </c>
      <c r="H47" s="10" t="s">
        <v>2496</v>
      </c>
      <c r="I47" s="10" t="s">
        <v>170</v>
      </c>
      <c r="J47" s="10" t="s">
        <v>170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22.5" customHeight="1">
      <c r="A48" s="10" t="s">
        <v>2661</v>
      </c>
      <c r="B48" s="10" t="s">
        <v>142</v>
      </c>
      <c r="C48" s="10" t="s">
        <v>2491</v>
      </c>
      <c r="D48" s="12" t="s">
        <v>2551</v>
      </c>
      <c r="E48" s="10">
        <v>2019.0</v>
      </c>
      <c r="F48" s="10">
        <v>2019.0</v>
      </c>
      <c r="G48" s="10" t="s">
        <v>2553</v>
      </c>
      <c r="H48" s="10" t="s">
        <v>2553</v>
      </c>
      <c r="I48" s="10" t="s">
        <v>170</v>
      </c>
      <c r="J48" s="10" t="s">
        <v>170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22.5" customHeight="1">
      <c r="A49" s="10" t="s">
        <v>2662</v>
      </c>
      <c r="B49" s="10" t="s">
        <v>142</v>
      </c>
      <c r="C49" s="10" t="s">
        <v>2491</v>
      </c>
      <c r="D49" s="12" t="s">
        <v>2560</v>
      </c>
      <c r="E49" s="10">
        <v>2019.0</v>
      </c>
      <c r="F49" s="10">
        <v>2019.0</v>
      </c>
      <c r="G49" s="10" t="s">
        <v>2553</v>
      </c>
      <c r="H49" s="10" t="s">
        <v>2553</v>
      </c>
      <c r="I49" s="10" t="s">
        <v>170</v>
      </c>
      <c r="J49" s="10" t="s">
        <v>170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22.5" customHeight="1">
      <c r="A50" s="10" t="s">
        <v>2663</v>
      </c>
      <c r="B50" s="10" t="s">
        <v>142</v>
      </c>
      <c r="C50" s="10" t="s">
        <v>2513</v>
      </c>
      <c r="D50" s="12" t="s">
        <v>1262</v>
      </c>
      <c r="E50" s="10">
        <v>2019.0</v>
      </c>
      <c r="F50" s="10">
        <v>2019.0</v>
      </c>
      <c r="G50" s="10" t="s">
        <v>2573</v>
      </c>
      <c r="H50" s="10" t="s">
        <v>2496</v>
      </c>
      <c r="I50" s="10" t="s">
        <v>170</v>
      </c>
      <c r="J50" s="10" t="s">
        <v>170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22.5" customHeight="1">
      <c r="A51" s="10" t="s">
        <v>2664</v>
      </c>
      <c r="B51" s="10" t="s">
        <v>142</v>
      </c>
      <c r="C51" s="10" t="s">
        <v>2580</v>
      </c>
      <c r="D51" s="12" t="s">
        <v>2583</v>
      </c>
      <c r="E51" s="10">
        <v>2018.0</v>
      </c>
      <c r="F51" s="10">
        <v>2019.0</v>
      </c>
      <c r="G51" s="10" t="s">
        <v>2541</v>
      </c>
      <c r="H51" s="10" t="s">
        <v>2585</v>
      </c>
      <c r="I51" s="10" t="s">
        <v>170</v>
      </c>
      <c r="J51" s="10" t="s">
        <v>170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22.5" customHeight="1">
      <c r="A52" s="10" t="s">
        <v>2665</v>
      </c>
      <c r="B52" s="10" t="s">
        <v>142</v>
      </c>
      <c r="C52" s="10" t="s">
        <v>2537</v>
      </c>
      <c r="D52" s="12" t="s">
        <v>2588</v>
      </c>
      <c r="E52" s="10">
        <v>2020.0</v>
      </c>
      <c r="F52" s="10">
        <v>2020.0</v>
      </c>
      <c r="G52" s="10" t="s">
        <v>2495</v>
      </c>
      <c r="H52" s="10" t="s">
        <v>2496</v>
      </c>
      <c r="I52" s="10" t="s">
        <v>170</v>
      </c>
      <c r="J52" s="10" t="s">
        <v>170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22.5" customHeight="1">
      <c r="A53" s="10" t="s">
        <v>2666</v>
      </c>
      <c r="B53" s="10" t="s">
        <v>142</v>
      </c>
      <c r="C53" s="10" t="s">
        <v>2513</v>
      </c>
      <c r="D53" s="12" t="s">
        <v>2590</v>
      </c>
      <c r="E53" s="10">
        <v>2020.0</v>
      </c>
      <c r="F53" s="10">
        <v>2020.0</v>
      </c>
      <c r="G53" s="10" t="s">
        <v>2495</v>
      </c>
      <c r="H53" s="10" t="s">
        <v>2573</v>
      </c>
      <c r="I53" s="10" t="s">
        <v>170</v>
      </c>
      <c r="J53" s="10" t="s">
        <v>170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22.5" customHeight="1">
      <c r="A54" s="10" t="s">
        <v>2667</v>
      </c>
      <c r="B54" s="10" t="s">
        <v>142</v>
      </c>
      <c r="C54" s="10" t="s">
        <v>2513</v>
      </c>
      <c r="D54" s="12" t="s">
        <v>2592</v>
      </c>
      <c r="E54" s="10">
        <v>2020.0</v>
      </c>
      <c r="F54" s="10">
        <v>2021.0</v>
      </c>
      <c r="G54" s="10" t="s">
        <v>2593</v>
      </c>
      <c r="H54" s="10" t="s">
        <v>2594</v>
      </c>
      <c r="I54" s="10" t="s">
        <v>170</v>
      </c>
      <c r="J54" s="10" t="s">
        <v>170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22.5" customHeight="1">
      <c r="A55" s="10" t="s">
        <v>2668</v>
      </c>
      <c r="B55" s="10" t="s">
        <v>188</v>
      </c>
      <c r="C55" s="10" t="s">
        <v>2491</v>
      </c>
      <c r="D55" s="12" t="s">
        <v>2669</v>
      </c>
      <c r="E55" s="10">
        <v>2019.0</v>
      </c>
      <c r="F55" s="10">
        <v>2020.0</v>
      </c>
      <c r="G55" s="10" t="s">
        <v>2495</v>
      </c>
      <c r="H55" s="10" t="s">
        <v>2496</v>
      </c>
      <c r="I55" s="10" t="s">
        <v>170</v>
      </c>
      <c r="J55" s="10" t="s">
        <v>170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22.5" customHeight="1">
      <c r="A56" s="10" t="s">
        <v>2670</v>
      </c>
      <c r="B56" s="10" t="s">
        <v>188</v>
      </c>
      <c r="C56" s="10" t="s">
        <v>2491</v>
      </c>
      <c r="D56" s="12" t="s">
        <v>2671</v>
      </c>
      <c r="E56" s="10">
        <v>2019.0</v>
      </c>
      <c r="F56" s="10">
        <v>2020.0</v>
      </c>
      <c r="G56" s="10" t="s">
        <v>2495</v>
      </c>
      <c r="H56" s="10" t="s">
        <v>2496</v>
      </c>
      <c r="I56" s="10" t="s">
        <v>170</v>
      </c>
      <c r="J56" s="10" t="s">
        <v>170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22.5" customHeight="1">
      <c r="A57" s="10" t="s">
        <v>2672</v>
      </c>
      <c r="B57" s="10" t="s">
        <v>188</v>
      </c>
      <c r="C57" s="10" t="s">
        <v>2491</v>
      </c>
      <c r="D57" s="12" t="s">
        <v>2673</v>
      </c>
      <c r="E57" s="10">
        <v>2019.0</v>
      </c>
      <c r="F57" s="10">
        <v>2020.0</v>
      </c>
      <c r="G57" s="10" t="s">
        <v>2495</v>
      </c>
      <c r="H57" s="10" t="s">
        <v>2496</v>
      </c>
      <c r="I57" s="10" t="s">
        <v>170</v>
      </c>
      <c r="J57" s="10" t="s">
        <v>170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22.5" customHeight="1">
      <c r="A58" s="10" t="s">
        <v>2674</v>
      </c>
      <c r="B58" s="10" t="s">
        <v>188</v>
      </c>
      <c r="C58" s="10" t="s">
        <v>2491</v>
      </c>
      <c r="D58" s="12" t="s">
        <v>2675</v>
      </c>
      <c r="E58" s="10">
        <v>2019.0</v>
      </c>
      <c r="F58" s="10">
        <v>2021.0</v>
      </c>
      <c r="G58" s="10" t="s">
        <v>2495</v>
      </c>
      <c r="H58" s="10" t="s">
        <v>2496</v>
      </c>
      <c r="I58" s="10" t="s">
        <v>170</v>
      </c>
      <c r="J58" s="10" t="s">
        <v>170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22.5" customHeight="1">
      <c r="A59" s="10" t="s">
        <v>2676</v>
      </c>
      <c r="B59" s="10" t="s">
        <v>188</v>
      </c>
      <c r="C59" s="10" t="s">
        <v>2537</v>
      </c>
      <c r="D59" s="12" t="s">
        <v>2677</v>
      </c>
      <c r="E59" s="10">
        <v>2019.0</v>
      </c>
      <c r="F59" s="10">
        <v>2019.0</v>
      </c>
      <c r="G59" s="10" t="s">
        <v>2495</v>
      </c>
      <c r="H59" s="10" t="s">
        <v>2496</v>
      </c>
      <c r="I59" s="10" t="s">
        <v>170</v>
      </c>
      <c r="J59" s="10" t="s">
        <v>170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22.5" customHeight="1">
      <c r="A60" s="10" t="s">
        <v>2678</v>
      </c>
      <c r="B60" s="10" t="s">
        <v>188</v>
      </c>
      <c r="C60" s="10" t="s">
        <v>2537</v>
      </c>
      <c r="D60" s="12" t="s">
        <v>2679</v>
      </c>
      <c r="E60" s="10">
        <v>2019.0</v>
      </c>
      <c r="F60" s="10">
        <v>2019.0</v>
      </c>
      <c r="G60" s="10" t="s">
        <v>2495</v>
      </c>
      <c r="H60" s="10" t="s">
        <v>2496</v>
      </c>
      <c r="I60" s="10" t="s">
        <v>170</v>
      </c>
      <c r="J60" s="10" t="s">
        <v>170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22.5" customHeight="1">
      <c r="A61" s="10" t="s">
        <v>2680</v>
      </c>
      <c r="B61" s="10" t="s">
        <v>188</v>
      </c>
      <c r="C61" s="10" t="s">
        <v>2513</v>
      </c>
      <c r="D61" s="12" t="s">
        <v>2681</v>
      </c>
      <c r="E61" s="10">
        <v>2020.0</v>
      </c>
      <c r="F61" s="10">
        <v>2021.0</v>
      </c>
      <c r="G61" s="10" t="s">
        <v>2495</v>
      </c>
      <c r="H61" s="10" t="s">
        <v>2496</v>
      </c>
      <c r="I61" s="10" t="s">
        <v>170</v>
      </c>
      <c r="J61" s="10" t="s">
        <v>170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22.5" customHeight="1">
      <c r="A62" s="10" t="s">
        <v>2682</v>
      </c>
      <c r="B62" s="10" t="s">
        <v>188</v>
      </c>
      <c r="C62" s="10" t="s">
        <v>2513</v>
      </c>
      <c r="D62" s="12" t="s">
        <v>2683</v>
      </c>
      <c r="E62" s="10">
        <v>2020.0</v>
      </c>
      <c r="F62" s="10">
        <v>2021.0</v>
      </c>
      <c r="G62" s="10" t="s">
        <v>2495</v>
      </c>
      <c r="H62" s="10" t="s">
        <v>2496</v>
      </c>
      <c r="I62" s="10" t="s">
        <v>170</v>
      </c>
      <c r="J62" s="10" t="s">
        <v>170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22.5" customHeight="1">
      <c r="A63" s="10" t="s">
        <v>2684</v>
      </c>
      <c r="B63" s="10" t="s">
        <v>188</v>
      </c>
      <c r="C63" s="10" t="s">
        <v>2513</v>
      </c>
      <c r="D63" s="12" t="s">
        <v>2685</v>
      </c>
      <c r="E63" s="10">
        <v>2020.0</v>
      </c>
      <c r="F63" s="10">
        <v>2021.0</v>
      </c>
      <c r="G63" s="10" t="s">
        <v>2495</v>
      </c>
      <c r="H63" s="10" t="s">
        <v>2496</v>
      </c>
      <c r="I63" s="10" t="s">
        <v>170</v>
      </c>
      <c r="J63" s="10" t="s">
        <v>170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22.5" customHeight="1">
      <c r="A64" s="10" t="s">
        <v>2686</v>
      </c>
      <c r="B64" s="10" t="s">
        <v>188</v>
      </c>
      <c r="C64" s="10" t="s">
        <v>2491</v>
      </c>
      <c r="D64" s="12" t="s">
        <v>2687</v>
      </c>
      <c r="E64" s="10">
        <v>2022.0</v>
      </c>
      <c r="F64" s="10">
        <v>2022.0</v>
      </c>
      <c r="G64" s="10" t="s">
        <v>2495</v>
      </c>
      <c r="H64" s="10" t="s">
        <v>2496</v>
      </c>
      <c r="I64" s="10" t="s">
        <v>170</v>
      </c>
      <c r="J64" s="10" t="s">
        <v>170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22.5" customHeight="1">
      <c r="A65" s="10" t="s">
        <v>2688</v>
      </c>
      <c r="B65" s="10" t="s">
        <v>245</v>
      </c>
      <c r="C65" s="10" t="s">
        <v>2491</v>
      </c>
      <c r="D65" s="12" t="s">
        <v>2689</v>
      </c>
      <c r="E65" s="10">
        <v>2019.0</v>
      </c>
      <c r="F65" s="10">
        <v>2020.0</v>
      </c>
      <c r="G65" s="10"/>
      <c r="H65" s="10"/>
      <c r="I65" s="10"/>
      <c r="J65" s="10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22.5" customHeight="1">
      <c r="A66" s="10" t="s">
        <v>2690</v>
      </c>
      <c r="B66" s="10" t="s">
        <v>245</v>
      </c>
      <c r="C66" s="10" t="s">
        <v>2513</v>
      </c>
      <c r="D66" s="12" t="s">
        <v>2691</v>
      </c>
      <c r="E66" s="10">
        <v>2021.0</v>
      </c>
      <c r="F66" s="10">
        <v>2022.0</v>
      </c>
      <c r="G66" s="10"/>
      <c r="H66" s="10"/>
      <c r="I66" s="10"/>
      <c r="J66" s="10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22.5" customHeight="1">
      <c r="A67" s="10" t="s">
        <v>2692</v>
      </c>
      <c r="B67" s="10" t="s">
        <v>245</v>
      </c>
      <c r="C67" s="10" t="s">
        <v>2537</v>
      </c>
      <c r="D67" s="12" t="s">
        <v>2693</v>
      </c>
      <c r="E67" s="10">
        <v>2021.0</v>
      </c>
      <c r="F67" s="10">
        <v>2021.0</v>
      </c>
      <c r="G67" s="10"/>
      <c r="H67" s="10"/>
      <c r="I67" s="10"/>
      <c r="J67" s="10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22.5" customHeight="1">
      <c r="A68" s="10" t="s">
        <v>2694</v>
      </c>
      <c r="B68" s="10" t="s">
        <v>245</v>
      </c>
      <c r="C68" s="10" t="s">
        <v>2537</v>
      </c>
      <c r="D68" s="12" t="s">
        <v>2695</v>
      </c>
      <c r="E68" s="10">
        <v>2021.0</v>
      </c>
      <c r="F68" s="10">
        <v>2021.0</v>
      </c>
      <c r="G68" s="10"/>
      <c r="H68" s="10"/>
      <c r="I68" s="10"/>
      <c r="J68" s="10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22.5" customHeight="1">
      <c r="A69" s="10" t="s">
        <v>2696</v>
      </c>
      <c r="B69" s="10" t="s">
        <v>245</v>
      </c>
      <c r="C69" s="10" t="s">
        <v>2632</v>
      </c>
      <c r="D69" s="12" t="s">
        <v>2697</v>
      </c>
      <c r="E69" s="10">
        <v>2020.0</v>
      </c>
      <c r="F69" s="10">
        <v>2020.0</v>
      </c>
      <c r="G69" s="10"/>
      <c r="H69" s="10"/>
      <c r="I69" s="10"/>
      <c r="J69" s="10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22.5" customHeight="1">
      <c r="A70" s="10" t="s">
        <v>2698</v>
      </c>
      <c r="B70" s="10" t="s">
        <v>245</v>
      </c>
      <c r="C70" s="10" t="s">
        <v>2491</v>
      </c>
      <c r="D70" s="12" t="s">
        <v>2699</v>
      </c>
      <c r="E70" s="10">
        <v>2022.0</v>
      </c>
      <c r="F70" s="10">
        <v>2023.0</v>
      </c>
      <c r="G70" s="10"/>
      <c r="H70" s="10"/>
      <c r="I70" s="10"/>
      <c r="J70" s="10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22.5" customHeight="1">
      <c r="A71" s="10" t="s">
        <v>2700</v>
      </c>
      <c r="B71" s="10" t="s">
        <v>245</v>
      </c>
      <c r="C71" s="10" t="s">
        <v>2537</v>
      </c>
      <c r="D71" s="12" t="s">
        <v>2701</v>
      </c>
      <c r="E71" s="10">
        <v>2021.0</v>
      </c>
      <c r="F71" s="10">
        <v>2021.0</v>
      </c>
      <c r="G71" s="10"/>
      <c r="H71" s="10"/>
      <c r="I71" s="10"/>
      <c r="J71" s="10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22.5" customHeight="1">
      <c r="A72" s="10" t="s">
        <v>2702</v>
      </c>
      <c r="B72" s="10" t="s">
        <v>245</v>
      </c>
      <c r="C72" s="10" t="s">
        <v>2491</v>
      </c>
      <c r="D72" s="12" t="s">
        <v>2703</v>
      </c>
      <c r="E72" s="10">
        <v>2021.0</v>
      </c>
      <c r="F72" s="10">
        <v>2021.0</v>
      </c>
      <c r="G72" s="10"/>
      <c r="H72" s="10"/>
      <c r="I72" s="10"/>
      <c r="J72" s="10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22.5" customHeight="1">
      <c r="A73" s="10" t="s">
        <v>2704</v>
      </c>
      <c r="B73" s="10" t="s">
        <v>245</v>
      </c>
      <c r="C73" s="10" t="s">
        <v>2632</v>
      </c>
      <c r="D73" s="12" t="s">
        <v>2705</v>
      </c>
      <c r="E73" s="10">
        <v>2024.0</v>
      </c>
      <c r="F73" s="10">
        <v>2025.0</v>
      </c>
      <c r="G73" s="10"/>
      <c r="H73" s="10"/>
      <c r="I73" s="10"/>
      <c r="J73" s="10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22.5" customHeight="1">
      <c r="A74" s="10" t="s">
        <v>2706</v>
      </c>
      <c r="B74" s="10" t="s">
        <v>245</v>
      </c>
      <c r="C74" s="10" t="s">
        <v>2632</v>
      </c>
      <c r="D74" s="12" t="s">
        <v>2707</v>
      </c>
      <c r="E74" s="10">
        <v>2024.0</v>
      </c>
      <c r="F74" s="10">
        <v>2025.0</v>
      </c>
      <c r="G74" s="10"/>
      <c r="H74" s="10"/>
      <c r="I74" s="10"/>
      <c r="J74" s="10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22.5" customHeight="1">
      <c r="A75" s="10" t="s">
        <v>2708</v>
      </c>
      <c r="B75" s="10" t="s">
        <v>268</v>
      </c>
      <c r="C75" s="10" t="s">
        <v>2491</v>
      </c>
      <c r="D75" s="12" t="s">
        <v>2588</v>
      </c>
      <c r="E75" s="10">
        <v>2020.0</v>
      </c>
      <c r="F75" s="10">
        <v>2020.0</v>
      </c>
      <c r="G75" s="10" t="s">
        <v>2495</v>
      </c>
      <c r="H75" s="10" t="s">
        <v>2496</v>
      </c>
      <c r="I75" s="10" t="s">
        <v>170</v>
      </c>
      <c r="J75" s="10" t="s">
        <v>170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22.5" customHeight="1">
      <c r="A76" s="10" t="s">
        <v>2709</v>
      </c>
      <c r="B76" s="10" t="s">
        <v>268</v>
      </c>
      <c r="C76" s="10" t="s">
        <v>2513</v>
      </c>
      <c r="D76" s="12" t="s">
        <v>2710</v>
      </c>
      <c r="E76" s="10">
        <v>2020.0</v>
      </c>
      <c r="F76" s="10">
        <v>2020.0</v>
      </c>
      <c r="G76" s="10" t="s">
        <v>2495</v>
      </c>
      <c r="H76" s="10" t="s">
        <v>2496</v>
      </c>
      <c r="I76" s="10" t="s">
        <v>170</v>
      </c>
      <c r="J76" s="10" t="s">
        <v>170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22.5" customHeight="1">
      <c r="A77" s="10" t="s">
        <v>2711</v>
      </c>
      <c r="B77" s="10" t="s">
        <v>268</v>
      </c>
      <c r="C77" s="10" t="s">
        <v>2622</v>
      </c>
      <c r="D77" s="12" t="s">
        <v>2712</v>
      </c>
      <c r="E77" s="10">
        <v>2020.0</v>
      </c>
      <c r="F77" s="10">
        <v>2021.0</v>
      </c>
      <c r="G77" s="10" t="s">
        <v>170</v>
      </c>
      <c r="H77" s="10" t="s">
        <v>170</v>
      </c>
      <c r="I77" s="10" t="s">
        <v>170</v>
      </c>
      <c r="J77" s="10" t="s">
        <v>170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22.5" customHeight="1">
      <c r="A78" s="10" t="s">
        <v>2713</v>
      </c>
      <c r="B78" s="10" t="s">
        <v>268</v>
      </c>
      <c r="C78" s="10" t="s">
        <v>2632</v>
      </c>
      <c r="D78" s="12" t="s">
        <v>2526</v>
      </c>
      <c r="E78" s="10">
        <v>2020.0</v>
      </c>
      <c r="F78" s="10">
        <v>2021.0</v>
      </c>
      <c r="G78" s="10" t="s">
        <v>170</v>
      </c>
      <c r="H78" s="10" t="s">
        <v>170</v>
      </c>
      <c r="I78" s="10" t="s">
        <v>170</v>
      </c>
      <c r="J78" s="10" t="s">
        <v>170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22.5" customHeight="1">
      <c r="A79" s="10" t="s">
        <v>2714</v>
      </c>
      <c r="B79" s="10" t="s">
        <v>268</v>
      </c>
      <c r="C79" s="10" t="s">
        <v>2632</v>
      </c>
      <c r="D79" s="12" t="s">
        <v>2715</v>
      </c>
      <c r="E79" s="10">
        <v>2020.0</v>
      </c>
      <c r="F79" s="10">
        <v>2021.0</v>
      </c>
      <c r="G79" s="10" t="s">
        <v>170</v>
      </c>
      <c r="H79" s="10" t="s">
        <v>170</v>
      </c>
      <c r="I79" s="10" t="s">
        <v>170</v>
      </c>
      <c r="J79" s="10" t="s">
        <v>170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22.5" customHeight="1">
      <c r="A80" s="10" t="s">
        <v>2716</v>
      </c>
      <c r="B80" s="10" t="s">
        <v>268</v>
      </c>
      <c r="C80" s="10" t="s">
        <v>2580</v>
      </c>
      <c r="D80" s="12" t="s">
        <v>2717</v>
      </c>
      <c r="E80" s="10">
        <v>2020.0</v>
      </c>
      <c r="F80" s="10">
        <v>2021.0</v>
      </c>
      <c r="G80" s="10" t="s">
        <v>170</v>
      </c>
      <c r="H80" s="10" t="s">
        <v>170</v>
      </c>
      <c r="I80" s="10" t="s">
        <v>170</v>
      </c>
      <c r="J80" s="10" t="s">
        <v>170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22.5" customHeight="1">
      <c r="A81" s="10" t="s">
        <v>2718</v>
      </c>
      <c r="B81" s="10" t="s">
        <v>268</v>
      </c>
      <c r="C81" s="10" t="s">
        <v>2632</v>
      </c>
      <c r="D81" s="12" t="s">
        <v>2719</v>
      </c>
      <c r="E81" s="10">
        <v>2020.0</v>
      </c>
      <c r="F81" s="10">
        <v>2020.0</v>
      </c>
      <c r="G81" s="10" t="s">
        <v>170</v>
      </c>
      <c r="H81" s="10" t="s">
        <v>170</v>
      </c>
      <c r="I81" s="10" t="s">
        <v>170</v>
      </c>
      <c r="J81" s="10" t="s">
        <v>170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22.5" customHeight="1">
      <c r="A82" s="10" t="s">
        <v>2720</v>
      </c>
      <c r="B82" s="10" t="s">
        <v>292</v>
      </c>
      <c r="C82" s="10" t="s">
        <v>2537</v>
      </c>
      <c r="D82" s="12" t="s">
        <v>1706</v>
      </c>
      <c r="E82" s="10">
        <v>2018.0</v>
      </c>
      <c r="F82" s="10">
        <v>2020.0</v>
      </c>
      <c r="G82" s="10" t="s">
        <v>170</v>
      </c>
      <c r="H82" s="10" t="s">
        <v>170</v>
      </c>
      <c r="I82" s="10"/>
      <c r="J82" s="10">
        <v>10.0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22.5" customHeight="1">
      <c r="A83" s="10" t="s">
        <v>2721</v>
      </c>
      <c r="B83" s="10" t="s">
        <v>292</v>
      </c>
      <c r="C83" s="10" t="s">
        <v>2491</v>
      </c>
      <c r="D83" s="12" t="s">
        <v>2722</v>
      </c>
      <c r="E83" s="10">
        <v>2020.0</v>
      </c>
      <c r="F83" s="10">
        <v>2020.0</v>
      </c>
      <c r="G83" s="10" t="s">
        <v>2723</v>
      </c>
      <c r="H83" s="10" t="s">
        <v>2496</v>
      </c>
      <c r="I83" s="10">
        <v>2.5</v>
      </c>
      <c r="J83" s="10">
        <v>1596.0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22.5" customHeight="1">
      <c r="A84" s="10" t="s">
        <v>2724</v>
      </c>
      <c r="B84" s="10" t="s">
        <v>292</v>
      </c>
      <c r="C84" s="10" t="s">
        <v>2537</v>
      </c>
      <c r="D84" s="12" t="s">
        <v>2725</v>
      </c>
      <c r="E84" s="10">
        <v>2018.0</v>
      </c>
      <c r="F84" s="10">
        <v>2018.0</v>
      </c>
      <c r="G84" s="10" t="s">
        <v>2495</v>
      </c>
      <c r="H84" s="10" t="s">
        <v>2496</v>
      </c>
      <c r="I84" s="10">
        <v>0.5</v>
      </c>
      <c r="J84" s="10">
        <v>5.75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22.5" customHeight="1">
      <c r="A85" s="10" t="s">
        <v>2726</v>
      </c>
      <c r="B85" s="10" t="s">
        <v>292</v>
      </c>
      <c r="C85" s="10" t="s">
        <v>2491</v>
      </c>
      <c r="D85" s="12" t="s">
        <v>2727</v>
      </c>
      <c r="E85" s="10">
        <v>2021.0</v>
      </c>
      <c r="F85" s="10">
        <v>2021.0</v>
      </c>
      <c r="G85" s="10" t="s">
        <v>2495</v>
      </c>
      <c r="H85" s="10" t="s">
        <v>2496</v>
      </c>
      <c r="I85" s="10">
        <v>1.25</v>
      </c>
      <c r="J85" s="10">
        <v>1596.0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22.5" customHeight="1">
      <c r="A86" s="10" t="s">
        <v>2728</v>
      </c>
      <c r="B86" s="10" t="s">
        <v>292</v>
      </c>
      <c r="C86" s="10" t="s">
        <v>2491</v>
      </c>
      <c r="D86" s="12" t="s">
        <v>2729</v>
      </c>
      <c r="E86" s="10">
        <v>2020.0</v>
      </c>
      <c r="F86" s="10">
        <v>2020.0</v>
      </c>
      <c r="G86" s="10" t="s">
        <v>2495</v>
      </c>
      <c r="H86" s="10" t="s">
        <v>2496</v>
      </c>
      <c r="I86" s="10">
        <v>0.5</v>
      </c>
      <c r="J86" s="10">
        <v>580.0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22.5" customHeight="1">
      <c r="A87" s="10" t="s">
        <v>2730</v>
      </c>
      <c r="B87" s="10" t="s">
        <v>292</v>
      </c>
      <c r="C87" s="10" t="s">
        <v>2491</v>
      </c>
      <c r="D87" s="12" t="s">
        <v>2731</v>
      </c>
      <c r="E87" s="10">
        <v>2020.0</v>
      </c>
      <c r="F87" s="10">
        <v>2020.0</v>
      </c>
      <c r="G87" s="10" t="s">
        <v>2495</v>
      </c>
      <c r="H87" s="10" t="s">
        <v>2496</v>
      </c>
      <c r="I87" s="10">
        <v>2.0</v>
      </c>
      <c r="J87" s="10">
        <v>797.995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22.5" customHeight="1">
      <c r="A88" s="10" t="s">
        <v>2732</v>
      </c>
      <c r="B88" s="10" t="s">
        <v>292</v>
      </c>
      <c r="C88" s="10" t="s">
        <v>2491</v>
      </c>
      <c r="D88" s="12" t="s">
        <v>2733</v>
      </c>
      <c r="E88" s="10">
        <v>2020.0</v>
      </c>
      <c r="F88" s="10">
        <v>2020.0</v>
      </c>
      <c r="G88" s="10" t="s">
        <v>2495</v>
      </c>
      <c r="H88" s="10" t="s">
        <v>2496</v>
      </c>
      <c r="I88" s="10">
        <v>2.0</v>
      </c>
      <c r="J88" s="10">
        <v>797.995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22.5" customHeight="1">
      <c r="A89" s="10" t="s">
        <v>2734</v>
      </c>
      <c r="B89" s="10" t="s">
        <v>292</v>
      </c>
      <c r="C89" s="10" t="s">
        <v>2491</v>
      </c>
      <c r="D89" s="12" t="s">
        <v>2735</v>
      </c>
      <c r="E89" s="10">
        <v>2019.0</v>
      </c>
      <c r="F89" s="10">
        <v>2023.0</v>
      </c>
      <c r="G89" s="10" t="s">
        <v>2541</v>
      </c>
      <c r="H89" s="10" t="s">
        <v>2585</v>
      </c>
      <c r="I89" s="10">
        <v>100.0</v>
      </c>
      <c r="J89" s="10">
        <v>1.0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22.5" customHeight="1">
      <c r="A90" s="10" t="s">
        <v>2736</v>
      </c>
      <c r="B90" s="10" t="s">
        <v>292</v>
      </c>
      <c r="C90" s="10" t="s">
        <v>2513</v>
      </c>
      <c r="D90" s="12" t="s">
        <v>2623</v>
      </c>
      <c r="E90" s="10">
        <v>2018.0</v>
      </c>
      <c r="F90" s="10">
        <v>2021.0</v>
      </c>
      <c r="G90" s="10" t="s">
        <v>2616</v>
      </c>
      <c r="H90" s="10" t="s">
        <v>2496</v>
      </c>
      <c r="I90" s="10" t="s">
        <v>170</v>
      </c>
      <c r="J90" s="10" t="s">
        <v>170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22.5" customHeight="1">
      <c r="A91" s="10" t="s">
        <v>2737</v>
      </c>
      <c r="B91" s="10" t="s">
        <v>292</v>
      </c>
      <c r="C91" s="10" t="s">
        <v>2513</v>
      </c>
      <c r="D91" s="12" t="s">
        <v>2738</v>
      </c>
      <c r="E91" s="10">
        <v>2018.0</v>
      </c>
      <c r="F91" s="10">
        <v>2022.0</v>
      </c>
      <c r="G91" s="10" t="s">
        <v>2616</v>
      </c>
      <c r="H91" s="10" t="s">
        <v>2739</v>
      </c>
      <c r="I91" s="10" t="s">
        <v>170</v>
      </c>
      <c r="J91" s="10" t="s">
        <v>170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22.5" customHeight="1">
      <c r="A92" s="10" t="s">
        <v>2740</v>
      </c>
      <c r="B92" s="10" t="s">
        <v>292</v>
      </c>
      <c r="C92" s="10" t="s">
        <v>2513</v>
      </c>
      <c r="D92" s="12" t="s">
        <v>2741</v>
      </c>
      <c r="E92" s="10">
        <v>2020.0</v>
      </c>
      <c r="F92" s="10">
        <v>2023.0</v>
      </c>
      <c r="G92" s="10" t="s">
        <v>2742</v>
      </c>
      <c r="H92" s="10" t="s">
        <v>2496</v>
      </c>
      <c r="I92" s="10" t="s">
        <v>170</v>
      </c>
      <c r="J92" s="10" t="s">
        <v>170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22.5" customHeight="1">
      <c r="A93" s="10" t="s">
        <v>2743</v>
      </c>
      <c r="B93" s="10" t="s">
        <v>292</v>
      </c>
      <c r="C93" s="10" t="s">
        <v>2513</v>
      </c>
      <c r="D93" s="12" t="s">
        <v>1563</v>
      </c>
      <c r="E93" s="10">
        <v>2019.0</v>
      </c>
      <c r="F93" s="10">
        <v>2023.0</v>
      </c>
      <c r="G93" s="10" t="s">
        <v>2553</v>
      </c>
      <c r="H93" s="10" t="s">
        <v>2496</v>
      </c>
      <c r="I93" s="10" t="s">
        <v>170</v>
      </c>
      <c r="J93" s="10" t="s">
        <v>170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22.5" customHeight="1">
      <c r="A94" s="10" t="s">
        <v>2744</v>
      </c>
      <c r="B94" s="10" t="s">
        <v>292</v>
      </c>
      <c r="C94" s="10" t="s">
        <v>2513</v>
      </c>
      <c r="D94" s="12" t="s">
        <v>2745</v>
      </c>
      <c r="E94" s="10">
        <v>2019.0</v>
      </c>
      <c r="F94" s="10">
        <v>2023.0</v>
      </c>
      <c r="G94" s="10" t="s">
        <v>2594</v>
      </c>
      <c r="H94" s="10" t="s">
        <v>2496</v>
      </c>
      <c r="I94" s="10" t="s">
        <v>170</v>
      </c>
      <c r="J94" s="10" t="s">
        <v>170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22.5" customHeight="1">
      <c r="A95" s="10" t="s">
        <v>2746</v>
      </c>
      <c r="B95" s="10" t="s">
        <v>292</v>
      </c>
      <c r="C95" s="10" t="s">
        <v>2513</v>
      </c>
      <c r="D95" s="12" t="s">
        <v>2628</v>
      </c>
      <c r="E95" s="10">
        <v>2018.0</v>
      </c>
      <c r="F95" s="10">
        <v>2023.0</v>
      </c>
      <c r="G95" s="10" t="s">
        <v>2616</v>
      </c>
      <c r="H95" s="10" t="s">
        <v>2742</v>
      </c>
      <c r="I95" s="10" t="s">
        <v>170</v>
      </c>
      <c r="J95" s="10" t="s">
        <v>170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22.5" customHeight="1">
      <c r="A96" s="10" t="s">
        <v>2747</v>
      </c>
      <c r="B96" s="10" t="s">
        <v>292</v>
      </c>
      <c r="C96" s="10" t="s">
        <v>2748</v>
      </c>
      <c r="D96" s="12" t="s">
        <v>2749</v>
      </c>
      <c r="E96" s="10">
        <v>2020.0</v>
      </c>
      <c r="F96" s="10">
        <v>2023.0</v>
      </c>
      <c r="G96" s="10" t="s">
        <v>2616</v>
      </c>
      <c r="H96" s="10" t="s">
        <v>2496</v>
      </c>
      <c r="I96" s="10">
        <v>220.0</v>
      </c>
      <c r="J96" s="10">
        <v>1.0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22.5" customHeight="1">
      <c r="A97" s="10" t="s">
        <v>2750</v>
      </c>
      <c r="B97" s="10" t="s">
        <v>292</v>
      </c>
      <c r="C97" s="10" t="s">
        <v>2513</v>
      </c>
      <c r="D97" s="12" t="s">
        <v>2751</v>
      </c>
      <c r="E97" s="10">
        <v>2020.0</v>
      </c>
      <c r="F97" s="10">
        <v>2020.0</v>
      </c>
      <c r="G97" s="10" t="s">
        <v>2495</v>
      </c>
      <c r="H97" s="10" t="s">
        <v>2496</v>
      </c>
      <c r="I97" s="10" t="s">
        <v>170</v>
      </c>
      <c r="J97" s="10" t="s">
        <v>170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22.5" customHeight="1">
      <c r="A98" s="10" t="s">
        <v>2752</v>
      </c>
      <c r="B98" s="10" t="s">
        <v>292</v>
      </c>
      <c r="C98" s="10" t="s">
        <v>2748</v>
      </c>
      <c r="D98" s="12" t="s">
        <v>2753</v>
      </c>
      <c r="E98" s="10">
        <v>2020.0</v>
      </c>
      <c r="F98" s="10">
        <v>2020.0</v>
      </c>
      <c r="G98" s="10" t="s">
        <v>2495</v>
      </c>
      <c r="H98" s="10" t="s">
        <v>2496</v>
      </c>
      <c r="I98" s="10" t="s">
        <v>170</v>
      </c>
      <c r="J98" s="10" t="s">
        <v>170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22.5" customHeight="1">
      <c r="A99" s="10" t="s">
        <v>2754</v>
      </c>
      <c r="B99" s="10" t="s">
        <v>2755</v>
      </c>
      <c r="C99" s="10" t="s">
        <v>2491</v>
      </c>
      <c r="D99" s="12" t="s">
        <v>2756</v>
      </c>
      <c r="E99" s="10">
        <v>2018.0</v>
      </c>
      <c r="F99" s="10">
        <v>2018.0</v>
      </c>
      <c r="G99" s="10" t="s">
        <v>78</v>
      </c>
      <c r="H99" s="10" t="s">
        <v>78</v>
      </c>
      <c r="I99" s="10">
        <v>900.0</v>
      </c>
      <c r="J99" s="10">
        <v>900.0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22.5" customHeight="1">
      <c r="A100" s="10" t="s">
        <v>2757</v>
      </c>
      <c r="B100" s="10" t="s">
        <v>2755</v>
      </c>
      <c r="C100" s="10" t="s">
        <v>2491</v>
      </c>
      <c r="D100" s="12" t="s">
        <v>2758</v>
      </c>
      <c r="E100" s="10">
        <v>2018.0</v>
      </c>
      <c r="F100" s="10">
        <v>2018.0</v>
      </c>
      <c r="G100" s="10" t="s">
        <v>78</v>
      </c>
      <c r="H100" s="10" t="s">
        <v>78</v>
      </c>
      <c r="I100" s="10">
        <v>1800.0</v>
      </c>
      <c r="J100" s="10">
        <v>900.0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22.5" customHeight="1">
      <c r="A101" s="10" t="s">
        <v>2759</v>
      </c>
      <c r="B101" s="10" t="s">
        <v>2755</v>
      </c>
      <c r="C101" s="10" t="s">
        <v>2491</v>
      </c>
      <c r="D101" s="12" t="s">
        <v>2760</v>
      </c>
      <c r="E101" s="10">
        <v>2020.0</v>
      </c>
      <c r="F101" s="10">
        <v>2020.0</v>
      </c>
      <c r="G101" s="10" t="s">
        <v>78</v>
      </c>
      <c r="H101" s="10" t="s">
        <v>78</v>
      </c>
      <c r="I101" s="10">
        <v>230.0</v>
      </c>
      <c r="J101" s="10">
        <v>1150.0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22.5" customHeight="1">
      <c r="A102" s="10" t="s">
        <v>2761</v>
      </c>
      <c r="B102" s="10" t="s">
        <v>2755</v>
      </c>
      <c r="C102" s="10" t="s">
        <v>2491</v>
      </c>
      <c r="D102" s="12" t="s">
        <v>2762</v>
      </c>
      <c r="E102" s="10">
        <v>2020.0</v>
      </c>
      <c r="F102" s="10">
        <v>2020.0</v>
      </c>
      <c r="G102" s="10" t="s">
        <v>78</v>
      </c>
      <c r="H102" s="10" t="s">
        <v>78</v>
      </c>
      <c r="I102" s="10">
        <v>230.0</v>
      </c>
      <c r="J102" s="10">
        <v>287.5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22.5" customHeight="1">
      <c r="A103" s="10" t="s">
        <v>2763</v>
      </c>
      <c r="B103" s="10" t="s">
        <v>2755</v>
      </c>
      <c r="C103" s="10" t="s">
        <v>2513</v>
      </c>
      <c r="D103" s="12" t="s">
        <v>2764</v>
      </c>
      <c r="E103" s="10">
        <v>2020.0</v>
      </c>
      <c r="F103" s="10">
        <v>2020.0</v>
      </c>
      <c r="G103" s="10" t="s">
        <v>78</v>
      </c>
      <c r="H103" s="10" t="s">
        <v>78</v>
      </c>
      <c r="I103" s="10">
        <v>1.0</v>
      </c>
      <c r="J103" s="10">
        <v>100.0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22.5" customHeight="1">
      <c r="A104" s="10" t="s">
        <v>2765</v>
      </c>
      <c r="B104" s="10" t="s">
        <v>2755</v>
      </c>
      <c r="C104" s="10" t="s">
        <v>2513</v>
      </c>
      <c r="D104" s="12" t="s">
        <v>2766</v>
      </c>
      <c r="E104" s="10">
        <v>2020.0</v>
      </c>
      <c r="F104" s="10">
        <v>2020.0</v>
      </c>
      <c r="G104" s="10" t="s">
        <v>78</v>
      </c>
      <c r="H104" s="10" t="s">
        <v>78</v>
      </c>
      <c r="I104" s="10">
        <v>1.0</v>
      </c>
      <c r="J104" s="10">
        <v>200.0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22.5" customHeight="1">
      <c r="A105" s="10" t="s">
        <v>2767</v>
      </c>
      <c r="B105" s="10" t="s">
        <v>2755</v>
      </c>
      <c r="C105" s="10" t="s">
        <v>2513</v>
      </c>
      <c r="D105" s="12" t="s">
        <v>2766</v>
      </c>
      <c r="E105" s="10">
        <v>2022.0</v>
      </c>
      <c r="F105" s="10">
        <v>2022.0</v>
      </c>
      <c r="G105" s="10" t="s">
        <v>78</v>
      </c>
      <c r="H105" s="10" t="s">
        <v>78</v>
      </c>
      <c r="I105" s="10">
        <v>1.0</v>
      </c>
      <c r="J105" s="10">
        <v>200.0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22.5" customHeight="1">
      <c r="A106" s="10" t="s">
        <v>2768</v>
      </c>
      <c r="B106" s="10" t="s">
        <v>2755</v>
      </c>
      <c r="C106" s="10" t="s">
        <v>2769</v>
      </c>
      <c r="D106" s="12" t="s">
        <v>2770</v>
      </c>
      <c r="E106" s="10">
        <v>2021.0</v>
      </c>
      <c r="F106" s="10">
        <v>2021.0</v>
      </c>
      <c r="G106" s="10" t="s">
        <v>78</v>
      </c>
      <c r="H106" s="10" t="s">
        <v>78</v>
      </c>
      <c r="I106" s="10">
        <v>1.0</v>
      </c>
      <c r="J106" s="10">
        <v>44500.0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22.5" customHeight="1">
      <c r="A107" s="10" t="s">
        <v>2771</v>
      </c>
      <c r="B107" s="10" t="s">
        <v>2755</v>
      </c>
      <c r="C107" s="10" t="s">
        <v>2769</v>
      </c>
      <c r="D107" s="12" t="s">
        <v>2772</v>
      </c>
      <c r="E107" s="10">
        <v>2021.0</v>
      </c>
      <c r="F107" s="10">
        <v>2021.0</v>
      </c>
      <c r="G107" s="10" t="s">
        <v>78</v>
      </c>
      <c r="H107" s="10" t="s">
        <v>78</v>
      </c>
      <c r="I107" s="10">
        <v>1.0</v>
      </c>
      <c r="J107" s="10">
        <v>8840.5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22.5" customHeight="1">
      <c r="A108" s="10" t="s">
        <v>2773</v>
      </c>
      <c r="B108" s="10" t="s">
        <v>2755</v>
      </c>
      <c r="C108" s="10" t="s">
        <v>2774</v>
      </c>
      <c r="D108" s="12" t="s">
        <v>2775</v>
      </c>
      <c r="E108" s="10">
        <v>2019.0</v>
      </c>
      <c r="F108" s="10">
        <v>2019.0</v>
      </c>
      <c r="G108" s="10" t="s">
        <v>78</v>
      </c>
      <c r="H108" s="10" t="s">
        <v>78</v>
      </c>
      <c r="I108" s="10">
        <v>1.0</v>
      </c>
      <c r="J108" s="10" t="s">
        <v>78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22.5" customHeight="1">
      <c r="A109" s="10" t="s">
        <v>2776</v>
      </c>
      <c r="B109" s="10" t="s">
        <v>2755</v>
      </c>
      <c r="C109" s="10" t="s">
        <v>2777</v>
      </c>
      <c r="D109" s="12" t="s">
        <v>2778</v>
      </c>
      <c r="E109" s="10">
        <v>2018.0</v>
      </c>
      <c r="F109" s="10">
        <v>2018.0</v>
      </c>
      <c r="G109" s="10" t="s">
        <v>78</v>
      </c>
      <c r="H109" s="10" t="s">
        <v>78</v>
      </c>
      <c r="I109" s="10">
        <v>1.0</v>
      </c>
      <c r="J109" s="10" t="s">
        <v>78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22.5" customHeight="1">
      <c r="A110" s="10" t="s">
        <v>2779</v>
      </c>
      <c r="B110" s="10" t="s">
        <v>2755</v>
      </c>
      <c r="C110" s="10" t="s">
        <v>2491</v>
      </c>
      <c r="D110" s="12" t="s">
        <v>2780</v>
      </c>
      <c r="E110" s="10">
        <v>2018.0</v>
      </c>
      <c r="F110" s="10">
        <v>2018.0</v>
      </c>
      <c r="G110" s="10" t="s">
        <v>78</v>
      </c>
      <c r="H110" s="10" t="s">
        <v>78</v>
      </c>
      <c r="I110" s="10">
        <v>900.0</v>
      </c>
      <c r="J110" s="10">
        <v>900.0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22.5" customHeight="1">
      <c r="A111" s="10" t="s">
        <v>2781</v>
      </c>
      <c r="B111" s="10" t="s">
        <v>2755</v>
      </c>
      <c r="C111" s="10" t="s">
        <v>2491</v>
      </c>
      <c r="D111" s="12" t="s">
        <v>2782</v>
      </c>
      <c r="E111" s="10">
        <v>2018.0</v>
      </c>
      <c r="F111" s="10">
        <v>2018.0</v>
      </c>
      <c r="G111" s="10" t="s">
        <v>78</v>
      </c>
      <c r="H111" s="10" t="s">
        <v>78</v>
      </c>
      <c r="I111" s="10">
        <v>1800.0</v>
      </c>
      <c r="J111" s="10">
        <v>900.0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22.5" customHeight="1">
      <c r="A112" s="10" t="s">
        <v>2783</v>
      </c>
      <c r="B112" s="10" t="s">
        <v>2755</v>
      </c>
      <c r="C112" s="10" t="s">
        <v>2491</v>
      </c>
      <c r="D112" s="12" t="s">
        <v>2784</v>
      </c>
      <c r="E112" s="10">
        <v>2020.0</v>
      </c>
      <c r="F112" s="10">
        <v>2020.0</v>
      </c>
      <c r="G112" s="10" t="s">
        <v>78</v>
      </c>
      <c r="H112" s="10" t="s">
        <v>78</v>
      </c>
      <c r="I112" s="10">
        <v>230.0</v>
      </c>
      <c r="J112" s="10">
        <v>1150.0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22.5" customHeight="1">
      <c r="A113" s="10" t="s">
        <v>2785</v>
      </c>
      <c r="B113" s="10" t="s">
        <v>2755</v>
      </c>
      <c r="C113" s="10" t="s">
        <v>2491</v>
      </c>
      <c r="D113" s="12" t="s">
        <v>2786</v>
      </c>
      <c r="E113" s="10">
        <v>2020.0</v>
      </c>
      <c r="F113" s="10">
        <v>2020.0</v>
      </c>
      <c r="G113" s="10" t="s">
        <v>78</v>
      </c>
      <c r="H113" s="10" t="s">
        <v>78</v>
      </c>
      <c r="I113" s="10">
        <v>230.0</v>
      </c>
      <c r="J113" s="10">
        <v>287.5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22.5" customHeight="1">
      <c r="A114" s="10" t="s">
        <v>2787</v>
      </c>
      <c r="B114" s="10" t="s">
        <v>2755</v>
      </c>
      <c r="C114" s="10" t="s">
        <v>2491</v>
      </c>
      <c r="D114" s="12" t="s">
        <v>2788</v>
      </c>
      <c r="E114" s="10">
        <v>2020.0</v>
      </c>
      <c r="F114" s="10">
        <v>2020.0</v>
      </c>
      <c r="G114" s="10" t="s">
        <v>78</v>
      </c>
      <c r="H114" s="10" t="s">
        <v>78</v>
      </c>
      <c r="I114" s="10">
        <v>655.0</v>
      </c>
      <c r="J114" s="10">
        <v>1965.0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22.5" customHeight="1">
      <c r="A115" s="10" t="s">
        <v>2789</v>
      </c>
      <c r="B115" s="10" t="s">
        <v>2755</v>
      </c>
      <c r="C115" s="10" t="s">
        <v>2491</v>
      </c>
      <c r="D115" s="12" t="s">
        <v>2790</v>
      </c>
      <c r="E115" s="10">
        <v>2022.0</v>
      </c>
      <c r="F115" s="10">
        <v>2022.0</v>
      </c>
      <c r="G115" s="10" t="s">
        <v>78</v>
      </c>
      <c r="H115" s="10" t="s">
        <v>78</v>
      </c>
      <c r="I115" s="10">
        <v>1200.0</v>
      </c>
      <c r="J115" s="10">
        <v>3000.0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22.5" customHeight="1">
      <c r="A116" s="10" t="s">
        <v>2791</v>
      </c>
      <c r="B116" s="10" t="s">
        <v>2755</v>
      </c>
      <c r="C116" s="10" t="s">
        <v>2513</v>
      </c>
      <c r="D116" s="12" t="s">
        <v>2792</v>
      </c>
      <c r="E116" s="10">
        <v>2020.0</v>
      </c>
      <c r="F116" s="10">
        <v>2020.0</v>
      </c>
      <c r="G116" s="10" t="s">
        <v>78</v>
      </c>
      <c r="H116" s="10" t="s">
        <v>78</v>
      </c>
      <c r="I116" s="10">
        <v>1.0</v>
      </c>
      <c r="J116" s="10">
        <v>100.0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22.5" customHeight="1">
      <c r="A117" s="10" t="s">
        <v>2793</v>
      </c>
      <c r="B117" s="10" t="s">
        <v>2755</v>
      </c>
      <c r="C117" s="10" t="s">
        <v>2513</v>
      </c>
      <c r="D117" s="12" t="s">
        <v>2792</v>
      </c>
      <c r="E117" s="10">
        <v>2022.0</v>
      </c>
      <c r="F117" s="10">
        <v>2022.0</v>
      </c>
      <c r="G117" s="10" t="s">
        <v>78</v>
      </c>
      <c r="H117" s="10" t="s">
        <v>78</v>
      </c>
      <c r="I117" s="10">
        <v>1.0</v>
      </c>
      <c r="J117" s="10">
        <v>100.0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22.5" customHeight="1">
      <c r="A118" s="10" t="s">
        <v>2794</v>
      </c>
      <c r="B118" s="10" t="s">
        <v>2755</v>
      </c>
      <c r="C118" s="10" t="s">
        <v>2513</v>
      </c>
      <c r="D118" s="12" t="s">
        <v>2795</v>
      </c>
      <c r="E118" s="10">
        <v>2020.0</v>
      </c>
      <c r="F118" s="10">
        <v>2020.0</v>
      </c>
      <c r="G118" s="10" t="s">
        <v>78</v>
      </c>
      <c r="H118" s="10" t="s">
        <v>78</v>
      </c>
      <c r="I118" s="10">
        <v>1.0</v>
      </c>
      <c r="J118" s="10">
        <v>200.0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22.5" customHeight="1">
      <c r="A119" s="10" t="s">
        <v>2796</v>
      </c>
      <c r="B119" s="10" t="s">
        <v>2755</v>
      </c>
      <c r="C119" s="10" t="s">
        <v>2513</v>
      </c>
      <c r="D119" s="12" t="s">
        <v>2795</v>
      </c>
      <c r="E119" s="10">
        <v>2022.0</v>
      </c>
      <c r="F119" s="10">
        <v>2022.0</v>
      </c>
      <c r="G119" s="10" t="s">
        <v>78</v>
      </c>
      <c r="H119" s="10" t="s">
        <v>78</v>
      </c>
      <c r="I119" s="10">
        <v>1.0</v>
      </c>
      <c r="J119" s="10">
        <v>200.0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22.5" customHeight="1">
      <c r="A120" s="10" t="s">
        <v>2797</v>
      </c>
      <c r="B120" s="10" t="s">
        <v>2755</v>
      </c>
      <c r="C120" s="10" t="s">
        <v>2769</v>
      </c>
      <c r="D120" s="12" t="s">
        <v>2798</v>
      </c>
      <c r="E120" s="10">
        <v>2023.0</v>
      </c>
      <c r="F120" s="10">
        <v>2023.0</v>
      </c>
      <c r="G120" s="10" t="s">
        <v>78</v>
      </c>
      <c r="H120" s="10" t="s">
        <v>78</v>
      </c>
      <c r="I120" s="10">
        <v>1.0</v>
      </c>
      <c r="J120" s="10">
        <v>51200.0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22.5" customHeight="1">
      <c r="A121" s="10" t="s">
        <v>2799</v>
      </c>
      <c r="B121" s="10" t="s">
        <v>2755</v>
      </c>
      <c r="C121" s="10" t="s">
        <v>2769</v>
      </c>
      <c r="D121" s="12" t="s">
        <v>2800</v>
      </c>
      <c r="E121" s="10">
        <v>2023.0</v>
      </c>
      <c r="F121" s="10">
        <v>2023.0</v>
      </c>
      <c r="G121" s="10" t="s">
        <v>78</v>
      </c>
      <c r="H121" s="10" t="s">
        <v>78</v>
      </c>
      <c r="I121" s="10">
        <v>1.0</v>
      </c>
      <c r="J121" s="10">
        <v>11350.85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22.5" customHeight="1">
      <c r="A122" s="10" t="s">
        <v>2801</v>
      </c>
      <c r="B122" s="10" t="s">
        <v>2755</v>
      </c>
      <c r="C122" s="10" t="s">
        <v>2774</v>
      </c>
      <c r="D122" s="12" t="s">
        <v>2802</v>
      </c>
      <c r="E122" s="10">
        <v>2019.0</v>
      </c>
      <c r="F122" s="10">
        <v>2019.0</v>
      </c>
      <c r="G122" s="10" t="s">
        <v>78</v>
      </c>
      <c r="H122" s="10" t="s">
        <v>78</v>
      </c>
      <c r="I122" s="10">
        <v>1.0</v>
      </c>
      <c r="J122" s="10" t="s">
        <v>78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22.5" customHeight="1">
      <c r="A123" s="10" t="s">
        <v>2803</v>
      </c>
      <c r="B123" s="10" t="s">
        <v>2755</v>
      </c>
      <c r="C123" s="10" t="s">
        <v>2777</v>
      </c>
      <c r="D123" s="12" t="s">
        <v>2804</v>
      </c>
      <c r="E123" s="10">
        <v>2018.0</v>
      </c>
      <c r="F123" s="10">
        <v>2018.0</v>
      </c>
      <c r="G123" s="10" t="s">
        <v>78</v>
      </c>
      <c r="H123" s="10" t="s">
        <v>78</v>
      </c>
      <c r="I123" s="10">
        <v>1.0</v>
      </c>
      <c r="J123" s="10" t="s">
        <v>78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60"/>
      <c r="B124" s="60"/>
      <c r="C124" s="60"/>
      <c r="D124" s="8"/>
      <c r="E124" s="60"/>
      <c r="F124" s="60"/>
      <c r="G124" s="60"/>
      <c r="H124" s="60"/>
      <c r="I124" s="60"/>
      <c r="J124" s="60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60"/>
      <c r="B125" s="60"/>
      <c r="C125" s="60"/>
      <c r="D125" s="8"/>
      <c r="E125" s="60"/>
      <c r="F125" s="60"/>
      <c r="G125" s="60"/>
      <c r="H125" s="60"/>
      <c r="I125" s="60"/>
      <c r="J125" s="60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60"/>
      <c r="B126" s="60"/>
      <c r="C126" s="60"/>
      <c r="D126" s="8"/>
      <c r="E126" s="60"/>
      <c r="F126" s="60"/>
      <c r="G126" s="60"/>
      <c r="H126" s="60"/>
      <c r="I126" s="60"/>
      <c r="J126" s="60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60"/>
      <c r="B127" s="60"/>
      <c r="C127" s="60"/>
      <c r="D127" s="8"/>
      <c r="E127" s="60"/>
      <c r="F127" s="60"/>
      <c r="G127" s="60"/>
      <c r="H127" s="60"/>
      <c r="I127" s="60"/>
      <c r="J127" s="60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60"/>
      <c r="B128" s="60"/>
      <c r="C128" s="60"/>
      <c r="D128" s="8"/>
      <c r="E128" s="60"/>
      <c r="F128" s="60"/>
      <c r="G128" s="60"/>
      <c r="H128" s="60"/>
      <c r="I128" s="60"/>
      <c r="J128" s="60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60"/>
      <c r="B129" s="60"/>
      <c r="C129" s="60"/>
      <c r="D129" s="8"/>
      <c r="E129" s="60"/>
      <c r="F129" s="60"/>
      <c r="G129" s="60"/>
      <c r="H129" s="60"/>
      <c r="I129" s="60"/>
      <c r="J129" s="60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60"/>
      <c r="B130" s="60"/>
      <c r="C130" s="60"/>
      <c r="D130" s="8"/>
      <c r="E130" s="60"/>
      <c r="F130" s="60"/>
      <c r="G130" s="60"/>
      <c r="H130" s="60"/>
      <c r="I130" s="60"/>
      <c r="J130" s="60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60"/>
      <c r="B131" s="60"/>
      <c r="C131" s="60"/>
      <c r="D131" s="8"/>
      <c r="E131" s="60"/>
      <c r="F131" s="60"/>
      <c r="G131" s="60"/>
      <c r="H131" s="60"/>
      <c r="I131" s="60"/>
      <c r="J131" s="60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60"/>
      <c r="B132" s="60"/>
      <c r="C132" s="60"/>
      <c r="D132" s="8"/>
      <c r="E132" s="60"/>
      <c r="F132" s="60"/>
      <c r="G132" s="60"/>
      <c r="H132" s="60"/>
      <c r="I132" s="60"/>
      <c r="J132" s="60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60"/>
      <c r="B133" s="60"/>
      <c r="C133" s="60"/>
      <c r="D133" s="8"/>
      <c r="E133" s="60"/>
      <c r="F133" s="60"/>
      <c r="G133" s="60"/>
      <c r="H133" s="60"/>
      <c r="I133" s="60"/>
      <c r="J133" s="60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60"/>
      <c r="B134" s="60"/>
      <c r="C134" s="60"/>
      <c r="D134" s="8"/>
      <c r="E134" s="60"/>
      <c r="F134" s="60"/>
      <c r="G134" s="60"/>
      <c r="H134" s="60"/>
      <c r="I134" s="60"/>
      <c r="J134" s="60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60"/>
      <c r="B135" s="60"/>
      <c r="C135" s="60"/>
      <c r="D135" s="8"/>
      <c r="E135" s="60"/>
      <c r="F135" s="60"/>
      <c r="G135" s="60"/>
      <c r="H135" s="60"/>
      <c r="I135" s="60"/>
      <c r="J135" s="60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60"/>
      <c r="B136" s="60"/>
      <c r="C136" s="60"/>
      <c r="D136" s="8"/>
      <c r="E136" s="60"/>
      <c r="F136" s="60"/>
      <c r="G136" s="60"/>
      <c r="H136" s="60"/>
      <c r="I136" s="60"/>
      <c r="J136" s="60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60"/>
      <c r="B137" s="60"/>
      <c r="C137" s="60"/>
      <c r="D137" s="8"/>
      <c r="E137" s="60"/>
      <c r="F137" s="60"/>
      <c r="G137" s="60"/>
      <c r="H137" s="60"/>
      <c r="I137" s="60"/>
      <c r="J137" s="60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60"/>
      <c r="B138" s="60"/>
      <c r="C138" s="60"/>
      <c r="D138" s="8"/>
      <c r="E138" s="60"/>
      <c r="F138" s="60"/>
      <c r="G138" s="60"/>
      <c r="H138" s="60"/>
      <c r="I138" s="60"/>
      <c r="J138" s="60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60"/>
      <c r="B139" s="60"/>
      <c r="C139" s="60"/>
      <c r="D139" s="8"/>
      <c r="E139" s="60"/>
      <c r="F139" s="60"/>
      <c r="G139" s="60"/>
      <c r="H139" s="60"/>
      <c r="I139" s="60"/>
      <c r="J139" s="60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60"/>
      <c r="B140" s="60"/>
      <c r="C140" s="60"/>
      <c r="D140" s="8"/>
      <c r="E140" s="60"/>
      <c r="F140" s="60"/>
      <c r="G140" s="60"/>
      <c r="H140" s="60"/>
      <c r="I140" s="60"/>
      <c r="J140" s="60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60"/>
      <c r="B141" s="60"/>
      <c r="C141" s="60"/>
      <c r="D141" s="8"/>
      <c r="E141" s="60"/>
      <c r="F141" s="60"/>
      <c r="G141" s="60"/>
      <c r="H141" s="60"/>
      <c r="I141" s="60"/>
      <c r="J141" s="60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60"/>
      <c r="B142" s="60"/>
      <c r="C142" s="60"/>
      <c r="D142" s="8"/>
      <c r="E142" s="60"/>
      <c r="F142" s="60"/>
      <c r="G142" s="60"/>
      <c r="H142" s="60"/>
      <c r="I142" s="60"/>
      <c r="J142" s="60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60"/>
      <c r="B143" s="60"/>
      <c r="C143" s="60"/>
      <c r="D143" s="8"/>
      <c r="E143" s="60"/>
      <c r="F143" s="60"/>
      <c r="G143" s="60"/>
      <c r="H143" s="60"/>
      <c r="I143" s="60"/>
      <c r="J143" s="60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60"/>
      <c r="B144" s="60"/>
      <c r="C144" s="60"/>
      <c r="D144" s="8"/>
      <c r="E144" s="60"/>
      <c r="F144" s="60"/>
      <c r="G144" s="60"/>
      <c r="H144" s="60"/>
      <c r="I144" s="60"/>
      <c r="J144" s="60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60"/>
      <c r="B145" s="60"/>
      <c r="C145" s="60"/>
      <c r="D145" s="8"/>
      <c r="E145" s="60"/>
      <c r="F145" s="60"/>
      <c r="G145" s="60"/>
      <c r="H145" s="60"/>
      <c r="I145" s="60"/>
      <c r="J145" s="60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60"/>
      <c r="B146" s="60"/>
      <c r="C146" s="60"/>
      <c r="D146" s="8"/>
      <c r="E146" s="60"/>
      <c r="F146" s="60"/>
      <c r="G146" s="60"/>
      <c r="H146" s="60"/>
      <c r="I146" s="60"/>
      <c r="J146" s="60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60"/>
      <c r="B147" s="60"/>
      <c r="C147" s="60"/>
      <c r="D147" s="8"/>
      <c r="E147" s="60"/>
      <c r="F147" s="60"/>
      <c r="G147" s="60"/>
      <c r="H147" s="60"/>
      <c r="I147" s="60"/>
      <c r="J147" s="60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60"/>
      <c r="B148" s="60"/>
      <c r="C148" s="60"/>
      <c r="D148" s="8"/>
      <c r="E148" s="60"/>
      <c r="F148" s="60"/>
      <c r="G148" s="60"/>
      <c r="H148" s="60"/>
      <c r="I148" s="60"/>
      <c r="J148" s="60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60"/>
      <c r="B149" s="60"/>
      <c r="C149" s="60"/>
      <c r="D149" s="8"/>
      <c r="E149" s="60"/>
      <c r="F149" s="60"/>
      <c r="G149" s="60"/>
      <c r="H149" s="60"/>
      <c r="I149" s="60"/>
      <c r="J149" s="60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60"/>
      <c r="B150" s="60"/>
      <c r="C150" s="60"/>
      <c r="D150" s="8"/>
      <c r="E150" s="60"/>
      <c r="F150" s="60"/>
      <c r="G150" s="60"/>
      <c r="H150" s="60"/>
      <c r="I150" s="60"/>
      <c r="J150" s="60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60"/>
      <c r="B151" s="60"/>
      <c r="C151" s="60"/>
      <c r="D151" s="8"/>
      <c r="E151" s="60"/>
      <c r="F151" s="60"/>
      <c r="G151" s="60"/>
      <c r="H151" s="60"/>
      <c r="I151" s="60"/>
      <c r="J151" s="60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60"/>
      <c r="B152" s="60"/>
      <c r="C152" s="60"/>
      <c r="D152" s="8"/>
      <c r="E152" s="60"/>
      <c r="F152" s="60"/>
      <c r="G152" s="60"/>
      <c r="H152" s="60"/>
      <c r="I152" s="60"/>
      <c r="J152" s="60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60"/>
      <c r="B153" s="60"/>
      <c r="C153" s="60"/>
      <c r="D153" s="8"/>
      <c r="E153" s="60"/>
      <c r="F153" s="60"/>
      <c r="G153" s="60"/>
      <c r="H153" s="60"/>
      <c r="I153" s="60"/>
      <c r="J153" s="60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60"/>
      <c r="B154" s="60"/>
      <c r="C154" s="60"/>
      <c r="D154" s="8"/>
      <c r="E154" s="60"/>
      <c r="F154" s="60"/>
      <c r="G154" s="60"/>
      <c r="H154" s="60"/>
      <c r="I154" s="60"/>
      <c r="J154" s="60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60"/>
      <c r="B155" s="60"/>
      <c r="C155" s="60"/>
      <c r="D155" s="8"/>
      <c r="E155" s="60"/>
      <c r="F155" s="60"/>
      <c r="G155" s="60"/>
      <c r="H155" s="60"/>
      <c r="I155" s="60"/>
      <c r="J155" s="60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60"/>
      <c r="B156" s="60"/>
      <c r="C156" s="60"/>
      <c r="D156" s="8"/>
      <c r="E156" s="60"/>
      <c r="F156" s="60"/>
      <c r="G156" s="60"/>
      <c r="H156" s="60"/>
      <c r="I156" s="60"/>
      <c r="J156" s="60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60"/>
      <c r="B157" s="60"/>
      <c r="C157" s="60"/>
      <c r="D157" s="8"/>
      <c r="E157" s="60"/>
      <c r="F157" s="60"/>
      <c r="G157" s="60"/>
      <c r="H157" s="60"/>
      <c r="I157" s="60"/>
      <c r="J157" s="60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60"/>
      <c r="B158" s="60"/>
      <c r="C158" s="60"/>
      <c r="D158" s="8"/>
      <c r="E158" s="60"/>
      <c r="F158" s="60"/>
      <c r="G158" s="60"/>
      <c r="H158" s="60"/>
      <c r="I158" s="60"/>
      <c r="J158" s="60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60"/>
      <c r="B159" s="60"/>
      <c r="C159" s="60"/>
      <c r="D159" s="8"/>
      <c r="E159" s="60"/>
      <c r="F159" s="60"/>
      <c r="G159" s="60"/>
      <c r="H159" s="60"/>
      <c r="I159" s="60"/>
      <c r="J159" s="60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60"/>
      <c r="B160" s="60"/>
      <c r="C160" s="60"/>
      <c r="D160" s="8"/>
      <c r="E160" s="60"/>
      <c r="F160" s="60"/>
      <c r="G160" s="60"/>
      <c r="H160" s="60"/>
      <c r="I160" s="60"/>
      <c r="J160" s="60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60"/>
      <c r="B161" s="60"/>
      <c r="C161" s="60"/>
      <c r="D161" s="8"/>
      <c r="E161" s="60"/>
      <c r="F161" s="60"/>
      <c r="G161" s="60"/>
      <c r="H161" s="60"/>
      <c r="I161" s="60"/>
      <c r="J161" s="60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60"/>
      <c r="B162" s="60"/>
      <c r="C162" s="60"/>
      <c r="D162" s="8"/>
      <c r="E162" s="60"/>
      <c r="F162" s="60"/>
      <c r="G162" s="60"/>
      <c r="H162" s="60"/>
      <c r="I162" s="60"/>
      <c r="J162" s="60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60"/>
      <c r="B163" s="60"/>
      <c r="C163" s="60"/>
      <c r="D163" s="8"/>
      <c r="E163" s="60"/>
      <c r="F163" s="60"/>
      <c r="G163" s="60"/>
      <c r="H163" s="60"/>
      <c r="I163" s="60"/>
      <c r="J163" s="60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60"/>
      <c r="B164" s="60"/>
      <c r="C164" s="60"/>
      <c r="D164" s="8"/>
      <c r="E164" s="60"/>
      <c r="F164" s="60"/>
      <c r="G164" s="60"/>
      <c r="H164" s="60"/>
      <c r="I164" s="60"/>
      <c r="J164" s="60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60"/>
      <c r="B165" s="60"/>
      <c r="C165" s="60"/>
      <c r="D165" s="8"/>
      <c r="E165" s="60"/>
      <c r="F165" s="60"/>
      <c r="G165" s="60"/>
      <c r="H165" s="60"/>
      <c r="I165" s="60"/>
      <c r="J165" s="60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60"/>
      <c r="B166" s="60"/>
      <c r="C166" s="60"/>
      <c r="D166" s="8"/>
      <c r="E166" s="60"/>
      <c r="F166" s="60"/>
      <c r="G166" s="60"/>
      <c r="H166" s="60"/>
      <c r="I166" s="60"/>
      <c r="J166" s="60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60"/>
      <c r="B167" s="60"/>
      <c r="C167" s="60"/>
      <c r="D167" s="8"/>
      <c r="E167" s="60"/>
      <c r="F167" s="60"/>
      <c r="G167" s="60"/>
      <c r="H167" s="60"/>
      <c r="I167" s="60"/>
      <c r="J167" s="60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60"/>
      <c r="B168" s="60"/>
      <c r="C168" s="60"/>
      <c r="D168" s="8"/>
      <c r="E168" s="60"/>
      <c r="F168" s="60"/>
      <c r="G168" s="60"/>
      <c r="H168" s="60"/>
      <c r="I168" s="60"/>
      <c r="J168" s="60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60"/>
      <c r="B169" s="60"/>
      <c r="C169" s="60"/>
      <c r="D169" s="8"/>
      <c r="E169" s="60"/>
      <c r="F169" s="60"/>
      <c r="G169" s="60"/>
      <c r="H169" s="60"/>
      <c r="I169" s="60"/>
      <c r="J169" s="60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60"/>
      <c r="B170" s="60"/>
      <c r="C170" s="60"/>
      <c r="D170" s="8"/>
      <c r="E170" s="60"/>
      <c r="F170" s="60"/>
      <c r="G170" s="60"/>
      <c r="H170" s="60"/>
      <c r="I170" s="60"/>
      <c r="J170" s="60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60"/>
      <c r="B171" s="60"/>
      <c r="C171" s="60"/>
      <c r="D171" s="8"/>
      <c r="E171" s="60"/>
      <c r="F171" s="60"/>
      <c r="G171" s="60"/>
      <c r="H171" s="60"/>
      <c r="I171" s="60"/>
      <c r="J171" s="60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60"/>
      <c r="B172" s="60"/>
      <c r="C172" s="60"/>
      <c r="D172" s="8"/>
      <c r="E172" s="60"/>
      <c r="F172" s="60"/>
      <c r="G172" s="60"/>
      <c r="H172" s="60"/>
      <c r="I172" s="60"/>
      <c r="J172" s="60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60"/>
      <c r="B173" s="60"/>
      <c r="C173" s="60"/>
      <c r="D173" s="8"/>
      <c r="E173" s="60"/>
      <c r="F173" s="60"/>
      <c r="G173" s="60"/>
      <c r="H173" s="60"/>
      <c r="I173" s="60"/>
      <c r="J173" s="60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60"/>
      <c r="B174" s="60"/>
      <c r="C174" s="60"/>
      <c r="D174" s="8"/>
      <c r="E174" s="60"/>
      <c r="F174" s="60"/>
      <c r="G174" s="60"/>
      <c r="H174" s="60"/>
      <c r="I174" s="60"/>
      <c r="J174" s="60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60"/>
      <c r="B175" s="60"/>
      <c r="C175" s="60"/>
      <c r="D175" s="8"/>
      <c r="E175" s="60"/>
      <c r="F175" s="60"/>
      <c r="G175" s="60"/>
      <c r="H175" s="60"/>
      <c r="I175" s="60"/>
      <c r="J175" s="60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60"/>
      <c r="B176" s="60"/>
      <c r="C176" s="60"/>
      <c r="D176" s="8"/>
      <c r="E176" s="60"/>
      <c r="F176" s="60"/>
      <c r="G176" s="60"/>
      <c r="H176" s="60"/>
      <c r="I176" s="60"/>
      <c r="J176" s="60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60"/>
      <c r="B177" s="60"/>
      <c r="C177" s="60"/>
      <c r="D177" s="8"/>
      <c r="E177" s="60"/>
      <c r="F177" s="60"/>
      <c r="G177" s="60"/>
      <c r="H177" s="60"/>
      <c r="I177" s="60"/>
      <c r="J177" s="60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60"/>
      <c r="B178" s="60"/>
      <c r="C178" s="60"/>
      <c r="D178" s="8"/>
      <c r="E178" s="60"/>
      <c r="F178" s="60"/>
      <c r="G178" s="60"/>
      <c r="H178" s="60"/>
      <c r="I178" s="60"/>
      <c r="J178" s="60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60"/>
      <c r="B179" s="60"/>
      <c r="C179" s="60"/>
      <c r="D179" s="8"/>
      <c r="E179" s="60"/>
      <c r="F179" s="60"/>
      <c r="G179" s="60"/>
      <c r="H179" s="60"/>
      <c r="I179" s="60"/>
      <c r="J179" s="60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60"/>
      <c r="B180" s="60"/>
      <c r="C180" s="60"/>
      <c r="D180" s="8"/>
      <c r="E180" s="60"/>
      <c r="F180" s="60"/>
      <c r="G180" s="60"/>
      <c r="H180" s="60"/>
      <c r="I180" s="60"/>
      <c r="J180" s="60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60"/>
      <c r="B181" s="60"/>
      <c r="C181" s="60"/>
      <c r="D181" s="8"/>
      <c r="E181" s="60"/>
      <c r="F181" s="60"/>
      <c r="G181" s="60"/>
      <c r="H181" s="60"/>
      <c r="I181" s="60"/>
      <c r="J181" s="60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60"/>
      <c r="B182" s="60"/>
      <c r="C182" s="60"/>
      <c r="D182" s="8"/>
      <c r="E182" s="60"/>
      <c r="F182" s="60"/>
      <c r="G182" s="60"/>
      <c r="H182" s="60"/>
      <c r="I182" s="60"/>
      <c r="J182" s="60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60"/>
      <c r="B183" s="60"/>
      <c r="C183" s="60"/>
      <c r="D183" s="8"/>
      <c r="E183" s="60"/>
      <c r="F183" s="60"/>
      <c r="G183" s="60"/>
      <c r="H183" s="60"/>
      <c r="I183" s="60"/>
      <c r="J183" s="60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60"/>
      <c r="B184" s="60"/>
      <c r="C184" s="60"/>
      <c r="D184" s="8"/>
      <c r="E184" s="60"/>
      <c r="F184" s="60"/>
      <c r="G184" s="60"/>
      <c r="H184" s="60"/>
      <c r="I184" s="60"/>
      <c r="J184" s="60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60"/>
      <c r="B185" s="60"/>
      <c r="C185" s="60"/>
      <c r="D185" s="8"/>
      <c r="E185" s="60"/>
      <c r="F185" s="60"/>
      <c r="G185" s="60"/>
      <c r="H185" s="60"/>
      <c r="I185" s="60"/>
      <c r="J185" s="60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60"/>
      <c r="B186" s="60"/>
      <c r="C186" s="60"/>
      <c r="D186" s="8"/>
      <c r="E186" s="60"/>
      <c r="F186" s="60"/>
      <c r="G186" s="60"/>
      <c r="H186" s="60"/>
      <c r="I186" s="60"/>
      <c r="J186" s="60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60"/>
      <c r="B187" s="60"/>
      <c r="C187" s="60"/>
      <c r="D187" s="8"/>
      <c r="E187" s="60"/>
      <c r="F187" s="60"/>
      <c r="G187" s="60"/>
      <c r="H187" s="60"/>
      <c r="I187" s="60"/>
      <c r="J187" s="60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60"/>
      <c r="B188" s="60"/>
      <c r="C188" s="60"/>
      <c r="D188" s="8"/>
      <c r="E188" s="60"/>
      <c r="F188" s="60"/>
      <c r="G188" s="60"/>
      <c r="H188" s="60"/>
      <c r="I188" s="60"/>
      <c r="J188" s="60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60"/>
      <c r="B189" s="60"/>
      <c r="C189" s="60"/>
      <c r="D189" s="8"/>
      <c r="E189" s="60"/>
      <c r="F189" s="60"/>
      <c r="G189" s="60"/>
      <c r="H189" s="60"/>
      <c r="I189" s="60"/>
      <c r="J189" s="60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60"/>
      <c r="B190" s="60"/>
      <c r="C190" s="60"/>
      <c r="D190" s="8"/>
      <c r="E190" s="60"/>
      <c r="F190" s="60"/>
      <c r="G190" s="60"/>
      <c r="H190" s="60"/>
      <c r="I190" s="60"/>
      <c r="J190" s="60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60"/>
      <c r="B191" s="60"/>
      <c r="C191" s="60"/>
      <c r="D191" s="8"/>
      <c r="E191" s="60"/>
      <c r="F191" s="60"/>
      <c r="G191" s="60"/>
      <c r="H191" s="60"/>
      <c r="I191" s="60"/>
      <c r="J191" s="60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60"/>
      <c r="B192" s="60"/>
      <c r="C192" s="60"/>
      <c r="D192" s="8"/>
      <c r="E192" s="60"/>
      <c r="F192" s="60"/>
      <c r="G192" s="60"/>
      <c r="H192" s="60"/>
      <c r="I192" s="60"/>
      <c r="J192" s="60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60"/>
      <c r="B193" s="60"/>
      <c r="C193" s="60"/>
      <c r="D193" s="8"/>
      <c r="E193" s="60"/>
      <c r="F193" s="60"/>
      <c r="G193" s="60"/>
      <c r="H193" s="60"/>
      <c r="I193" s="60"/>
      <c r="J193" s="60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60"/>
      <c r="B194" s="60"/>
      <c r="C194" s="60"/>
      <c r="D194" s="8"/>
      <c r="E194" s="60"/>
      <c r="F194" s="60"/>
      <c r="G194" s="60"/>
      <c r="H194" s="60"/>
      <c r="I194" s="60"/>
      <c r="J194" s="60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60"/>
      <c r="B195" s="60"/>
      <c r="C195" s="60"/>
      <c r="D195" s="8"/>
      <c r="E195" s="60"/>
      <c r="F195" s="60"/>
      <c r="G195" s="60"/>
      <c r="H195" s="60"/>
      <c r="I195" s="60"/>
      <c r="J195" s="60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60"/>
      <c r="B196" s="60"/>
      <c r="C196" s="60"/>
      <c r="D196" s="8"/>
      <c r="E196" s="60"/>
      <c r="F196" s="60"/>
      <c r="G196" s="60"/>
      <c r="H196" s="60"/>
      <c r="I196" s="60"/>
      <c r="J196" s="60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60"/>
      <c r="B197" s="60"/>
      <c r="C197" s="60"/>
      <c r="D197" s="8"/>
      <c r="E197" s="60"/>
      <c r="F197" s="60"/>
      <c r="G197" s="60"/>
      <c r="H197" s="60"/>
      <c r="I197" s="60"/>
      <c r="J197" s="60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60"/>
      <c r="B198" s="60"/>
      <c r="C198" s="60"/>
      <c r="D198" s="8"/>
      <c r="E198" s="60"/>
      <c r="F198" s="60"/>
      <c r="G198" s="60"/>
      <c r="H198" s="60"/>
      <c r="I198" s="60"/>
      <c r="J198" s="60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60"/>
      <c r="B199" s="60"/>
      <c r="C199" s="60"/>
      <c r="D199" s="8"/>
      <c r="E199" s="60"/>
      <c r="F199" s="60"/>
      <c r="G199" s="60"/>
      <c r="H199" s="60"/>
      <c r="I199" s="60"/>
      <c r="J199" s="60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60"/>
      <c r="B200" s="60"/>
      <c r="C200" s="60"/>
      <c r="D200" s="8"/>
      <c r="E200" s="60"/>
      <c r="F200" s="60"/>
      <c r="G200" s="60"/>
      <c r="H200" s="60"/>
      <c r="I200" s="60"/>
      <c r="J200" s="60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60"/>
      <c r="B201" s="60"/>
      <c r="C201" s="60"/>
      <c r="D201" s="8"/>
      <c r="E201" s="60"/>
      <c r="F201" s="60"/>
      <c r="G201" s="60"/>
      <c r="H201" s="60"/>
      <c r="I201" s="60"/>
      <c r="J201" s="60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60"/>
      <c r="B202" s="60"/>
      <c r="C202" s="60"/>
      <c r="D202" s="8"/>
      <c r="E202" s="60"/>
      <c r="F202" s="60"/>
      <c r="G202" s="60"/>
      <c r="H202" s="60"/>
      <c r="I202" s="60"/>
      <c r="J202" s="60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60"/>
      <c r="B203" s="60"/>
      <c r="C203" s="60"/>
      <c r="D203" s="8"/>
      <c r="E203" s="60"/>
      <c r="F203" s="60"/>
      <c r="G203" s="60"/>
      <c r="H203" s="60"/>
      <c r="I203" s="60"/>
      <c r="J203" s="60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60"/>
      <c r="B204" s="60"/>
      <c r="C204" s="60"/>
      <c r="D204" s="8"/>
      <c r="E204" s="60"/>
      <c r="F204" s="60"/>
      <c r="G204" s="60"/>
      <c r="H204" s="60"/>
      <c r="I204" s="60"/>
      <c r="J204" s="60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60"/>
      <c r="B205" s="60"/>
      <c r="C205" s="60"/>
      <c r="D205" s="8"/>
      <c r="E205" s="60"/>
      <c r="F205" s="60"/>
      <c r="G205" s="60"/>
      <c r="H205" s="60"/>
      <c r="I205" s="60"/>
      <c r="J205" s="60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60"/>
      <c r="B206" s="60"/>
      <c r="C206" s="60"/>
      <c r="D206" s="8"/>
      <c r="E206" s="60"/>
      <c r="F206" s="60"/>
      <c r="G206" s="60"/>
      <c r="H206" s="60"/>
      <c r="I206" s="60"/>
      <c r="J206" s="60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60"/>
      <c r="B207" s="60"/>
      <c r="C207" s="60"/>
      <c r="D207" s="8"/>
      <c r="E207" s="60"/>
      <c r="F207" s="60"/>
      <c r="G207" s="60"/>
      <c r="H207" s="60"/>
      <c r="I207" s="60"/>
      <c r="J207" s="60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60"/>
      <c r="B208" s="60"/>
      <c r="C208" s="60"/>
      <c r="D208" s="8"/>
      <c r="E208" s="60"/>
      <c r="F208" s="60"/>
      <c r="G208" s="60"/>
      <c r="H208" s="60"/>
      <c r="I208" s="60"/>
      <c r="J208" s="60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60"/>
      <c r="B209" s="60"/>
      <c r="C209" s="60"/>
      <c r="D209" s="8"/>
      <c r="E209" s="60"/>
      <c r="F209" s="60"/>
      <c r="G209" s="60"/>
      <c r="H209" s="60"/>
      <c r="I209" s="60"/>
      <c r="J209" s="60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60"/>
      <c r="B210" s="60"/>
      <c r="C210" s="60"/>
      <c r="D210" s="8"/>
      <c r="E210" s="60"/>
      <c r="F210" s="60"/>
      <c r="G210" s="60"/>
      <c r="H210" s="60"/>
      <c r="I210" s="60"/>
      <c r="J210" s="60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60"/>
      <c r="B211" s="60"/>
      <c r="C211" s="60"/>
      <c r="D211" s="8"/>
      <c r="E211" s="60"/>
      <c r="F211" s="60"/>
      <c r="G211" s="60"/>
      <c r="H211" s="60"/>
      <c r="I211" s="60"/>
      <c r="J211" s="60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60"/>
      <c r="B212" s="60"/>
      <c r="C212" s="60"/>
      <c r="D212" s="8"/>
      <c r="E212" s="60"/>
      <c r="F212" s="60"/>
      <c r="G212" s="60"/>
      <c r="H212" s="60"/>
      <c r="I212" s="60"/>
      <c r="J212" s="60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60"/>
      <c r="B213" s="60"/>
      <c r="C213" s="60"/>
      <c r="D213" s="8"/>
      <c r="E213" s="60"/>
      <c r="F213" s="60"/>
      <c r="G213" s="60"/>
      <c r="H213" s="60"/>
      <c r="I213" s="60"/>
      <c r="J213" s="60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60"/>
      <c r="B214" s="60"/>
      <c r="C214" s="60"/>
      <c r="D214" s="8"/>
      <c r="E214" s="60"/>
      <c r="F214" s="60"/>
      <c r="G214" s="60"/>
      <c r="H214" s="60"/>
      <c r="I214" s="60"/>
      <c r="J214" s="60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60"/>
      <c r="B215" s="60"/>
      <c r="C215" s="60"/>
      <c r="D215" s="8"/>
      <c r="E215" s="60"/>
      <c r="F215" s="60"/>
      <c r="G215" s="60"/>
      <c r="H215" s="60"/>
      <c r="I215" s="60"/>
      <c r="J215" s="60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60"/>
      <c r="B216" s="60"/>
      <c r="C216" s="60"/>
      <c r="D216" s="8"/>
      <c r="E216" s="60"/>
      <c r="F216" s="60"/>
      <c r="G216" s="60"/>
      <c r="H216" s="60"/>
      <c r="I216" s="60"/>
      <c r="J216" s="60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60"/>
      <c r="B217" s="60"/>
      <c r="C217" s="60"/>
      <c r="D217" s="8"/>
      <c r="E217" s="60"/>
      <c r="F217" s="60"/>
      <c r="G217" s="60"/>
      <c r="H217" s="60"/>
      <c r="I217" s="60"/>
      <c r="J217" s="60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60"/>
      <c r="B218" s="60"/>
      <c r="C218" s="60"/>
      <c r="D218" s="8"/>
      <c r="E218" s="60"/>
      <c r="F218" s="60"/>
      <c r="G218" s="60"/>
      <c r="H218" s="60"/>
      <c r="I218" s="60"/>
      <c r="J218" s="60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60"/>
      <c r="B219" s="60"/>
      <c r="C219" s="60"/>
      <c r="D219" s="8"/>
      <c r="E219" s="60"/>
      <c r="F219" s="60"/>
      <c r="G219" s="60"/>
      <c r="H219" s="60"/>
      <c r="I219" s="60"/>
      <c r="J219" s="60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60"/>
      <c r="B220" s="60"/>
      <c r="C220" s="60"/>
      <c r="D220" s="8"/>
      <c r="E220" s="60"/>
      <c r="F220" s="60"/>
      <c r="G220" s="60"/>
      <c r="H220" s="60"/>
      <c r="I220" s="60"/>
      <c r="J220" s="60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60"/>
      <c r="B221" s="60"/>
      <c r="C221" s="60"/>
      <c r="D221" s="8"/>
      <c r="E221" s="60"/>
      <c r="F221" s="60"/>
      <c r="G221" s="60"/>
      <c r="H221" s="60"/>
      <c r="I221" s="60"/>
      <c r="J221" s="60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60"/>
      <c r="B222" s="60"/>
      <c r="C222" s="60"/>
      <c r="D222" s="8"/>
      <c r="E222" s="60"/>
      <c r="F222" s="60"/>
      <c r="G222" s="60"/>
      <c r="H222" s="60"/>
      <c r="I222" s="60"/>
      <c r="J222" s="60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60"/>
      <c r="B223" s="60"/>
      <c r="C223" s="60"/>
      <c r="D223" s="8"/>
      <c r="E223" s="60"/>
      <c r="F223" s="60"/>
      <c r="G223" s="60"/>
      <c r="H223" s="60"/>
      <c r="I223" s="60"/>
      <c r="J223" s="60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60"/>
      <c r="B224" s="60"/>
      <c r="C224" s="60"/>
      <c r="D224" s="8"/>
      <c r="E224" s="60"/>
      <c r="F224" s="60"/>
      <c r="G224" s="60"/>
      <c r="H224" s="60"/>
      <c r="I224" s="60"/>
      <c r="J224" s="60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60"/>
      <c r="B225" s="60"/>
      <c r="C225" s="60"/>
      <c r="D225" s="8"/>
      <c r="E225" s="60"/>
      <c r="F225" s="60"/>
      <c r="G225" s="60"/>
      <c r="H225" s="60"/>
      <c r="I225" s="60"/>
      <c r="J225" s="60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60"/>
      <c r="B226" s="60"/>
      <c r="C226" s="60"/>
      <c r="D226" s="8"/>
      <c r="E226" s="60"/>
      <c r="F226" s="60"/>
      <c r="G226" s="60"/>
      <c r="H226" s="60"/>
      <c r="I226" s="60"/>
      <c r="J226" s="60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60"/>
      <c r="B227" s="60"/>
      <c r="C227" s="60"/>
      <c r="D227" s="8"/>
      <c r="E227" s="60"/>
      <c r="F227" s="60"/>
      <c r="G227" s="60"/>
      <c r="H227" s="60"/>
      <c r="I227" s="60"/>
      <c r="J227" s="60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60"/>
      <c r="B228" s="60"/>
      <c r="C228" s="60"/>
      <c r="D228" s="8"/>
      <c r="E228" s="60"/>
      <c r="F228" s="60"/>
      <c r="G228" s="60"/>
      <c r="H228" s="60"/>
      <c r="I228" s="60"/>
      <c r="J228" s="60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60"/>
      <c r="B229" s="60"/>
      <c r="C229" s="60"/>
      <c r="D229" s="8"/>
      <c r="E229" s="60"/>
      <c r="F229" s="60"/>
      <c r="G229" s="60"/>
      <c r="H229" s="60"/>
      <c r="I229" s="60"/>
      <c r="J229" s="60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60"/>
      <c r="B230" s="60"/>
      <c r="C230" s="60"/>
      <c r="D230" s="8"/>
      <c r="E230" s="60"/>
      <c r="F230" s="60"/>
      <c r="G230" s="60"/>
      <c r="H230" s="60"/>
      <c r="I230" s="60"/>
      <c r="J230" s="60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60"/>
      <c r="B231" s="60"/>
      <c r="C231" s="60"/>
      <c r="D231" s="8"/>
      <c r="E231" s="60"/>
      <c r="F231" s="60"/>
      <c r="G231" s="60"/>
      <c r="H231" s="60"/>
      <c r="I231" s="60"/>
      <c r="J231" s="60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60"/>
      <c r="B232" s="60"/>
      <c r="C232" s="60"/>
      <c r="D232" s="8"/>
      <c r="E232" s="60"/>
      <c r="F232" s="60"/>
      <c r="G232" s="60"/>
      <c r="H232" s="60"/>
      <c r="I232" s="60"/>
      <c r="J232" s="60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60"/>
      <c r="B233" s="60"/>
      <c r="C233" s="60"/>
      <c r="D233" s="8"/>
      <c r="E233" s="60"/>
      <c r="F233" s="60"/>
      <c r="G233" s="60"/>
      <c r="H233" s="60"/>
      <c r="I233" s="60"/>
      <c r="J233" s="60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60"/>
      <c r="B234" s="60"/>
      <c r="C234" s="60"/>
      <c r="D234" s="8"/>
      <c r="E234" s="60"/>
      <c r="F234" s="60"/>
      <c r="G234" s="60"/>
      <c r="H234" s="60"/>
      <c r="I234" s="60"/>
      <c r="J234" s="60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60"/>
      <c r="B235" s="60"/>
      <c r="C235" s="60"/>
      <c r="D235" s="8"/>
      <c r="E235" s="60"/>
      <c r="F235" s="60"/>
      <c r="G235" s="60"/>
      <c r="H235" s="60"/>
      <c r="I235" s="60"/>
      <c r="J235" s="60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60"/>
      <c r="B236" s="60"/>
      <c r="C236" s="60"/>
      <c r="D236" s="8"/>
      <c r="E236" s="60"/>
      <c r="F236" s="60"/>
      <c r="G236" s="60"/>
      <c r="H236" s="60"/>
      <c r="I236" s="60"/>
      <c r="J236" s="60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60"/>
      <c r="B237" s="60"/>
      <c r="C237" s="60"/>
      <c r="D237" s="8"/>
      <c r="E237" s="60"/>
      <c r="F237" s="60"/>
      <c r="G237" s="60"/>
      <c r="H237" s="60"/>
      <c r="I237" s="60"/>
      <c r="J237" s="60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60"/>
      <c r="B238" s="60"/>
      <c r="C238" s="60"/>
      <c r="D238" s="8"/>
      <c r="E238" s="60"/>
      <c r="F238" s="60"/>
      <c r="G238" s="60"/>
      <c r="H238" s="60"/>
      <c r="I238" s="60"/>
      <c r="J238" s="60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60"/>
      <c r="B239" s="60"/>
      <c r="C239" s="60"/>
      <c r="D239" s="8"/>
      <c r="E239" s="60"/>
      <c r="F239" s="60"/>
      <c r="G239" s="60"/>
      <c r="H239" s="60"/>
      <c r="I239" s="60"/>
      <c r="J239" s="60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60"/>
      <c r="B240" s="60"/>
      <c r="C240" s="60"/>
      <c r="D240" s="8"/>
      <c r="E240" s="60"/>
      <c r="F240" s="60"/>
      <c r="G240" s="60"/>
      <c r="H240" s="60"/>
      <c r="I240" s="60"/>
      <c r="J240" s="60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60"/>
      <c r="B241" s="60"/>
      <c r="C241" s="60"/>
      <c r="D241" s="8"/>
      <c r="E241" s="60"/>
      <c r="F241" s="60"/>
      <c r="G241" s="60"/>
      <c r="H241" s="60"/>
      <c r="I241" s="60"/>
      <c r="J241" s="60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60"/>
      <c r="B242" s="60"/>
      <c r="C242" s="60"/>
      <c r="D242" s="8"/>
      <c r="E242" s="60"/>
      <c r="F242" s="60"/>
      <c r="G242" s="60"/>
      <c r="H242" s="60"/>
      <c r="I242" s="60"/>
      <c r="J242" s="60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60"/>
      <c r="B243" s="60"/>
      <c r="C243" s="60"/>
      <c r="D243" s="8"/>
      <c r="E243" s="60"/>
      <c r="F243" s="60"/>
      <c r="G243" s="60"/>
      <c r="H243" s="60"/>
      <c r="I243" s="60"/>
      <c r="J243" s="60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60"/>
      <c r="B244" s="60"/>
      <c r="C244" s="60"/>
      <c r="D244" s="8"/>
      <c r="E244" s="60"/>
      <c r="F244" s="60"/>
      <c r="G244" s="60"/>
      <c r="H244" s="60"/>
      <c r="I244" s="60"/>
      <c r="J244" s="60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60"/>
      <c r="B245" s="60"/>
      <c r="C245" s="60"/>
      <c r="D245" s="8"/>
      <c r="E245" s="60"/>
      <c r="F245" s="60"/>
      <c r="G245" s="60"/>
      <c r="H245" s="60"/>
      <c r="I245" s="60"/>
      <c r="J245" s="60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60"/>
      <c r="B246" s="60"/>
      <c r="C246" s="60"/>
      <c r="D246" s="8"/>
      <c r="E246" s="60"/>
      <c r="F246" s="60"/>
      <c r="G246" s="60"/>
      <c r="H246" s="60"/>
      <c r="I246" s="60"/>
      <c r="J246" s="60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60"/>
      <c r="B247" s="60"/>
      <c r="C247" s="60"/>
      <c r="D247" s="8"/>
      <c r="E247" s="60"/>
      <c r="F247" s="60"/>
      <c r="G247" s="60"/>
      <c r="H247" s="60"/>
      <c r="I247" s="60"/>
      <c r="J247" s="60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60"/>
      <c r="B248" s="60"/>
      <c r="C248" s="60"/>
      <c r="D248" s="8"/>
      <c r="E248" s="60"/>
      <c r="F248" s="60"/>
      <c r="G248" s="60"/>
      <c r="H248" s="60"/>
      <c r="I248" s="60"/>
      <c r="J248" s="60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60"/>
      <c r="B249" s="60"/>
      <c r="C249" s="60"/>
      <c r="D249" s="8"/>
      <c r="E249" s="60"/>
      <c r="F249" s="60"/>
      <c r="G249" s="60"/>
      <c r="H249" s="60"/>
      <c r="I249" s="60"/>
      <c r="J249" s="60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60"/>
      <c r="B250" s="60"/>
      <c r="C250" s="60"/>
      <c r="D250" s="8"/>
      <c r="E250" s="60"/>
      <c r="F250" s="60"/>
      <c r="G250" s="60"/>
      <c r="H250" s="60"/>
      <c r="I250" s="60"/>
      <c r="J250" s="60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60"/>
      <c r="B251" s="60"/>
      <c r="C251" s="60"/>
      <c r="D251" s="8"/>
      <c r="E251" s="60"/>
      <c r="F251" s="60"/>
      <c r="G251" s="60"/>
      <c r="H251" s="60"/>
      <c r="I251" s="60"/>
      <c r="J251" s="60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60"/>
      <c r="B252" s="60"/>
      <c r="C252" s="60"/>
      <c r="D252" s="8"/>
      <c r="E252" s="60"/>
      <c r="F252" s="60"/>
      <c r="G252" s="60"/>
      <c r="H252" s="60"/>
      <c r="I252" s="60"/>
      <c r="J252" s="60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60"/>
      <c r="B253" s="60"/>
      <c r="C253" s="60"/>
      <c r="D253" s="8"/>
      <c r="E253" s="60"/>
      <c r="F253" s="60"/>
      <c r="G253" s="60"/>
      <c r="H253" s="60"/>
      <c r="I253" s="60"/>
      <c r="J253" s="60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60"/>
      <c r="B254" s="60"/>
      <c r="C254" s="60"/>
      <c r="D254" s="8"/>
      <c r="E254" s="60"/>
      <c r="F254" s="60"/>
      <c r="G254" s="60"/>
      <c r="H254" s="60"/>
      <c r="I254" s="60"/>
      <c r="J254" s="60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60"/>
      <c r="B255" s="60"/>
      <c r="C255" s="60"/>
      <c r="D255" s="8"/>
      <c r="E255" s="60"/>
      <c r="F255" s="60"/>
      <c r="G255" s="60"/>
      <c r="H255" s="60"/>
      <c r="I255" s="60"/>
      <c r="J255" s="60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60"/>
      <c r="B256" s="60"/>
      <c r="C256" s="60"/>
      <c r="D256" s="8"/>
      <c r="E256" s="60"/>
      <c r="F256" s="60"/>
      <c r="G256" s="60"/>
      <c r="H256" s="60"/>
      <c r="I256" s="60"/>
      <c r="J256" s="60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60"/>
      <c r="B257" s="60"/>
      <c r="C257" s="60"/>
      <c r="D257" s="8"/>
      <c r="E257" s="60"/>
      <c r="F257" s="60"/>
      <c r="G257" s="60"/>
      <c r="H257" s="60"/>
      <c r="I257" s="60"/>
      <c r="J257" s="60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60"/>
      <c r="B258" s="60"/>
      <c r="C258" s="60"/>
      <c r="D258" s="8"/>
      <c r="E258" s="60"/>
      <c r="F258" s="60"/>
      <c r="G258" s="60"/>
      <c r="H258" s="60"/>
      <c r="I258" s="60"/>
      <c r="J258" s="60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60"/>
      <c r="B259" s="60"/>
      <c r="C259" s="60"/>
      <c r="D259" s="8"/>
      <c r="E259" s="60"/>
      <c r="F259" s="60"/>
      <c r="G259" s="60"/>
      <c r="H259" s="60"/>
      <c r="I259" s="60"/>
      <c r="J259" s="60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60"/>
      <c r="B260" s="60"/>
      <c r="C260" s="60"/>
      <c r="D260" s="8"/>
      <c r="E260" s="60"/>
      <c r="F260" s="60"/>
      <c r="G260" s="60"/>
      <c r="H260" s="60"/>
      <c r="I260" s="60"/>
      <c r="J260" s="60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60"/>
      <c r="B261" s="60"/>
      <c r="C261" s="60"/>
      <c r="D261" s="8"/>
      <c r="E261" s="60"/>
      <c r="F261" s="60"/>
      <c r="G261" s="60"/>
      <c r="H261" s="60"/>
      <c r="I261" s="60"/>
      <c r="J261" s="60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60"/>
      <c r="B262" s="60"/>
      <c r="C262" s="60"/>
      <c r="D262" s="8"/>
      <c r="E262" s="60"/>
      <c r="F262" s="60"/>
      <c r="G262" s="60"/>
      <c r="H262" s="60"/>
      <c r="I262" s="60"/>
      <c r="J262" s="60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60"/>
      <c r="B263" s="60"/>
      <c r="C263" s="60"/>
      <c r="D263" s="8"/>
      <c r="E263" s="60"/>
      <c r="F263" s="60"/>
      <c r="G263" s="60"/>
      <c r="H263" s="60"/>
      <c r="I263" s="60"/>
      <c r="J263" s="60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60"/>
      <c r="B264" s="60"/>
      <c r="C264" s="60"/>
      <c r="D264" s="8"/>
      <c r="E264" s="60"/>
      <c r="F264" s="60"/>
      <c r="G264" s="60"/>
      <c r="H264" s="60"/>
      <c r="I264" s="60"/>
      <c r="J264" s="60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60"/>
      <c r="B265" s="60"/>
      <c r="C265" s="60"/>
      <c r="D265" s="8"/>
      <c r="E265" s="60"/>
      <c r="F265" s="60"/>
      <c r="G265" s="60"/>
      <c r="H265" s="60"/>
      <c r="I265" s="60"/>
      <c r="J265" s="60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60"/>
      <c r="B266" s="60"/>
      <c r="C266" s="60"/>
      <c r="D266" s="8"/>
      <c r="E266" s="60"/>
      <c r="F266" s="60"/>
      <c r="G266" s="60"/>
      <c r="H266" s="60"/>
      <c r="I266" s="60"/>
      <c r="J266" s="60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60"/>
      <c r="B267" s="60"/>
      <c r="C267" s="60"/>
      <c r="D267" s="8"/>
      <c r="E267" s="60"/>
      <c r="F267" s="60"/>
      <c r="G267" s="60"/>
      <c r="H267" s="60"/>
      <c r="I267" s="60"/>
      <c r="J267" s="60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60"/>
      <c r="B268" s="60"/>
      <c r="C268" s="60"/>
      <c r="D268" s="8"/>
      <c r="E268" s="60"/>
      <c r="F268" s="60"/>
      <c r="G268" s="60"/>
      <c r="H268" s="60"/>
      <c r="I268" s="60"/>
      <c r="J268" s="60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60"/>
      <c r="B269" s="60"/>
      <c r="C269" s="60"/>
      <c r="D269" s="8"/>
      <c r="E269" s="60"/>
      <c r="F269" s="60"/>
      <c r="G269" s="60"/>
      <c r="H269" s="60"/>
      <c r="I269" s="60"/>
      <c r="J269" s="60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60"/>
      <c r="B270" s="60"/>
      <c r="C270" s="60"/>
      <c r="D270" s="8"/>
      <c r="E270" s="60"/>
      <c r="F270" s="60"/>
      <c r="G270" s="60"/>
      <c r="H270" s="60"/>
      <c r="I270" s="60"/>
      <c r="J270" s="60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60"/>
      <c r="B271" s="60"/>
      <c r="C271" s="60"/>
      <c r="D271" s="8"/>
      <c r="E271" s="60"/>
      <c r="F271" s="60"/>
      <c r="G271" s="60"/>
      <c r="H271" s="60"/>
      <c r="I271" s="60"/>
      <c r="J271" s="60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60"/>
      <c r="B272" s="60"/>
      <c r="C272" s="60"/>
      <c r="D272" s="8"/>
      <c r="E272" s="60"/>
      <c r="F272" s="60"/>
      <c r="G272" s="60"/>
      <c r="H272" s="60"/>
      <c r="I272" s="60"/>
      <c r="J272" s="60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60"/>
      <c r="B273" s="60"/>
      <c r="C273" s="60"/>
      <c r="D273" s="8"/>
      <c r="E273" s="60"/>
      <c r="F273" s="60"/>
      <c r="G273" s="60"/>
      <c r="H273" s="60"/>
      <c r="I273" s="60"/>
      <c r="J273" s="60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60"/>
      <c r="B274" s="60"/>
      <c r="C274" s="60"/>
      <c r="D274" s="8"/>
      <c r="E274" s="60"/>
      <c r="F274" s="60"/>
      <c r="G274" s="60"/>
      <c r="H274" s="60"/>
      <c r="I274" s="60"/>
      <c r="J274" s="60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60"/>
      <c r="B275" s="60"/>
      <c r="C275" s="60"/>
      <c r="D275" s="8"/>
      <c r="E275" s="60"/>
      <c r="F275" s="60"/>
      <c r="G275" s="60"/>
      <c r="H275" s="60"/>
      <c r="I275" s="60"/>
      <c r="J275" s="60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60"/>
      <c r="B276" s="60"/>
      <c r="C276" s="60"/>
      <c r="D276" s="8"/>
      <c r="E276" s="60"/>
      <c r="F276" s="60"/>
      <c r="G276" s="60"/>
      <c r="H276" s="60"/>
      <c r="I276" s="60"/>
      <c r="J276" s="60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60"/>
      <c r="B277" s="60"/>
      <c r="C277" s="60"/>
      <c r="D277" s="8"/>
      <c r="E277" s="60"/>
      <c r="F277" s="60"/>
      <c r="G277" s="60"/>
      <c r="H277" s="60"/>
      <c r="I277" s="60"/>
      <c r="J277" s="60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60"/>
      <c r="B278" s="60"/>
      <c r="C278" s="60"/>
      <c r="D278" s="8"/>
      <c r="E278" s="60"/>
      <c r="F278" s="60"/>
      <c r="G278" s="60"/>
      <c r="H278" s="60"/>
      <c r="I278" s="60"/>
      <c r="J278" s="60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60"/>
      <c r="B279" s="60"/>
      <c r="C279" s="60"/>
      <c r="D279" s="8"/>
      <c r="E279" s="60"/>
      <c r="F279" s="60"/>
      <c r="G279" s="60"/>
      <c r="H279" s="60"/>
      <c r="I279" s="60"/>
      <c r="J279" s="60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60"/>
      <c r="B280" s="60"/>
      <c r="C280" s="60"/>
      <c r="D280" s="8"/>
      <c r="E280" s="60"/>
      <c r="F280" s="60"/>
      <c r="G280" s="60"/>
      <c r="H280" s="60"/>
      <c r="I280" s="60"/>
      <c r="J280" s="60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60"/>
      <c r="B281" s="60"/>
      <c r="C281" s="60"/>
      <c r="D281" s="8"/>
      <c r="E281" s="60"/>
      <c r="F281" s="60"/>
      <c r="G281" s="60"/>
      <c r="H281" s="60"/>
      <c r="I281" s="60"/>
      <c r="J281" s="60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60"/>
      <c r="B282" s="60"/>
      <c r="C282" s="60"/>
      <c r="D282" s="8"/>
      <c r="E282" s="60"/>
      <c r="F282" s="60"/>
      <c r="G282" s="60"/>
      <c r="H282" s="60"/>
      <c r="I282" s="60"/>
      <c r="J282" s="60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60"/>
      <c r="B283" s="60"/>
      <c r="C283" s="60"/>
      <c r="D283" s="8"/>
      <c r="E283" s="60"/>
      <c r="F283" s="60"/>
      <c r="G283" s="60"/>
      <c r="H283" s="60"/>
      <c r="I283" s="60"/>
      <c r="J283" s="60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60"/>
      <c r="B284" s="60"/>
      <c r="C284" s="60"/>
      <c r="D284" s="8"/>
      <c r="E284" s="60"/>
      <c r="F284" s="60"/>
      <c r="G284" s="60"/>
      <c r="H284" s="60"/>
      <c r="I284" s="60"/>
      <c r="J284" s="60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60"/>
      <c r="B285" s="60"/>
      <c r="C285" s="60"/>
      <c r="D285" s="8"/>
      <c r="E285" s="60"/>
      <c r="F285" s="60"/>
      <c r="G285" s="60"/>
      <c r="H285" s="60"/>
      <c r="I285" s="60"/>
      <c r="J285" s="60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60"/>
      <c r="B286" s="60"/>
      <c r="C286" s="60"/>
      <c r="D286" s="8"/>
      <c r="E286" s="60"/>
      <c r="F286" s="60"/>
      <c r="G286" s="60"/>
      <c r="H286" s="60"/>
      <c r="I286" s="60"/>
      <c r="J286" s="60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60"/>
      <c r="B287" s="60"/>
      <c r="C287" s="60"/>
      <c r="D287" s="8"/>
      <c r="E287" s="60"/>
      <c r="F287" s="60"/>
      <c r="G287" s="60"/>
      <c r="H287" s="60"/>
      <c r="I287" s="60"/>
      <c r="J287" s="60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60"/>
      <c r="B288" s="60"/>
      <c r="C288" s="60"/>
      <c r="D288" s="8"/>
      <c r="E288" s="60"/>
      <c r="F288" s="60"/>
      <c r="G288" s="60"/>
      <c r="H288" s="60"/>
      <c r="I288" s="60"/>
      <c r="J288" s="60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60"/>
      <c r="B289" s="60"/>
      <c r="C289" s="60"/>
      <c r="D289" s="8"/>
      <c r="E289" s="60"/>
      <c r="F289" s="60"/>
      <c r="G289" s="60"/>
      <c r="H289" s="60"/>
      <c r="I289" s="60"/>
      <c r="J289" s="60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60"/>
      <c r="B290" s="60"/>
      <c r="C290" s="60"/>
      <c r="D290" s="8"/>
      <c r="E290" s="60"/>
      <c r="F290" s="60"/>
      <c r="G290" s="60"/>
      <c r="H290" s="60"/>
      <c r="I290" s="60"/>
      <c r="J290" s="60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60"/>
      <c r="B291" s="60"/>
      <c r="C291" s="60"/>
      <c r="D291" s="8"/>
      <c r="E291" s="60"/>
      <c r="F291" s="60"/>
      <c r="G291" s="60"/>
      <c r="H291" s="60"/>
      <c r="I291" s="60"/>
      <c r="J291" s="60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60"/>
      <c r="B292" s="60"/>
      <c r="C292" s="60"/>
      <c r="D292" s="8"/>
      <c r="E292" s="60"/>
      <c r="F292" s="60"/>
      <c r="G292" s="60"/>
      <c r="H292" s="60"/>
      <c r="I292" s="60"/>
      <c r="J292" s="60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60"/>
      <c r="B293" s="60"/>
      <c r="C293" s="60"/>
      <c r="D293" s="8"/>
      <c r="E293" s="60"/>
      <c r="F293" s="60"/>
      <c r="G293" s="60"/>
      <c r="H293" s="60"/>
      <c r="I293" s="60"/>
      <c r="J293" s="60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60"/>
      <c r="B294" s="60"/>
      <c r="C294" s="60"/>
      <c r="D294" s="8"/>
      <c r="E294" s="60"/>
      <c r="F294" s="60"/>
      <c r="G294" s="60"/>
      <c r="H294" s="60"/>
      <c r="I294" s="60"/>
      <c r="J294" s="60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60"/>
      <c r="B295" s="60"/>
      <c r="C295" s="60"/>
      <c r="D295" s="8"/>
      <c r="E295" s="60"/>
      <c r="F295" s="60"/>
      <c r="G295" s="60"/>
      <c r="H295" s="60"/>
      <c r="I295" s="60"/>
      <c r="J295" s="60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60"/>
      <c r="B296" s="60"/>
      <c r="C296" s="60"/>
      <c r="D296" s="8"/>
      <c r="E296" s="60"/>
      <c r="F296" s="60"/>
      <c r="G296" s="60"/>
      <c r="H296" s="60"/>
      <c r="I296" s="60"/>
      <c r="J296" s="60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60"/>
      <c r="B297" s="60"/>
      <c r="C297" s="60"/>
      <c r="D297" s="8"/>
      <c r="E297" s="60"/>
      <c r="F297" s="60"/>
      <c r="G297" s="60"/>
      <c r="H297" s="60"/>
      <c r="I297" s="60"/>
      <c r="J297" s="60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60"/>
      <c r="B298" s="60"/>
      <c r="C298" s="60"/>
      <c r="D298" s="8"/>
      <c r="E298" s="60"/>
      <c r="F298" s="60"/>
      <c r="G298" s="60"/>
      <c r="H298" s="60"/>
      <c r="I298" s="60"/>
      <c r="J298" s="60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60"/>
      <c r="B299" s="60"/>
      <c r="C299" s="60"/>
      <c r="D299" s="8"/>
      <c r="E299" s="60"/>
      <c r="F299" s="60"/>
      <c r="G299" s="60"/>
      <c r="H299" s="60"/>
      <c r="I299" s="60"/>
      <c r="J299" s="60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60"/>
      <c r="B300" s="60"/>
      <c r="C300" s="60"/>
      <c r="D300" s="8"/>
      <c r="E300" s="60"/>
      <c r="F300" s="60"/>
      <c r="G300" s="60"/>
      <c r="H300" s="60"/>
      <c r="I300" s="60"/>
      <c r="J300" s="60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60"/>
      <c r="B301" s="60"/>
      <c r="C301" s="60"/>
      <c r="D301" s="8"/>
      <c r="E301" s="60"/>
      <c r="F301" s="60"/>
      <c r="G301" s="60"/>
      <c r="H301" s="60"/>
      <c r="I301" s="60"/>
      <c r="J301" s="60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60"/>
      <c r="B302" s="60"/>
      <c r="C302" s="60"/>
      <c r="D302" s="8"/>
      <c r="E302" s="60"/>
      <c r="F302" s="60"/>
      <c r="G302" s="60"/>
      <c r="H302" s="60"/>
      <c r="I302" s="60"/>
      <c r="J302" s="60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60"/>
      <c r="B303" s="60"/>
      <c r="C303" s="60"/>
      <c r="D303" s="8"/>
      <c r="E303" s="60"/>
      <c r="F303" s="60"/>
      <c r="G303" s="60"/>
      <c r="H303" s="60"/>
      <c r="I303" s="60"/>
      <c r="J303" s="60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60"/>
      <c r="B304" s="60"/>
      <c r="C304" s="60"/>
      <c r="D304" s="8"/>
      <c r="E304" s="60"/>
      <c r="F304" s="60"/>
      <c r="G304" s="60"/>
      <c r="H304" s="60"/>
      <c r="I304" s="60"/>
      <c r="J304" s="60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60"/>
      <c r="B305" s="60"/>
      <c r="C305" s="60"/>
      <c r="D305" s="8"/>
      <c r="E305" s="60"/>
      <c r="F305" s="60"/>
      <c r="G305" s="60"/>
      <c r="H305" s="60"/>
      <c r="I305" s="60"/>
      <c r="J305" s="60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60"/>
      <c r="B306" s="60"/>
      <c r="C306" s="60"/>
      <c r="D306" s="8"/>
      <c r="E306" s="60"/>
      <c r="F306" s="60"/>
      <c r="G306" s="60"/>
      <c r="H306" s="60"/>
      <c r="I306" s="60"/>
      <c r="J306" s="60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60"/>
      <c r="B307" s="60"/>
      <c r="C307" s="60"/>
      <c r="D307" s="8"/>
      <c r="E307" s="60"/>
      <c r="F307" s="60"/>
      <c r="G307" s="60"/>
      <c r="H307" s="60"/>
      <c r="I307" s="60"/>
      <c r="J307" s="60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60"/>
      <c r="B308" s="60"/>
      <c r="C308" s="60"/>
      <c r="D308" s="8"/>
      <c r="E308" s="60"/>
      <c r="F308" s="60"/>
      <c r="G308" s="60"/>
      <c r="H308" s="60"/>
      <c r="I308" s="60"/>
      <c r="J308" s="60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60"/>
      <c r="B309" s="60"/>
      <c r="C309" s="60"/>
      <c r="D309" s="8"/>
      <c r="E309" s="60"/>
      <c r="F309" s="60"/>
      <c r="G309" s="60"/>
      <c r="H309" s="60"/>
      <c r="I309" s="60"/>
      <c r="J309" s="60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60"/>
      <c r="B310" s="60"/>
      <c r="C310" s="60"/>
      <c r="D310" s="8"/>
      <c r="E310" s="60"/>
      <c r="F310" s="60"/>
      <c r="G310" s="60"/>
      <c r="H310" s="60"/>
      <c r="I310" s="60"/>
      <c r="J310" s="60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60"/>
      <c r="B311" s="60"/>
      <c r="C311" s="60"/>
      <c r="D311" s="8"/>
      <c r="E311" s="60"/>
      <c r="F311" s="60"/>
      <c r="G311" s="60"/>
      <c r="H311" s="60"/>
      <c r="I311" s="60"/>
      <c r="J311" s="60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60"/>
      <c r="B312" s="60"/>
      <c r="C312" s="60"/>
      <c r="D312" s="8"/>
      <c r="E312" s="60"/>
      <c r="F312" s="60"/>
      <c r="G312" s="60"/>
      <c r="H312" s="60"/>
      <c r="I312" s="60"/>
      <c r="J312" s="60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60"/>
      <c r="B313" s="60"/>
      <c r="C313" s="60"/>
      <c r="D313" s="8"/>
      <c r="E313" s="60"/>
      <c r="F313" s="60"/>
      <c r="G313" s="60"/>
      <c r="H313" s="60"/>
      <c r="I313" s="60"/>
      <c r="J313" s="60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60"/>
      <c r="B314" s="60"/>
      <c r="C314" s="60"/>
      <c r="D314" s="8"/>
      <c r="E314" s="60"/>
      <c r="F314" s="60"/>
      <c r="G314" s="60"/>
      <c r="H314" s="60"/>
      <c r="I314" s="60"/>
      <c r="J314" s="60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60"/>
      <c r="B315" s="60"/>
      <c r="C315" s="60"/>
      <c r="D315" s="8"/>
      <c r="E315" s="60"/>
      <c r="F315" s="60"/>
      <c r="G315" s="60"/>
      <c r="H315" s="60"/>
      <c r="I315" s="60"/>
      <c r="J315" s="60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60"/>
      <c r="B316" s="60"/>
      <c r="C316" s="60"/>
      <c r="D316" s="8"/>
      <c r="E316" s="60"/>
      <c r="F316" s="60"/>
      <c r="G316" s="60"/>
      <c r="H316" s="60"/>
      <c r="I316" s="60"/>
      <c r="J316" s="60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60"/>
      <c r="B317" s="60"/>
      <c r="C317" s="60"/>
      <c r="D317" s="8"/>
      <c r="E317" s="60"/>
      <c r="F317" s="60"/>
      <c r="G317" s="60"/>
      <c r="H317" s="60"/>
      <c r="I317" s="60"/>
      <c r="J317" s="60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60"/>
      <c r="B318" s="60"/>
      <c r="C318" s="60"/>
      <c r="D318" s="8"/>
      <c r="E318" s="60"/>
      <c r="F318" s="60"/>
      <c r="G318" s="60"/>
      <c r="H318" s="60"/>
      <c r="I318" s="60"/>
      <c r="J318" s="60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60"/>
      <c r="B319" s="60"/>
      <c r="C319" s="60"/>
      <c r="D319" s="8"/>
      <c r="E319" s="60"/>
      <c r="F319" s="60"/>
      <c r="G319" s="60"/>
      <c r="H319" s="60"/>
      <c r="I319" s="60"/>
      <c r="J319" s="60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60"/>
      <c r="B320" s="60"/>
      <c r="C320" s="60"/>
      <c r="D320" s="8"/>
      <c r="E320" s="60"/>
      <c r="F320" s="60"/>
      <c r="G320" s="60"/>
      <c r="H320" s="60"/>
      <c r="I320" s="60"/>
      <c r="J320" s="60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60"/>
      <c r="B321" s="60"/>
      <c r="C321" s="60"/>
      <c r="D321" s="8"/>
      <c r="E321" s="60"/>
      <c r="F321" s="60"/>
      <c r="G321" s="60"/>
      <c r="H321" s="60"/>
      <c r="I321" s="60"/>
      <c r="J321" s="60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60"/>
      <c r="B322" s="60"/>
      <c r="C322" s="60"/>
      <c r="D322" s="8"/>
      <c r="E322" s="60"/>
      <c r="F322" s="60"/>
      <c r="G322" s="60"/>
      <c r="H322" s="60"/>
      <c r="I322" s="60"/>
      <c r="J322" s="60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60"/>
      <c r="B323" s="60"/>
      <c r="C323" s="60"/>
      <c r="D323" s="8"/>
      <c r="E323" s="60"/>
      <c r="F323" s="60"/>
      <c r="G323" s="60"/>
      <c r="H323" s="60"/>
      <c r="I323" s="60"/>
      <c r="J323" s="60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60"/>
      <c r="B324" s="60"/>
      <c r="C324" s="60"/>
      <c r="D324" s="8"/>
      <c r="E324" s="60"/>
      <c r="F324" s="60"/>
      <c r="G324" s="60"/>
      <c r="H324" s="60"/>
      <c r="I324" s="60"/>
      <c r="J324" s="60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60"/>
      <c r="B325" s="60"/>
      <c r="C325" s="60"/>
      <c r="D325" s="8"/>
      <c r="E325" s="60"/>
      <c r="F325" s="60"/>
      <c r="G325" s="60"/>
      <c r="H325" s="60"/>
      <c r="I325" s="60"/>
      <c r="J325" s="60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60"/>
      <c r="B326" s="60"/>
      <c r="C326" s="60"/>
      <c r="D326" s="8"/>
      <c r="E326" s="60"/>
      <c r="F326" s="60"/>
      <c r="G326" s="60"/>
      <c r="H326" s="60"/>
      <c r="I326" s="60"/>
      <c r="J326" s="60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60"/>
      <c r="B327" s="60"/>
      <c r="C327" s="60"/>
      <c r="D327" s="8"/>
      <c r="E327" s="60"/>
      <c r="F327" s="60"/>
      <c r="G327" s="60"/>
      <c r="H327" s="60"/>
      <c r="I327" s="60"/>
      <c r="J327" s="60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60"/>
      <c r="B328" s="60"/>
      <c r="C328" s="60"/>
      <c r="D328" s="8"/>
      <c r="E328" s="60"/>
      <c r="F328" s="60"/>
      <c r="G328" s="60"/>
      <c r="H328" s="60"/>
      <c r="I328" s="60"/>
      <c r="J328" s="60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60"/>
      <c r="B329" s="60"/>
      <c r="C329" s="60"/>
      <c r="D329" s="8"/>
      <c r="E329" s="60"/>
      <c r="F329" s="60"/>
      <c r="G329" s="60"/>
      <c r="H329" s="60"/>
      <c r="I329" s="60"/>
      <c r="J329" s="60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60"/>
      <c r="B330" s="60"/>
      <c r="C330" s="60"/>
      <c r="D330" s="8"/>
      <c r="E330" s="60"/>
      <c r="F330" s="60"/>
      <c r="G330" s="60"/>
      <c r="H330" s="60"/>
      <c r="I330" s="60"/>
      <c r="J330" s="60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60"/>
      <c r="B331" s="60"/>
      <c r="C331" s="60"/>
      <c r="D331" s="8"/>
      <c r="E331" s="60"/>
      <c r="F331" s="60"/>
      <c r="G331" s="60"/>
      <c r="H331" s="60"/>
      <c r="I331" s="60"/>
      <c r="J331" s="60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60"/>
      <c r="B332" s="60"/>
      <c r="C332" s="60"/>
      <c r="D332" s="8"/>
      <c r="E332" s="60"/>
      <c r="F332" s="60"/>
      <c r="G332" s="60"/>
      <c r="H332" s="60"/>
      <c r="I332" s="60"/>
      <c r="J332" s="60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60"/>
      <c r="B333" s="60"/>
      <c r="C333" s="60"/>
      <c r="D333" s="8"/>
      <c r="E333" s="60"/>
      <c r="F333" s="60"/>
      <c r="G333" s="60"/>
      <c r="H333" s="60"/>
      <c r="I333" s="60"/>
      <c r="J333" s="60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60"/>
      <c r="B334" s="60"/>
      <c r="C334" s="60"/>
      <c r="D334" s="8"/>
      <c r="E334" s="60"/>
      <c r="F334" s="60"/>
      <c r="G334" s="60"/>
      <c r="H334" s="60"/>
      <c r="I334" s="60"/>
      <c r="J334" s="60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60"/>
      <c r="B335" s="60"/>
      <c r="C335" s="60"/>
      <c r="D335" s="8"/>
      <c r="E335" s="60"/>
      <c r="F335" s="60"/>
      <c r="G335" s="60"/>
      <c r="H335" s="60"/>
      <c r="I335" s="60"/>
      <c r="J335" s="60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60"/>
      <c r="B336" s="60"/>
      <c r="C336" s="60"/>
      <c r="D336" s="8"/>
      <c r="E336" s="60"/>
      <c r="F336" s="60"/>
      <c r="G336" s="60"/>
      <c r="H336" s="60"/>
      <c r="I336" s="60"/>
      <c r="J336" s="60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60"/>
      <c r="B337" s="60"/>
      <c r="C337" s="60"/>
      <c r="D337" s="8"/>
      <c r="E337" s="60"/>
      <c r="F337" s="60"/>
      <c r="G337" s="60"/>
      <c r="H337" s="60"/>
      <c r="I337" s="60"/>
      <c r="J337" s="60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60"/>
      <c r="B338" s="60"/>
      <c r="C338" s="60"/>
      <c r="D338" s="8"/>
      <c r="E338" s="60"/>
      <c r="F338" s="60"/>
      <c r="G338" s="60"/>
      <c r="H338" s="60"/>
      <c r="I338" s="60"/>
      <c r="J338" s="60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60"/>
      <c r="B339" s="60"/>
      <c r="C339" s="60"/>
      <c r="D339" s="8"/>
      <c r="E339" s="60"/>
      <c r="F339" s="60"/>
      <c r="G339" s="60"/>
      <c r="H339" s="60"/>
      <c r="I339" s="60"/>
      <c r="J339" s="60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60"/>
      <c r="B340" s="60"/>
      <c r="C340" s="60"/>
      <c r="D340" s="8"/>
      <c r="E340" s="60"/>
      <c r="F340" s="60"/>
      <c r="G340" s="60"/>
      <c r="H340" s="60"/>
      <c r="I340" s="60"/>
      <c r="J340" s="60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60"/>
      <c r="B341" s="60"/>
      <c r="C341" s="60"/>
      <c r="D341" s="8"/>
      <c r="E341" s="60"/>
      <c r="F341" s="60"/>
      <c r="G341" s="60"/>
      <c r="H341" s="60"/>
      <c r="I341" s="60"/>
      <c r="J341" s="60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60"/>
      <c r="B342" s="60"/>
      <c r="C342" s="60"/>
      <c r="D342" s="8"/>
      <c r="E342" s="60"/>
      <c r="F342" s="60"/>
      <c r="G342" s="60"/>
      <c r="H342" s="60"/>
      <c r="I342" s="60"/>
      <c r="J342" s="60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60"/>
      <c r="B343" s="60"/>
      <c r="C343" s="60"/>
      <c r="D343" s="8"/>
      <c r="E343" s="60"/>
      <c r="F343" s="60"/>
      <c r="G343" s="60"/>
      <c r="H343" s="60"/>
      <c r="I343" s="60"/>
      <c r="J343" s="60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60"/>
      <c r="B344" s="60"/>
      <c r="C344" s="60"/>
      <c r="D344" s="8"/>
      <c r="E344" s="60"/>
      <c r="F344" s="60"/>
      <c r="G344" s="60"/>
      <c r="H344" s="60"/>
      <c r="I344" s="60"/>
      <c r="J344" s="60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60"/>
      <c r="B345" s="60"/>
      <c r="C345" s="60"/>
      <c r="D345" s="8"/>
      <c r="E345" s="60"/>
      <c r="F345" s="60"/>
      <c r="G345" s="60"/>
      <c r="H345" s="60"/>
      <c r="I345" s="60"/>
      <c r="J345" s="60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60"/>
      <c r="B346" s="60"/>
      <c r="C346" s="60"/>
      <c r="D346" s="8"/>
      <c r="E346" s="60"/>
      <c r="F346" s="60"/>
      <c r="G346" s="60"/>
      <c r="H346" s="60"/>
      <c r="I346" s="60"/>
      <c r="J346" s="60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60"/>
      <c r="B347" s="60"/>
      <c r="C347" s="60"/>
      <c r="D347" s="8"/>
      <c r="E347" s="60"/>
      <c r="F347" s="60"/>
      <c r="G347" s="60"/>
      <c r="H347" s="60"/>
      <c r="I347" s="60"/>
      <c r="J347" s="60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60"/>
      <c r="B348" s="60"/>
      <c r="C348" s="60"/>
      <c r="D348" s="8"/>
      <c r="E348" s="60"/>
      <c r="F348" s="60"/>
      <c r="G348" s="60"/>
      <c r="H348" s="60"/>
      <c r="I348" s="60"/>
      <c r="J348" s="60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60"/>
      <c r="B349" s="60"/>
      <c r="C349" s="60"/>
      <c r="D349" s="8"/>
      <c r="E349" s="60"/>
      <c r="F349" s="60"/>
      <c r="G349" s="60"/>
      <c r="H349" s="60"/>
      <c r="I349" s="60"/>
      <c r="J349" s="60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60"/>
      <c r="B350" s="60"/>
      <c r="C350" s="60"/>
      <c r="D350" s="8"/>
      <c r="E350" s="60"/>
      <c r="F350" s="60"/>
      <c r="G350" s="60"/>
      <c r="H350" s="60"/>
      <c r="I350" s="60"/>
      <c r="J350" s="60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60"/>
      <c r="B351" s="60"/>
      <c r="C351" s="60"/>
      <c r="D351" s="8"/>
      <c r="E351" s="60"/>
      <c r="F351" s="60"/>
      <c r="G351" s="60"/>
      <c r="H351" s="60"/>
      <c r="I351" s="60"/>
      <c r="J351" s="60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60"/>
      <c r="B352" s="60"/>
      <c r="C352" s="60"/>
      <c r="D352" s="8"/>
      <c r="E352" s="60"/>
      <c r="F352" s="60"/>
      <c r="G352" s="60"/>
      <c r="H352" s="60"/>
      <c r="I352" s="60"/>
      <c r="J352" s="60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60"/>
      <c r="B353" s="60"/>
      <c r="C353" s="60"/>
      <c r="D353" s="8"/>
      <c r="E353" s="60"/>
      <c r="F353" s="60"/>
      <c r="G353" s="60"/>
      <c r="H353" s="60"/>
      <c r="I353" s="60"/>
      <c r="J353" s="60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60"/>
      <c r="B354" s="60"/>
      <c r="C354" s="60"/>
      <c r="D354" s="8"/>
      <c r="E354" s="60"/>
      <c r="F354" s="60"/>
      <c r="G354" s="60"/>
      <c r="H354" s="60"/>
      <c r="I354" s="60"/>
      <c r="J354" s="60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60"/>
      <c r="B355" s="60"/>
      <c r="C355" s="60"/>
      <c r="D355" s="8"/>
      <c r="E355" s="60"/>
      <c r="F355" s="60"/>
      <c r="G355" s="60"/>
      <c r="H355" s="60"/>
      <c r="I355" s="60"/>
      <c r="J355" s="60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60"/>
      <c r="B356" s="60"/>
      <c r="C356" s="60"/>
      <c r="D356" s="8"/>
      <c r="E356" s="60"/>
      <c r="F356" s="60"/>
      <c r="G356" s="60"/>
      <c r="H356" s="60"/>
      <c r="I356" s="60"/>
      <c r="J356" s="60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60"/>
      <c r="B357" s="60"/>
      <c r="C357" s="60"/>
      <c r="D357" s="8"/>
      <c r="E357" s="60"/>
      <c r="F357" s="60"/>
      <c r="G357" s="60"/>
      <c r="H357" s="60"/>
      <c r="I357" s="60"/>
      <c r="J357" s="60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60"/>
      <c r="B358" s="60"/>
      <c r="C358" s="60"/>
      <c r="D358" s="8"/>
      <c r="E358" s="60"/>
      <c r="F358" s="60"/>
      <c r="G358" s="60"/>
      <c r="H358" s="60"/>
      <c r="I358" s="60"/>
      <c r="J358" s="60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60"/>
      <c r="B359" s="60"/>
      <c r="C359" s="60"/>
      <c r="D359" s="8"/>
      <c r="E359" s="60"/>
      <c r="F359" s="60"/>
      <c r="G359" s="60"/>
      <c r="H359" s="60"/>
      <c r="I359" s="60"/>
      <c r="J359" s="60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60"/>
      <c r="B360" s="60"/>
      <c r="C360" s="60"/>
      <c r="D360" s="8"/>
      <c r="E360" s="60"/>
      <c r="F360" s="60"/>
      <c r="G360" s="60"/>
      <c r="H360" s="60"/>
      <c r="I360" s="60"/>
      <c r="J360" s="60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60"/>
      <c r="B361" s="60"/>
      <c r="C361" s="60"/>
      <c r="D361" s="8"/>
      <c r="E361" s="60"/>
      <c r="F361" s="60"/>
      <c r="G361" s="60"/>
      <c r="H361" s="60"/>
      <c r="I361" s="60"/>
      <c r="J361" s="60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60"/>
      <c r="B362" s="60"/>
      <c r="C362" s="60"/>
      <c r="D362" s="8"/>
      <c r="E362" s="60"/>
      <c r="F362" s="60"/>
      <c r="G362" s="60"/>
      <c r="H362" s="60"/>
      <c r="I362" s="60"/>
      <c r="J362" s="60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60"/>
      <c r="B363" s="60"/>
      <c r="C363" s="60"/>
      <c r="D363" s="8"/>
      <c r="E363" s="60"/>
      <c r="F363" s="60"/>
      <c r="G363" s="60"/>
      <c r="H363" s="60"/>
      <c r="I363" s="60"/>
      <c r="J363" s="60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60"/>
      <c r="B364" s="60"/>
      <c r="C364" s="60"/>
      <c r="D364" s="8"/>
      <c r="E364" s="60"/>
      <c r="F364" s="60"/>
      <c r="G364" s="60"/>
      <c r="H364" s="60"/>
      <c r="I364" s="60"/>
      <c r="J364" s="60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60"/>
      <c r="B365" s="60"/>
      <c r="C365" s="60"/>
      <c r="D365" s="8"/>
      <c r="E365" s="60"/>
      <c r="F365" s="60"/>
      <c r="G365" s="60"/>
      <c r="H365" s="60"/>
      <c r="I365" s="60"/>
      <c r="J365" s="60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60"/>
      <c r="B366" s="60"/>
      <c r="C366" s="60"/>
      <c r="D366" s="8"/>
      <c r="E366" s="60"/>
      <c r="F366" s="60"/>
      <c r="G366" s="60"/>
      <c r="H366" s="60"/>
      <c r="I366" s="60"/>
      <c r="J366" s="60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60"/>
      <c r="B367" s="60"/>
      <c r="C367" s="60"/>
      <c r="D367" s="8"/>
      <c r="E367" s="60"/>
      <c r="F367" s="60"/>
      <c r="G367" s="60"/>
      <c r="H367" s="60"/>
      <c r="I367" s="60"/>
      <c r="J367" s="60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60"/>
      <c r="B368" s="60"/>
      <c r="C368" s="60"/>
      <c r="D368" s="8"/>
      <c r="E368" s="60"/>
      <c r="F368" s="60"/>
      <c r="G368" s="60"/>
      <c r="H368" s="60"/>
      <c r="I368" s="60"/>
      <c r="J368" s="60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60"/>
      <c r="B369" s="60"/>
      <c r="C369" s="60"/>
      <c r="D369" s="8"/>
      <c r="E369" s="60"/>
      <c r="F369" s="60"/>
      <c r="G369" s="60"/>
      <c r="H369" s="60"/>
      <c r="I369" s="60"/>
      <c r="J369" s="60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60"/>
      <c r="B370" s="60"/>
      <c r="C370" s="60"/>
      <c r="D370" s="8"/>
      <c r="E370" s="60"/>
      <c r="F370" s="60"/>
      <c r="G370" s="60"/>
      <c r="H370" s="60"/>
      <c r="I370" s="60"/>
      <c r="J370" s="60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60"/>
      <c r="B371" s="60"/>
      <c r="C371" s="60"/>
      <c r="D371" s="8"/>
      <c r="E371" s="60"/>
      <c r="F371" s="60"/>
      <c r="G371" s="60"/>
      <c r="H371" s="60"/>
      <c r="I371" s="60"/>
      <c r="J371" s="60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60"/>
      <c r="B372" s="60"/>
      <c r="C372" s="60"/>
      <c r="D372" s="8"/>
      <c r="E372" s="60"/>
      <c r="F372" s="60"/>
      <c r="G372" s="60"/>
      <c r="H372" s="60"/>
      <c r="I372" s="60"/>
      <c r="J372" s="60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60"/>
      <c r="B373" s="60"/>
      <c r="C373" s="60"/>
      <c r="D373" s="8"/>
      <c r="E373" s="60"/>
      <c r="F373" s="60"/>
      <c r="G373" s="60"/>
      <c r="H373" s="60"/>
      <c r="I373" s="60"/>
      <c r="J373" s="60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60"/>
      <c r="B374" s="60"/>
      <c r="C374" s="60"/>
      <c r="D374" s="8"/>
      <c r="E374" s="60"/>
      <c r="F374" s="60"/>
      <c r="G374" s="60"/>
      <c r="H374" s="60"/>
      <c r="I374" s="60"/>
      <c r="J374" s="60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60"/>
      <c r="B375" s="60"/>
      <c r="C375" s="60"/>
      <c r="D375" s="8"/>
      <c r="E375" s="60"/>
      <c r="F375" s="60"/>
      <c r="G375" s="60"/>
      <c r="H375" s="60"/>
      <c r="I375" s="60"/>
      <c r="J375" s="60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60"/>
      <c r="B376" s="60"/>
      <c r="C376" s="60"/>
      <c r="D376" s="8"/>
      <c r="E376" s="60"/>
      <c r="F376" s="60"/>
      <c r="G376" s="60"/>
      <c r="H376" s="60"/>
      <c r="I376" s="60"/>
      <c r="J376" s="60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60"/>
      <c r="B377" s="60"/>
      <c r="C377" s="60"/>
      <c r="D377" s="8"/>
      <c r="E377" s="60"/>
      <c r="F377" s="60"/>
      <c r="G377" s="60"/>
      <c r="H377" s="60"/>
      <c r="I377" s="60"/>
      <c r="J377" s="60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60"/>
      <c r="B378" s="60"/>
      <c r="C378" s="60"/>
      <c r="D378" s="8"/>
      <c r="E378" s="60"/>
      <c r="F378" s="60"/>
      <c r="G378" s="60"/>
      <c r="H378" s="60"/>
      <c r="I378" s="60"/>
      <c r="J378" s="60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60"/>
      <c r="B379" s="60"/>
      <c r="C379" s="60"/>
      <c r="D379" s="8"/>
      <c r="E379" s="60"/>
      <c r="F379" s="60"/>
      <c r="G379" s="60"/>
      <c r="H379" s="60"/>
      <c r="I379" s="60"/>
      <c r="J379" s="60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60"/>
      <c r="B380" s="60"/>
      <c r="C380" s="60"/>
      <c r="D380" s="8"/>
      <c r="E380" s="60"/>
      <c r="F380" s="60"/>
      <c r="G380" s="60"/>
      <c r="H380" s="60"/>
      <c r="I380" s="60"/>
      <c r="J380" s="60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60"/>
      <c r="B381" s="60"/>
      <c r="C381" s="60"/>
      <c r="D381" s="8"/>
      <c r="E381" s="60"/>
      <c r="F381" s="60"/>
      <c r="G381" s="60"/>
      <c r="H381" s="60"/>
      <c r="I381" s="60"/>
      <c r="J381" s="60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60"/>
      <c r="B382" s="60"/>
      <c r="C382" s="60"/>
      <c r="D382" s="8"/>
      <c r="E382" s="60"/>
      <c r="F382" s="60"/>
      <c r="G382" s="60"/>
      <c r="H382" s="60"/>
      <c r="I382" s="60"/>
      <c r="J382" s="60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60"/>
      <c r="B383" s="60"/>
      <c r="C383" s="60"/>
      <c r="D383" s="8"/>
      <c r="E383" s="60"/>
      <c r="F383" s="60"/>
      <c r="G383" s="60"/>
      <c r="H383" s="60"/>
      <c r="I383" s="60"/>
      <c r="J383" s="60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60"/>
      <c r="B384" s="60"/>
      <c r="C384" s="60"/>
      <c r="D384" s="8"/>
      <c r="E384" s="60"/>
      <c r="F384" s="60"/>
      <c r="G384" s="60"/>
      <c r="H384" s="60"/>
      <c r="I384" s="60"/>
      <c r="J384" s="60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60"/>
      <c r="B385" s="60"/>
      <c r="C385" s="60"/>
      <c r="D385" s="8"/>
      <c r="E385" s="60"/>
      <c r="F385" s="60"/>
      <c r="G385" s="60"/>
      <c r="H385" s="60"/>
      <c r="I385" s="60"/>
      <c r="J385" s="60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60"/>
      <c r="B386" s="60"/>
      <c r="C386" s="60"/>
      <c r="D386" s="8"/>
      <c r="E386" s="60"/>
      <c r="F386" s="60"/>
      <c r="G386" s="60"/>
      <c r="H386" s="60"/>
      <c r="I386" s="60"/>
      <c r="J386" s="60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60"/>
      <c r="B387" s="60"/>
      <c r="C387" s="60"/>
      <c r="D387" s="8"/>
      <c r="E387" s="60"/>
      <c r="F387" s="60"/>
      <c r="G387" s="60"/>
      <c r="H387" s="60"/>
      <c r="I387" s="60"/>
      <c r="J387" s="60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60"/>
      <c r="B388" s="60"/>
      <c r="C388" s="60"/>
      <c r="D388" s="8"/>
      <c r="E388" s="60"/>
      <c r="F388" s="60"/>
      <c r="G388" s="60"/>
      <c r="H388" s="60"/>
      <c r="I388" s="60"/>
      <c r="J388" s="60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60"/>
      <c r="B389" s="60"/>
      <c r="C389" s="60"/>
      <c r="D389" s="8"/>
      <c r="E389" s="60"/>
      <c r="F389" s="60"/>
      <c r="G389" s="60"/>
      <c r="H389" s="60"/>
      <c r="I389" s="60"/>
      <c r="J389" s="60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60"/>
      <c r="B390" s="60"/>
      <c r="C390" s="60"/>
      <c r="D390" s="8"/>
      <c r="E390" s="60"/>
      <c r="F390" s="60"/>
      <c r="G390" s="60"/>
      <c r="H390" s="60"/>
      <c r="I390" s="60"/>
      <c r="J390" s="60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60"/>
      <c r="B391" s="60"/>
      <c r="C391" s="60"/>
      <c r="D391" s="8"/>
      <c r="E391" s="60"/>
      <c r="F391" s="60"/>
      <c r="G391" s="60"/>
      <c r="H391" s="60"/>
      <c r="I391" s="60"/>
      <c r="J391" s="60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60"/>
      <c r="B392" s="60"/>
      <c r="C392" s="60"/>
      <c r="D392" s="8"/>
      <c r="E392" s="60"/>
      <c r="F392" s="60"/>
      <c r="G392" s="60"/>
      <c r="H392" s="60"/>
      <c r="I392" s="60"/>
      <c r="J392" s="60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60"/>
      <c r="B393" s="60"/>
      <c r="C393" s="60"/>
      <c r="D393" s="8"/>
      <c r="E393" s="60"/>
      <c r="F393" s="60"/>
      <c r="G393" s="60"/>
      <c r="H393" s="60"/>
      <c r="I393" s="60"/>
      <c r="J393" s="60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60"/>
      <c r="B394" s="60"/>
      <c r="C394" s="60"/>
      <c r="D394" s="8"/>
      <c r="E394" s="60"/>
      <c r="F394" s="60"/>
      <c r="G394" s="60"/>
      <c r="H394" s="60"/>
      <c r="I394" s="60"/>
      <c r="J394" s="60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60"/>
      <c r="B395" s="60"/>
      <c r="C395" s="60"/>
      <c r="D395" s="8"/>
      <c r="E395" s="60"/>
      <c r="F395" s="60"/>
      <c r="G395" s="60"/>
      <c r="H395" s="60"/>
      <c r="I395" s="60"/>
      <c r="J395" s="60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60"/>
      <c r="B396" s="60"/>
      <c r="C396" s="60"/>
      <c r="D396" s="8"/>
      <c r="E396" s="60"/>
      <c r="F396" s="60"/>
      <c r="G396" s="60"/>
      <c r="H396" s="60"/>
      <c r="I396" s="60"/>
      <c r="J396" s="60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60"/>
      <c r="B397" s="60"/>
      <c r="C397" s="60"/>
      <c r="D397" s="8"/>
      <c r="E397" s="60"/>
      <c r="F397" s="60"/>
      <c r="G397" s="60"/>
      <c r="H397" s="60"/>
      <c r="I397" s="60"/>
      <c r="J397" s="60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60"/>
      <c r="B398" s="60"/>
      <c r="C398" s="60"/>
      <c r="D398" s="8"/>
      <c r="E398" s="60"/>
      <c r="F398" s="60"/>
      <c r="G398" s="60"/>
      <c r="H398" s="60"/>
      <c r="I398" s="60"/>
      <c r="J398" s="60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60"/>
      <c r="B399" s="60"/>
      <c r="C399" s="60"/>
      <c r="D399" s="8"/>
      <c r="E399" s="60"/>
      <c r="F399" s="60"/>
      <c r="G399" s="60"/>
      <c r="H399" s="60"/>
      <c r="I399" s="60"/>
      <c r="J399" s="60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60"/>
      <c r="B400" s="60"/>
      <c r="C400" s="60"/>
      <c r="D400" s="8"/>
      <c r="E400" s="60"/>
      <c r="F400" s="60"/>
      <c r="G400" s="60"/>
      <c r="H400" s="60"/>
      <c r="I400" s="60"/>
      <c r="J400" s="60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60"/>
      <c r="B401" s="60"/>
      <c r="C401" s="60"/>
      <c r="D401" s="8"/>
      <c r="E401" s="60"/>
      <c r="F401" s="60"/>
      <c r="G401" s="60"/>
      <c r="H401" s="60"/>
      <c r="I401" s="60"/>
      <c r="J401" s="60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60"/>
      <c r="B402" s="60"/>
      <c r="C402" s="60"/>
      <c r="D402" s="8"/>
      <c r="E402" s="60"/>
      <c r="F402" s="60"/>
      <c r="G402" s="60"/>
      <c r="H402" s="60"/>
      <c r="I402" s="60"/>
      <c r="J402" s="60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60"/>
      <c r="B403" s="60"/>
      <c r="C403" s="60"/>
      <c r="D403" s="8"/>
      <c r="E403" s="60"/>
      <c r="F403" s="60"/>
      <c r="G403" s="60"/>
      <c r="H403" s="60"/>
      <c r="I403" s="60"/>
      <c r="J403" s="60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60"/>
      <c r="B404" s="60"/>
      <c r="C404" s="60"/>
      <c r="D404" s="8"/>
      <c r="E404" s="60"/>
      <c r="F404" s="60"/>
      <c r="G404" s="60"/>
      <c r="H404" s="60"/>
      <c r="I404" s="60"/>
      <c r="J404" s="60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60"/>
      <c r="B405" s="60"/>
      <c r="C405" s="60"/>
      <c r="D405" s="8"/>
      <c r="E405" s="60"/>
      <c r="F405" s="60"/>
      <c r="G405" s="60"/>
      <c r="H405" s="60"/>
      <c r="I405" s="60"/>
      <c r="J405" s="60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60"/>
      <c r="B406" s="60"/>
      <c r="C406" s="60"/>
      <c r="D406" s="8"/>
      <c r="E406" s="60"/>
      <c r="F406" s="60"/>
      <c r="G406" s="60"/>
      <c r="H406" s="60"/>
      <c r="I406" s="60"/>
      <c r="J406" s="60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60"/>
      <c r="B407" s="60"/>
      <c r="C407" s="60"/>
      <c r="D407" s="8"/>
      <c r="E407" s="60"/>
      <c r="F407" s="60"/>
      <c r="G407" s="60"/>
      <c r="H407" s="60"/>
      <c r="I407" s="60"/>
      <c r="J407" s="60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60"/>
      <c r="B408" s="60"/>
      <c r="C408" s="60"/>
      <c r="D408" s="8"/>
      <c r="E408" s="60"/>
      <c r="F408" s="60"/>
      <c r="G408" s="60"/>
      <c r="H408" s="60"/>
      <c r="I408" s="60"/>
      <c r="J408" s="60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60"/>
      <c r="B409" s="60"/>
      <c r="C409" s="60"/>
      <c r="D409" s="8"/>
      <c r="E409" s="60"/>
      <c r="F409" s="60"/>
      <c r="G409" s="60"/>
      <c r="H409" s="60"/>
      <c r="I409" s="60"/>
      <c r="J409" s="60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60"/>
      <c r="B410" s="60"/>
      <c r="C410" s="60"/>
      <c r="D410" s="8"/>
      <c r="E410" s="60"/>
      <c r="F410" s="60"/>
      <c r="G410" s="60"/>
      <c r="H410" s="60"/>
      <c r="I410" s="60"/>
      <c r="J410" s="60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60"/>
      <c r="B411" s="60"/>
      <c r="C411" s="60"/>
      <c r="D411" s="8"/>
      <c r="E411" s="60"/>
      <c r="F411" s="60"/>
      <c r="G411" s="60"/>
      <c r="H411" s="60"/>
      <c r="I411" s="60"/>
      <c r="J411" s="60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60"/>
      <c r="B412" s="60"/>
      <c r="C412" s="60"/>
      <c r="D412" s="8"/>
      <c r="E412" s="60"/>
      <c r="F412" s="60"/>
      <c r="G412" s="60"/>
      <c r="H412" s="60"/>
      <c r="I412" s="60"/>
      <c r="J412" s="60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60"/>
      <c r="B413" s="60"/>
      <c r="C413" s="60"/>
      <c r="D413" s="8"/>
      <c r="E413" s="60"/>
      <c r="F413" s="60"/>
      <c r="G413" s="60"/>
      <c r="H413" s="60"/>
      <c r="I413" s="60"/>
      <c r="J413" s="60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60"/>
      <c r="B414" s="60"/>
      <c r="C414" s="60"/>
      <c r="D414" s="8"/>
      <c r="E414" s="60"/>
      <c r="F414" s="60"/>
      <c r="G414" s="60"/>
      <c r="H414" s="60"/>
      <c r="I414" s="60"/>
      <c r="J414" s="60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60"/>
      <c r="B415" s="60"/>
      <c r="C415" s="60"/>
      <c r="D415" s="8"/>
      <c r="E415" s="60"/>
      <c r="F415" s="60"/>
      <c r="G415" s="60"/>
      <c r="H415" s="60"/>
      <c r="I415" s="60"/>
      <c r="J415" s="60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60"/>
      <c r="B416" s="60"/>
      <c r="C416" s="60"/>
      <c r="D416" s="8"/>
      <c r="E416" s="60"/>
      <c r="F416" s="60"/>
      <c r="G416" s="60"/>
      <c r="H416" s="60"/>
      <c r="I416" s="60"/>
      <c r="J416" s="60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60"/>
      <c r="B417" s="60"/>
      <c r="C417" s="60"/>
      <c r="D417" s="8"/>
      <c r="E417" s="60"/>
      <c r="F417" s="60"/>
      <c r="G417" s="60"/>
      <c r="H417" s="60"/>
      <c r="I417" s="60"/>
      <c r="J417" s="60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60"/>
      <c r="B418" s="60"/>
      <c r="C418" s="60"/>
      <c r="D418" s="8"/>
      <c r="E418" s="60"/>
      <c r="F418" s="60"/>
      <c r="G418" s="60"/>
      <c r="H418" s="60"/>
      <c r="I418" s="60"/>
      <c r="J418" s="60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60"/>
      <c r="B419" s="60"/>
      <c r="C419" s="60"/>
      <c r="D419" s="8"/>
      <c r="E419" s="60"/>
      <c r="F419" s="60"/>
      <c r="G419" s="60"/>
      <c r="H419" s="60"/>
      <c r="I419" s="60"/>
      <c r="J419" s="60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60"/>
      <c r="B420" s="60"/>
      <c r="C420" s="60"/>
      <c r="D420" s="8"/>
      <c r="E420" s="60"/>
      <c r="F420" s="60"/>
      <c r="G420" s="60"/>
      <c r="H420" s="60"/>
      <c r="I420" s="60"/>
      <c r="J420" s="60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60"/>
      <c r="B421" s="60"/>
      <c r="C421" s="60"/>
      <c r="D421" s="8"/>
      <c r="E421" s="60"/>
      <c r="F421" s="60"/>
      <c r="G421" s="60"/>
      <c r="H421" s="60"/>
      <c r="I421" s="60"/>
      <c r="J421" s="60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60"/>
      <c r="B422" s="60"/>
      <c r="C422" s="60"/>
      <c r="D422" s="8"/>
      <c r="E422" s="60"/>
      <c r="F422" s="60"/>
      <c r="G422" s="60"/>
      <c r="H422" s="60"/>
      <c r="I422" s="60"/>
      <c r="J422" s="60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60"/>
      <c r="B423" s="60"/>
      <c r="C423" s="60"/>
      <c r="D423" s="8"/>
      <c r="E423" s="60"/>
      <c r="F423" s="60"/>
      <c r="G423" s="60"/>
      <c r="H423" s="60"/>
      <c r="I423" s="60"/>
      <c r="J423" s="60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60"/>
      <c r="B424" s="60"/>
      <c r="C424" s="60"/>
      <c r="D424" s="8"/>
      <c r="E424" s="60"/>
      <c r="F424" s="60"/>
      <c r="G424" s="60"/>
      <c r="H424" s="60"/>
      <c r="I424" s="60"/>
      <c r="J424" s="60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60"/>
      <c r="B425" s="60"/>
      <c r="C425" s="60"/>
      <c r="D425" s="8"/>
      <c r="E425" s="60"/>
      <c r="F425" s="60"/>
      <c r="G425" s="60"/>
      <c r="H425" s="60"/>
      <c r="I425" s="60"/>
      <c r="J425" s="60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60"/>
      <c r="B426" s="60"/>
      <c r="C426" s="60"/>
      <c r="D426" s="8"/>
      <c r="E426" s="60"/>
      <c r="F426" s="60"/>
      <c r="G426" s="60"/>
      <c r="H426" s="60"/>
      <c r="I426" s="60"/>
      <c r="J426" s="60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60"/>
      <c r="B427" s="60"/>
      <c r="C427" s="60"/>
      <c r="D427" s="8"/>
      <c r="E427" s="60"/>
      <c r="F427" s="60"/>
      <c r="G427" s="60"/>
      <c r="H427" s="60"/>
      <c r="I427" s="60"/>
      <c r="J427" s="60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60"/>
      <c r="B428" s="60"/>
      <c r="C428" s="60"/>
      <c r="D428" s="8"/>
      <c r="E428" s="60"/>
      <c r="F428" s="60"/>
      <c r="G428" s="60"/>
      <c r="H428" s="60"/>
      <c r="I428" s="60"/>
      <c r="J428" s="60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60"/>
      <c r="B429" s="60"/>
      <c r="C429" s="60"/>
      <c r="D429" s="8"/>
      <c r="E429" s="60"/>
      <c r="F429" s="60"/>
      <c r="G429" s="60"/>
      <c r="H429" s="60"/>
      <c r="I429" s="60"/>
      <c r="J429" s="60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60"/>
      <c r="B430" s="60"/>
      <c r="C430" s="60"/>
      <c r="D430" s="8"/>
      <c r="E430" s="60"/>
      <c r="F430" s="60"/>
      <c r="G430" s="60"/>
      <c r="H430" s="60"/>
      <c r="I430" s="60"/>
      <c r="J430" s="60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60"/>
      <c r="B431" s="60"/>
      <c r="C431" s="60"/>
      <c r="D431" s="8"/>
      <c r="E431" s="60"/>
      <c r="F431" s="60"/>
      <c r="G431" s="60"/>
      <c r="H431" s="60"/>
      <c r="I431" s="60"/>
      <c r="J431" s="60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60"/>
      <c r="B432" s="60"/>
      <c r="C432" s="60"/>
      <c r="D432" s="8"/>
      <c r="E432" s="60"/>
      <c r="F432" s="60"/>
      <c r="G432" s="60"/>
      <c r="H432" s="60"/>
      <c r="I432" s="60"/>
      <c r="J432" s="60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60"/>
      <c r="B433" s="60"/>
      <c r="C433" s="60"/>
      <c r="D433" s="8"/>
      <c r="E433" s="60"/>
      <c r="F433" s="60"/>
      <c r="G433" s="60"/>
      <c r="H433" s="60"/>
      <c r="I433" s="60"/>
      <c r="J433" s="60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60"/>
      <c r="B434" s="60"/>
      <c r="C434" s="60"/>
      <c r="D434" s="8"/>
      <c r="E434" s="60"/>
      <c r="F434" s="60"/>
      <c r="G434" s="60"/>
      <c r="H434" s="60"/>
      <c r="I434" s="60"/>
      <c r="J434" s="60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60"/>
      <c r="B435" s="60"/>
      <c r="C435" s="60"/>
      <c r="D435" s="8"/>
      <c r="E435" s="60"/>
      <c r="F435" s="60"/>
      <c r="G435" s="60"/>
      <c r="H435" s="60"/>
      <c r="I435" s="60"/>
      <c r="J435" s="60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60"/>
      <c r="B436" s="60"/>
      <c r="C436" s="60"/>
      <c r="D436" s="8"/>
      <c r="E436" s="60"/>
      <c r="F436" s="60"/>
      <c r="G436" s="60"/>
      <c r="H436" s="60"/>
      <c r="I436" s="60"/>
      <c r="J436" s="60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60"/>
      <c r="B437" s="60"/>
      <c r="C437" s="60"/>
      <c r="D437" s="8"/>
      <c r="E437" s="60"/>
      <c r="F437" s="60"/>
      <c r="G437" s="60"/>
      <c r="H437" s="60"/>
      <c r="I437" s="60"/>
      <c r="J437" s="60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60"/>
      <c r="B438" s="60"/>
      <c r="C438" s="60"/>
      <c r="D438" s="8"/>
      <c r="E438" s="60"/>
      <c r="F438" s="60"/>
      <c r="G438" s="60"/>
      <c r="H438" s="60"/>
      <c r="I438" s="60"/>
      <c r="J438" s="60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60"/>
      <c r="B439" s="60"/>
      <c r="C439" s="60"/>
      <c r="D439" s="8"/>
      <c r="E439" s="60"/>
      <c r="F439" s="60"/>
      <c r="G439" s="60"/>
      <c r="H439" s="60"/>
      <c r="I439" s="60"/>
      <c r="J439" s="60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60"/>
      <c r="B440" s="60"/>
      <c r="C440" s="60"/>
      <c r="D440" s="8"/>
      <c r="E440" s="60"/>
      <c r="F440" s="60"/>
      <c r="G440" s="60"/>
      <c r="H440" s="60"/>
      <c r="I440" s="60"/>
      <c r="J440" s="60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60"/>
      <c r="B441" s="60"/>
      <c r="C441" s="60"/>
      <c r="D441" s="8"/>
      <c r="E441" s="60"/>
      <c r="F441" s="60"/>
      <c r="G441" s="60"/>
      <c r="H441" s="60"/>
      <c r="I441" s="60"/>
      <c r="J441" s="60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60"/>
      <c r="B442" s="60"/>
      <c r="C442" s="60"/>
      <c r="D442" s="8"/>
      <c r="E442" s="60"/>
      <c r="F442" s="60"/>
      <c r="G442" s="60"/>
      <c r="H442" s="60"/>
      <c r="I442" s="60"/>
      <c r="J442" s="60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60"/>
      <c r="B443" s="60"/>
      <c r="C443" s="60"/>
      <c r="D443" s="8"/>
      <c r="E443" s="60"/>
      <c r="F443" s="60"/>
      <c r="G443" s="60"/>
      <c r="H443" s="60"/>
      <c r="I443" s="60"/>
      <c r="J443" s="60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60"/>
      <c r="B444" s="60"/>
      <c r="C444" s="60"/>
      <c r="D444" s="8"/>
      <c r="E444" s="60"/>
      <c r="F444" s="60"/>
      <c r="G444" s="60"/>
      <c r="H444" s="60"/>
      <c r="I444" s="60"/>
      <c r="J444" s="60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60"/>
      <c r="B445" s="60"/>
      <c r="C445" s="60"/>
      <c r="D445" s="8"/>
      <c r="E445" s="60"/>
      <c r="F445" s="60"/>
      <c r="G445" s="60"/>
      <c r="H445" s="60"/>
      <c r="I445" s="60"/>
      <c r="J445" s="60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60"/>
      <c r="B446" s="60"/>
      <c r="C446" s="60"/>
      <c r="D446" s="8"/>
      <c r="E446" s="60"/>
      <c r="F446" s="60"/>
      <c r="G446" s="60"/>
      <c r="H446" s="60"/>
      <c r="I446" s="60"/>
      <c r="J446" s="60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60"/>
      <c r="B447" s="60"/>
      <c r="C447" s="60"/>
      <c r="D447" s="8"/>
      <c r="E447" s="60"/>
      <c r="F447" s="60"/>
      <c r="G447" s="60"/>
      <c r="H447" s="60"/>
      <c r="I447" s="60"/>
      <c r="J447" s="60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60"/>
      <c r="B448" s="60"/>
      <c r="C448" s="60"/>
      <c r="D448" s="8"/>
      <c r="E448" s="60"/>
      <c r="F448" s="60"/>
      <c r="G448" s="60"/>
      <c r="H448" s="60"/>
      <c r="I448" s="60"/>
      <c r="J448" s="60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60"/>
      <c r="B449" s="60"/>
      <c r="C449" s="60"/>
      <c r="D449" s="8"/>
      <c r="E449" s="60"/>
      <c r="F449" s="60"/>
      <c r="G449" s="60"/>
      <c r="H449" s="60"/>
      <c r="I449" s="60"/>
      <c r="J449" s="60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60"/>
      <c r="B450" s="60"/>
      <c r="C450" s="60"/>
      <c r="D450" s="8"/>
      <c r="E450" s="60"/>
      <c r="F450" s="60"/>
      <c r="G450" s="60"/>
      <c r="H450" s="60"/>
      <c r="I450" s="60"/>
      <c r="J450" s="60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60"/>
      <c r="B451" s="60"/>
      <c r="C451" s="60"/>
      <c r="D451" s="8"/>
      <c r="E451" s="60"/>
      <c r="F451" s="60"/>
      <c r="G451" s="60"/>
      <c r="H451" s="60"/>
      <c r="I451" s="60"/>
      <c r="J451" s="60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60"/>
      <c r="B452" s="60"/>
      <c r="C452" s="60"/>
      <c r="D452" s="8"/>
      <c r="E452" s="60"/>
      <c r="F452" s="60"/>
      <c r="G452" s="60"/>
      <c r="H452" s="60"/>
      <c r="I452" s="60"/>
      <c r="J452" s="60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60"/>
      <c r="B453" s="60"/>
      <c r="C453" s="60"/>
      <c r="D453" s="8"/>
      <c r="E453" s="60"/>
      <c r="F453" s="60"/>
      <c r="G453" s="60"/>
      <c r="H453" s="60"/>
      <c r="I453" s="60"/>
      <c r="J453" s="60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60"/>
      <c r="B454" s="60"/>
      <c r="C454" s="60"/>
      <c r="D454" s="8"/>
      <c r="E454" s="60"/>
      <c r="F454" s="60"/>
      <c r="G454" s="60"/>
      <c r="H454" s="60"/>
      <c r="I454" s="60"/>
      <c r="J454" s="60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60"/>
      <c r="B455" s="60"/>
      <c r="C455" s="60"/>
      <c r="D455" s="8"/>
      <c r="E455" s="60"/>
      <c r="F455" s="60"/>
      <c r="G455" s="60"/>
      <c r="H455" s="60"/>
      <c r="I455" s="60"/>
      <c r="J455" s="60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60"/>
      <c r="B456" s="60"/>
      <c r="C456" s="60"/>
      <c r="D456" s="8"/>
      <c r="E456" s="60"/>
      <c r="F456" s="60"/>
      <c r="G456" s="60"/>
      <c r="H456" s="60"/>
      <c r="I456" s="60"/>
      <c r="J456" s="60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60"/>
      <c r="B457" s="60"/>
      <c r="C457" s="60"/>
      <c r="D457" s="8"/>
      <c r="E457" s="60"/>
      <c r="F457" s="60"/>
      <c r="G457" s="60"/>
      <c r="H457" s="60"/>
      <c r="I457" s="60"/>
      <c r="J457" s="60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60"/>
      <c r="B458" s="60"/>
      <c r="C458" s="60"/>
      <c r="D458" s="8"/>
      <c r="E458" s="60"/>
      <c r="F458" s="60"/>
      <c r="G458" s="60"/>
      <c r="H458" s="60"/>
      <c r="I458" s="60"/>
      <c r="J458" s="60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60"/>
      <c r="B459" s="60"/>
      <c r="C459" s="60"/>
      <c r="D459" s="8"/>
      <c r="E459" s="60"/>
      <c r="F459" s="60"/>
      <c r="G459" s="60"/>
      <c r="H459" s="60"/>
      <c r="I459" s="60"/>
      <c r="J459" s="60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60"/>
      <c r="B460" s="60"/>
      <c r="C460" s="60"/>
      <c r="D460" s="8"/>
      <c r="E460" s="60"/>
      <c r="F460" s="60"/>
      <c r="G460" s="60"/>
      <c r="H460" s="60"/>
      <c r="I460" s="60"/>
      <c r="J460" s="60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60"/>
      <c r="B461" s="60"/>
      <c r="C461" s="60"/>
      <c r="D461" s="8"/>
      <c r="E461" s="60"/>
      <c r="F461" s="60"/>
      <c r="G461" s="60"/>
      <c r="H461" s="60"/>
      <c r="I461" s="60"/>
      <c r="J461" s="60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60"/>
      <c r="B462" s="60"/>
      <c r="C462" s="60"/>
      <c r="D462" s="8"/>
      <c r="E462" s="60"/>
      <c r="F462" s="60"/>
      <c r="G462" s="60"/>
      <c r="H462" s="60"/>
      <c r="I462" s="60"/>
      <c r="J462" s="60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60"/>
      <c r="B463" s="60"/>
      <c r="C463" s="60"/>
      <c r="D463" s="8"/>
      <c r="E463" s="60"/>
      <c r="F463" s="60"/>
      <c r="G463" s="60"/>
      <c r="H463" s="60"/>
      <c r="I463" s="60"/>
      <c r="J463" s="60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60"/>
      <c r="B464" s="60"/>
      <c r="C464" s="60"/>
      <c r="D464" s="8"/>
      <c r="E464" s="60"/>
      <c r="F464" s="60"/>
      <c r="G464" s="60"/>
      <c r="H464" s="60"/>
      <c r="I464" s="60"/>
      <c r="J464" s="60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60"/>
      <c r="B465" s="60"/>
      <c r="C465" s="60"/>
      <c r="D465" s="8"/>
      <c r="E465" s="60"/>
      <c r="F465" s="60"/>
      <c r="G465" s="60"/>
      <c r="H465" s="60"/>
      <c r="I465" s="60"/>
      <c r="J465" s="60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60"/>
      <c r="B466" s="60"/>
      <c r="C466" s="60"/>
      <c r="D466" s="8"/>
      <c r="E466" s="60"/>
      <c r="F466" s="60"/>
      <c r="G466" s="60"/>
      <c r="H466" s="60"/>
      <c r="I466" s="60"/>
      <c r="J466" s="60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60"/>
      <c r="B467" s="60"/>
      <c r="C467" s="60"/>
      <c r="D467" s="8"/>
      <c r="E467" s="60"/>
      <c r="F467" s="60"/>
      <c r="G467" s="60"/>
      <c r="H467" s="60"/>
      <c r="I467" s="60"/>
      <c r="J467" s="60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60"/>
      <c r="B468" s="60"/>
      <c r="C468" s="60"/>
      <c r="D468" s="8"/>
      <c r="E468" s="60"/>
      <c r="F468" s="60"/>
      <c r="G468" s="60"/>
      <c r="H468" s="60"/>
      <c r="I468" s="60"/>
      <c r="J468" s="60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60"/>
      <c r="B469" s="60"/>
      <c r="C469" s="60"/>
      <c r="D469" s="8"/>
      <c r="E469" s="60"/>
      <c r="F469" s="60"/>
      <c r="G469" s="60"/>
      <c r="H469" s="60"/>
      <c r="I469" s="60"/>
      <c r="J469" s="60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60"/>
      <c r="B470" s="60"/>
      <c r="C470" s="60"/>
      <c r="D470" s="8"/>
      <c r="E470" s="60"/>
      <c r="F470" s="60"/>
      <c r="G470" s="60"/>
      <c r="H470" s="60"/>
      <c r="I470" s="60"/>
      <c r="J470" s="60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60"/>
      <c r="B471" s="60"/>
      <c r="C471" s="60"/>
      <c r="D471" s="8"/>
      <c r="E471" s="60"/>
      <c r="F471" s="60"/>
      <c r="G471" s="60"/>
      <c r="H471" s="60"/>
      <c r="I471" s="60"/>
      <c r="J471" s="60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60"/>
      <c r="B472" s="60"/>
      <c r="C472" s="60"/>
      <c r="D472" s="8"/>
      <c r="E472" s="60"/>
      <c r="F472" s="60"/>
      <c r="G472" s="60"/>
      <c r="H472" s="60"/>
      <c r="I472" s="60"/>
      <c r="J472" s="60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60"/>
      <c r="B473" s="60"/>
      <c r="C473" s="60"/>
      <c r="D473" s="8"/>
      <c r="E473" s="60"/>
      <c r="F473" s="60"/>
      <c r="G473" s="60"/>
      <c r="H473" s="60"/>
      <c r="I473" s="60"/>
      <c r="J473" s="60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60"/>
      <c r="B474" s="60"/>
      <c r="C474" s="60"/>
      <c r="D474" s="8"/>
      <c r="E474" s="60"/>
      <c r="F474" s="60"/>
      <c r="G474" s="60"/>
      <c r="H474" s="60"/>
      <c r="I474" s="60"/>
      <c r="J474" s="60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60"/>
      <c r="B475" s="60"/>
      <c r="C475" s="60"/>
      <c r="D475" s="8"/>
      <c r="E475" s="60"/>
      <c r="F475" s="60"/>
      <c r="G475" s="60"/>
      <c r="H475" s="60"/>
      <c r="I475" s="60"/>
      <c r="J475" s="60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60"/>
      <c r="B476" s="60"/>
      <c r="C476" s="60"/>
      <c r="D476" s="8"/>
      <c r="E476" s="60"/>
      <c r="F476" s="60"/>
      <c r="G476" s="60"/>
      <c r="H476" s="60"/>
      <c r="I476" s="60"/>
      <c r="J476" s="60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60"/>
      <c r="B477" s="60"/>
      <c r="C477" s="60"/>
      <c r="D477" s="8"/>
      <c r="E477" s="60"/>
      <c r="F477" s="60"/>
      <c r="G477" s="60"/>
      <c r="H477" s="60"/>
      <c r="I477" s="60"/>
      <c r="J477" s="60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60"/>
      <c r="B478" s="60"/>
      <c r="C478" s="60"/>
      <c r="D478" s="8"/>
      <c r="E478" s="60"/>
      <c r="F478" s="60"/>
      <c r="G478" s="60"/>
      <c r="H478" s="60"/>
      <c r="I478" s="60"/>
      <c r="J478" s="60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60"/>
      <c r="B479" s="60"/>
      <c r="C479" s="60"/>
      <c r="D479" s="8"/>
      <c r="E479" s="60"/>
      <c r="F479" s="60"/>
      <c r="G479" s="60"/>
      <c r="H479" s="60"/>
      <c r="I479" s="60"/>
      <c r="J479" s="60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60"/>
      <c r="B480" s="60"/>
      <c r="C480" s="60"/>
      <c r="D480" s="8"/>
      <c r="E480" s="60"/>
      <c r="F480" s="60"/>
      <c r="G480" s="60"/>
      <c r="H480" s="60"/>
      <c r="I480" s="60"/>
      <c r="J480" s="60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60"/>
      <c r="B481" s="60"/>
      <c r="C481" s="60"/>
      <c r="D481" s="8"/>
      <c r="E481" s="60"/>
      <c r="F481" s="60"/>
      <c r="G481" s="60"/>
      <c r="H481" s="60"/>
      <c r="I481" s="60"/>
      <c r="J481" s="60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60"/>
      <c r="B482" s="60"/>
      <c r="C482" s="60"/>
      <c r="D482" s="8"/>
      <c r="E482" s="60"/>
      <c r="F482" s="60"/>
      <c r="G482" s="60"/>
      <c r="H482" s="60"/>
      <c r="I482" s="60"/>
      <c r="J482" s="60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60"/>
      <c r="B483" s="60"/>
      <c r="C483" s="60"/>
      <c r="D483" s="8"/>
      <c r="E483" s="60"/>
      <c r="F483" s="60"/>
      <c r="G483" s="60"/>
      <c r="H483" s="60"/>
      <c r="I483" s="60"/>
      <c r="J483" s="60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60"/>
      <c r="B484" s="60"/>
      <c r="C484" s="60"/>
      <c r="D484" s="8"/>
      <c r="E484" s="60"/>
      <c r="F484" s="60"/>
      <c r="G484" s="60"/>
      <c r="H484" s="60"/>
      <c r="I484" s="60"/>
      <c r="J484" s="60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60"/>
      <c r="B485" s="60"/>
      <c r="C485" s="60"/>
      <c r="D485" s="8"/>
      <c r="E485" s="60"/>
      <c r="F485" s="60"/>
      <c r="G485" s="60"/>
      <c r="H485" s="60"/>
      <c r="I485" s="60"/>
      <c r="J485" s="60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60"/>
      <c r="B486" s="60"/>
      <c r="C486" s="60"/>
      <c r="D486" s="8"/>
      <c r="E486" s="60"/>
      <c r="F486" s="60"/>
      <c r="G486" s="60"/>
      <c r="H486" s="60"/>
      <c r="I486" s="60"/>
      <c r="J486" s="60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60"/>
      <c r="B487" s="60"/>
      <c r="C487" s="60"/>
      <c r="D487" s="8"/>
      <c r="E487" s="60"/>
      <c r="F487" s="60"/>
      <c r="G487" s="60"/>
      <c r="H487" s="60"/>
      <c r="I487" s="60"/>
      <c r="J487" s="60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60"/>
      <c r="B488" s="60"/>
      <c r="C488" s="60"/>
      <c r="D488" s="8"/>
      <c r="E488" s="60"/>
      <c r="F488" s="60"/>
      <c r="G488" s="60"/>
      <c r="H488" s="60"/>
      <c r="I488" s="60"/>
      <c r="J488" s="60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60"/>
      <c r="B489" s="60"/>
      <c r="C489" s="60"/>
      <c r="D489" s="8"/>
      <c r="E489" s="60"/>
      <c r="F489" s="60"/>
      <c r="G489" s="60"/>
      <c r="H489" s="60"/>
      <c r="I489" s="60"/>
      <c r="J489" s="60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60"/>
      <c r="B490" s="60"/>
      <c r="C490" s="60"/>
      <c r="D490" s="8"/>
      <c r="E490" s="60"/>
      <c r="F490" s="60"/>
      <c r="G490" s="60"/>
      <c r="H490" s="60"/>
      <c r="I490" s="60"/>
      <c r="J490" s="60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60"/>
      <c r="B491" s="60"/>
      <c r="C491" s="60"/>
      <c r="D491" s="8"/>
      <c r="E491" s="60"/>
      <c r="F491" s="60"/>
      <c r="G491" s="60"/>
      <c r="H491" s="60"/>
      <c r="I491" s="60"/>
      <c r="J491" s="60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60"/>
      <c r="B492" s="60"/>
      <c r="C492" s="60"/>
      <c r="D492" s="8"/>
      <c r="E492" s="60"/>
      <c r="F492" s="60"/>
      <c r="G492" s="60"/>
      <c r="H492" s="60"/>
      <c r="I492" s="60"/>
      <c r="J492" s="60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60"/>
      <c r="B493" s="60"/>
      <c r="C493" s="60"/>
      <c r="D493" s="8"/>
      <c r="E493" s="60"/>
      <c r="F493" s="60"/>
      <c r="G493" s="60"/>
      <c r="H493" s="60"/>
      <c r="I493" s="60"/>
      <c r="J493" s="60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60"/>
      <c r="B494" s="60"/>
      <c r="C494" s="60"/>
      <c r="D494" s="8"/>
      <c r="E494" s="60"/>
      <c r="F494" s="60"/>
      <c r="G494" s="60"/>
      <c r="H494" s="60"/>
      <c r="I494" s="60"/>
      <c r="J494" s="60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60"/>
      <c r="B495" s="60"/>
      <c r="C495" s="60"/>
      <c r="D495" s="8"/>
      <c r="E495" s="60"/>
      <c r="F495" s="60"/>
      <c r="G495" s="60"/>
      <c r="H495" s="60"/>
      <c r="I495" s="60"/>
      <c r="J495" s="60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60"/>
      <c r="B496" s="60"/>
      <c r="C496" s="60"/>
      <c r="D496" s="8"/>
      <c r="E496" s="60"/>
      <c r="F496" s="60"/>
      <c r="G496" s="60"/>
      <c r="H496" s="60"/>
      <c r="I496" s="60"/>
      <c r="J496" s="60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60"/>
      <c r="B497" s="60"/>
      <c r="C497" s="60"/>
      <c r="D497" s="8"/>
      <c r="E497" s="60"/>
      <c r="F497" s="60"/>
      <c r="G497" s="60"/>
      <c r="H497" s="60"/>
      <c r="I497" s="60"/>
      <c r="J497" s="60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60"/>
      <c r="B498" s="60"/>
      <c r="C498" s="60"/>
      <c r="D498" s="8"/>
      <c r="E498" s="60"/>
      <c r="F498" s="60"/>
      <c r="G498" s="60"/>
      <c r="H498" s="60"/>
      <c r="I498" s="60"/>
      <c r="J498" s="60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60"/>
      <c r="B499" s="60"/>
      <c r="C499" s="60"/>
      <c r="D499" s="8"/>
      <c r="E499" s="60"/>
      <c r="F499" s="60"/>
      <c r="G499" s="60"/>
      <c r="H499" s="60"/>
      <c r="I499" s="60"/>
      <c r="J499" s="60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60"/>
      <c r="B500" s="60"/>
      <c r="C500" s="60"/>
      <c r="D500" s="8"/>
      <c r="E500" s="60"/>
      <c r="F500" s="60"/>
      <c r="G500" s="60"/>
      <c r="H500" s="60"/>
      <c r="I500" s="60"/>
      <c r="J500" s="60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60"/>
      <c r="B501" s="60"/>
      <c r="C501" s="60"/>
      <c r="D501" s="8"/>
      <c r="E501" s="60"/>
      <c r="F501" s="60"/>
      <c r="G501" s="60"/>
      <c r="H501" s="60"/>
      <c r="I501" s="60"/>
      <c r="J501" s="60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60"/>
      <c r="B502" s="60"/>
      <c r="C502" s="60"/>
      <c r="D502" s="8"/>
      <c r="E502" s="60"/>
      <c r="F502" s="60"/>
      <c r="G502" s="60"/>
      <c r="H502" s="60"/>
      <c r="I502" s="60"/>
      <c r="J502" s="60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60"/>
      <c r="B503" s="60"/>
      <c r="C503" s="60"/>
      <c r="D503" s="8"/>
      <c r="E503" s="60"/>
      <c r="F503" s="60"/>
      <c r="G503" s="60"/>
      <c r="H503" s="60"/>
      <c r="I503" s="60"/>
      <c r="J503" s="60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60"/>
      <c r="B504" s="60"/>
      <c r="C504" s="60"/>
      <c r="D504" s="8"/>
      <c r="E504" s="60"/>
      <c r="F504" s="60"/>
      <c r="G504" s="60"/>
      <c r="H504" s="60"/>
      <c r="I504" s="60"/>
      <c r="J504" s="60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60"/>
      <c r="B505" s="60"/>
      <c r="C505" s="60"/>
      <c r="D505" s="8"/>
      <c r="E505" s="60"/>
      <c r="F505" s="60"/>
      <c r="G505" s="60"/>
      <c r="H505" s="60"/>
      <c r="I505" s="60"/>
      <c r="J505" s="60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60"/>
      <c r="B506" s="60"/>
      <c r="C506" s="60"/>
      <c r="D506" s="8"/>
      <c r="E506" s="60"/>
      <c r="F506" s="60"/>
      <c r="G506" s="60"/>
      <c r="H506" s="60"/>
      <c r="I506" s="60"/>
      <c r="J506" s="60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60"/>
      <c r="B507" s="60"/>
      <c r="C507" s="60"/>
      <c r="D507" s="8"/>
      <c r="E507" s="60"/>
      <c r="F507" s="60"/>
      <c r="G507" s="60"/>
      <c r="H507" s="60"/>
      <c r="I507" s="60"/>
      <c r="J507" s="60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60"/>
      <c r="B508" s="60"/>
      <c r="C508" s="60"/>
      <c r="D508" s="8"/>
      <c r="E508" s="60"/>
      <c r="F508" s="60"/>
      <c r="G508" s="60"/>
      <c r="H508" s="60"/>
      <c r="I508" s="60"/>
      <c r="J508" s="60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60"/>
      <c r="B509" s="60"/>
      <c r="C509" s="60"/>
      <c r="D509" s="8"/>
      <c r="E509" s="60"/>
      <c r="F509" s="60"/>
      <c r="G509" s="60"/>
      <c r="H509" s="60"/>
      <c r="I509" s="60"/>
      <c r="J509" s="60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60"/>
      <c r="B510" s="60"/>
      <c r="C510" s="60"/>
      <c r="D510" s="8"/>
      <c r="E510" s="60"/>
      <c r="F510" s="60"/>
      <c r="G510" s="60"/>
      <c r="H510" s="60"/>
      <c r="I510" s="60"/>
      <c r="J510" s="60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60"/>
      <c r="B511" s="60"/>
      <c r="C511" s="60"/>
      <c r="D511" s="8"/>
      <c r="E511" s="60"/>
      <c r="F511" s="60"/>
      <c r="G511" s="60"/>
      <c r="H511" s="60"/>
      <c r="I511" s="60"/>
      <c r="J511" s="60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60"/>
      <c r="B512" s="60"/>
      <c r="C512" s="60"/>
      <c r="D512" s="8"/>
      <c r="E512" s="60"/>
      <c r="F512" s="60"/>
      <c r="G512" s="60"/>
      <c r="H512" s="60"/>
      <c r="I512" s="60"/>
      <c r="J512" s="60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60"/>
      <c r="B513" s="60"/>
      <c r="C513" s="60"/>
      <c r="D513" s="8"/>
      <c r="E513" s="60"/>
      <c r="F513" s="60"/>
      <c r="G513" s="60"/>
      <c r="H513" s="60"/>
      <c r="I513" s="60"/>
      <c r="J513" s="60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60"/>
      <c r="B514" s="60"/>
      <c r="C514" s="60"/>
      <c r="D514" s="8"/>
      <c r="E514" s="60"/>
      <c r="F514" s="60"/>
      <c r="G514" s="60"/>
      <c r="H514" s="60"/>
      <c r="I514" s="60"/>
      <c r="J514" s="60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60"/>
      <c r="B515" s="60"/>
      <c r="C515" s="60"/>
      <c r="D515" s="8"/>
      <c r="E515" s="60"/>
      <c r="F515" s="60"/>
      <c r="G515" s="60"/>
      <c r="H515" s="60"/>
      <c r="I515" s="60"/>
      <c r="J515" s="60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60"/>
      <c r="B516" s="60"/>
      <c r="C516" s="60"/>
      <c r="D516" s="8"/>
      <c r="E516" s="60"/>
      <c r="F516" s="60"/>
      <c r="G516" s="60"/>
      <c r="H516" s="60"/>
      <c r="I516" s="60"/>
      <c r="J516" s="60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60"/>
      <c r="B517" s="60"/>
      <c r="C517" s="60"/>
      <c r="D517" s="8"/>
      <c r="E517" s="60"/>
      <c r="F517" s="60"/>
      <c r="G517" s="60"/>
      <c r="H517" s="60"/>
      <c r="I517" s="60"/>
      <c r="J517" s="60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60"/>
      <c r="B518" s="60"/>
      <c r="C518" s="60"/>
      <c r="D518" s="8"/>
      <c r="E518" s="60"/>
      <c r="F518" s="60"/>
      <c r="G518" s="60"/>
      <c r="H518" s="60"/>
      <c r="I518" s="60"/>
      <c r="J518" s="60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60"/>
      <c r="B519" s="60"/>
      <c r="C519" s="60"/>
      <c r="D519" s="8"/>
      <c r="E519" s="60"/>
      <c r="F519" s="60"/>
      <c r="G519" s="60"/>
      <c r="H519" s="60"/>
      <c r="I519" s="60"/>
      <c r="J519" s="60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60"/>
      <c r="B520" s="60"/>
      <c r="C520" s="60"/>
      <c r="D520" s="8"/>
      <c r="E520" s="60"/>
      <c r="F520" s="60"/>
      <c r="G520" s="60"/>
      <c r="H520" s="60"/>
      <c r="I520" s="60"/>
      <c r="J520" s="60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60"/>
      <c r="B521" s="60"/>
      <c r="C521" s="60"/>
      <c r="D521" s="8"/>
      <c r="E521" s="60"/>
      <c r="F521" s="60"/>
      <c r="G521" s="60"/>
      <c r="H521" s="60"/>
      <c r="I521" s="60"/>
      <c r="J521" s="60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60"/>
      <c r="B522" s="60"/>
      <c r="C522" s="60"/>
      <c r="D522" s="8"/>
      <c r="E522" s="60"/>
      <c r="F522" s="60"/>
      <c r="G522" s="60"/>
      <c r="H522" s="60"/>
      <c r="I522" s="60"/>
      <c r="J522" s="60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60"/>
      <c r="B523" s="60"/>
      <c r="C523" s="60"/>
      <c r="D523" s="8"/>
      <c r="E523" s="60"/>
      <c r="F523" s="60"/>
      <c r="G523" s="60"/>
      <c r="H523" s="60"/>
      <c r="I523" s="60"/>
      <c r="J523" s="60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60"/>
      <c r="B524" s="60"/>
      <c r="C524" s="60"/>
      <c r="D524" s="8"/>
      <c r="E524" s="60"/>
      <c r="F524" s="60"/>
      <c r="G524" s="60"/>
      <c r="H524" s="60"/>
      <c r="I524" s="60"/>
      <c r="J524" s="60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60"/>
      <c r="B525" s="60"/>
      <c r="C525" s="60"/>
      <c r="D525" s="8"/>
      <c r="E525" s="60"/>
      <c r="F525" s="60"/>
      <c r="G525" s="60"/>
      <c r="H525" s="60"/>
      <c r="I525" s="60"/>
      <c r="J525" s="60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60"/>
      <c r="B526" s="60"/>
      <c r="C526" s="60"/>
      <c r="D526" s="8"/>
      <c r="E526" s="60"/>
      <c r="F526" s="60"/>
      <c r="G526" s="60"/>
      <c r="H526" s="60"/>
      <c r="I526" s="60"/>
      <c r="J526" s="60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60"/>
      <c r="B527" s="60"/>
      <c r="C527" s="60"/>
      <c r="D527" s="8"/>
      <c r="E527" s="60"/>
      <c r="F527" s="60"/>
      <c r="G527" s="60"/>
      <c r="H527" s="60"/>
      <c r="I527" s="60"/>
      <c r="J527" s="60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60"/>
      <c r="B528" s="60"/>
      <c r="C528" s="60"/>
      <c r="D528" s="8"/>
      <c r="E528" s="60"/>
      <c r="F528" s="60"/>
      <c r="G528" s="60"/>
      <c r="H528" s="60"/>
      <c r="I528" s="60"/>
      <c r="J528" s="60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60"/>
      <c r="B529" s="60"/>
      <c r="C529" s="60"/>
      <c r="D529" s="8"/>
      <c r="E529" s="60"/>
      <c r="F529" s="60"/>
      <c r="G529" s="60"/>
      <c r="H529" s="60"/>
      <c r="I529" s="60"/>
      <c r="J529" s="60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60"/>
      <c r="B530" s="60"/>
      <c r="C530" s="60"/>
      <c r="D530" s="8"/>
      <c r="E530" s="60"/>
      <c r="F530" s="60"/>
      <c r="G530" s="60"/>
      <c r="H530" s="60"/>
      <c r="I530" s="60"/>
      <c r="J530" s="60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60"/>
      <c r="B531" s="60"/>
      <c r="C531" s="60"/>
      <c r="D531" s="8"/>
      <c r="E531" s="60"/>
      <c r="F531" s="60"/>
      <c r="G531" s="60"/>
      <c r="H531" s="60"/>
      <c r="I531" s="60"/>
      <c r="J531" s="60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60"/>
      <c r="B532" s="60"/>
      <c r="C532" s="60"/>
      <c r="D532" s="8"/>
      <c r="E532" s="60"/>
      <c r="F532" s="60"/>
      <c r="G532" s="60"/>
      <c r="H532" s="60"/>
      <c r="I532" s="60"/>
      <c r="J532" s="60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60"/>
      <c r="B533" s="60"/>
      <c r="C533" s="60"/>
      <c r="D533" s="8"/>
      <c r="E533" s="60"/>
      <c r="F533" s="60"/>
      <c r="G533" s="60"/>
      <c r="H533" s="60"/>
      <c r="I533" s="60"/>
      <c r="J533" s="60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60"/>
      <c r="B534" s="60"/>
      <c r="C534" s="60"/>
      <c r="D534" s="8"/>
      <c r="E534" s="60"/>
      <c r="F534" s="60"/>
      <c r="G534" s="60"/>
      <c r="H534" s="60"/>
      <c r="I534" s="60"/>
      <c r="J534" s="60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60"/>
      <c r="B535" s="60"/>
      <c r="C535" s="60"/>
      <c r="D535" s="8"/>
      <c r="E535" s="60"/>
      <c r="F535" s="60"/>
      <c r="G535" s="60"/>
      <c r="H535" s="60"/>
      <c r="I535" s="60"/>
      <c r="J535" s="60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60"/>
      <c r="B536" s="60"/>
      <c r="C536" s="60"/>
      <c r="D536" s="8"/>
      <c r="E536" s="60"/>
      <c r="F536" s="60"/>
      <c r="G536" s="60"/>
      <c r="H536" s="60"/>
      <c r="I536" s="60"/>
      <c r="J536" s="60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60"/>
      <c r="B537" s="60"/>
      <c r="C537" s="60"/>
      <c r="D537" s="8"/>
      <c r="E537" s="60"/>
      <c r="F537" s="60"/>
      <c r="G537" s="60"/>
      <c r="H537" s="60"/>
      <c r="I537" s="60"/>
      <c r="J537" s="60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60"/>
      <c r="B538" s="60"/>
      <c r="C538" s="60"/>
      <c r="D538" s="8"/>
      <c r="E538" s="60"/>
      <c r="F538" s="60"/>
      <c r="G538" s="60"/>
      <c r="H538" s="60"/>
      <c r="I538" s="60"/>
      <c r="J538" s="60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60"/>
      <c r="B539" s="60"/>
      <c r="C539" s="60"/>
      <c r="D539" s="8"/>
      <c r="E539" s="60"/>
      <c r="F539" s="60"/>
      <c r="G539" s="60"/>
      <c r="H539" s="60"/>
      <c r="I539" s="60"/>
      <c r="J539" s="60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60"/>
      <c r="B540" s="60"/>
      <c r="C540" s="60"/>
      <c r="D540" s="8"/>
      <c r="E540" s="60"/>
      <c r="F540" s="60"/>
      <c r="G540" s="60"/>
      <c r="H540" s="60"/>
      <c r="I540" s="60"/>
      <c r="J540" s="60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60"/>
      <c r="B541" s="60"/>
      <c r="C541" s="60"/>
      <c r="D541" s="8"/>
      <c r="E541" s="60"/>
      <c r="F541" s="60"/>
      <c r="G541" s="60"/>
      <c r="H541" s="60"/>
      <c r="I541" s="60"/>
      <c r="J541" s="60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60"/>
      <c r="B542" s="60"/>
      <c r="C542" s="60"/>
      <c r="D542" s="8"/>
      <c r="E542" s="60"/>
      <c r="F542" s="60"/>
      <c r="G542" s="60"/>
      <c r="H542" s="60"/>
      <c r="I542" s="60"/>
      <c r="J542" s="60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60"/>
      <c r="B543" s="60"/>
      <c r="C543" s="60"/>
      <c r="D543" s="8"/>
      <c r="E543" s="60"/>
      <c r="F543" s="60"/>
      <c r="G543" s="60"/>
      <c r="H543" s="60"/>
      <c r="I543" s="60"/>
      <c r="J543" s="60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60"/>
      <c r="B544" s="60"/>
      <c r="C544" s="60"/>
      <c r="D544" s="8"/>
      <c r="E544" s="60"/>
      <c r="F544" s="60"/>
      <c r="G544" s="60"/>
      <c r="H544" s="60"/>
      <c r="I544" s="60"/>
      <c r="J544" s="60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60"/>
      <c r="B545" s="60"/>
      <c r="C545" s="60"/>
      <c r="D545" s="8"/>
      <c r="E545" s="60"/>
      <c r="F545" s="60"/>
      <c r="G545" s="60"/>
      <c r="H545" s="60"/>
      <c r="I545" s="60"/>
      <c r="J545" s="60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60"/>
      <c r="B546" s="60"/>
      <c r="C546" s="60"/>
      <c r="D546" s="8"/>
      <c r="E546" s="60"/>
      <c r="F546" s="60"/>
      <c r="G546" s="60"/>
      <c r="H546" s="60"/>
      <c r="I546" s="60"/>
      <c r="J546" s="60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60"/>
      <c r="B547" s="60"/>
      <c r="C547" s="60"/>
      <c r="D547" s="8"/>
      <c r="E547" s="60"/>
      <c r="F547" s="60"/>
      <c r="G547" s="60"/>
      <c r="H547" s="60"/>
      <c r="I547" s="60"/>
      <c r="J547" s="60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60"/>
      <c r="B548" s="60"/>
      <c r="C548" s="60"/>
      <c r="D548" s="8"/>
      <c r="E548" s="60"/>
      <c r="F548" s="60"/>
      <c r="G548" s="60"/>
      <c r="H548" s="60"/>
      <c r="I548" s="60"/>
      <c r="J548" s="60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60"/>
      <c r="B549" s="60"/>
      <c r="C549" s="60"/>
      <c r="D549" s="8"/>
      <c r="E549" s="60"/>
      <c r="F549" s="60"/>
      <c r="G549" s="60"/>
      <c r="H549" s="60"/>
      <c r="I549" s="60"/>
      <c r="J549" s="60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60"/>
      <c r="B550" s="60"/>
      <c r="C550" s="60"/>
      <c r="D550" s="8"/>
      <c r="E550" s="60"/>
      <c r="F550" s="60"/>
      <c r="G550" s="60"/>
      <c r="H550" s="60"/>
      <c r="I550" s="60"/>
      <c r="J550" s="60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60"/>
      <c r="B551" s="60"/>
      <c r="C551" s="60"/>
      <c r="D551" s="8"/>
      <c r="E551" s="60"/>
      <c r="F551" s="60"/>
      <c r="G551" s="60"/>
      <c r="H551" s="60"/>
      <c r="I551" s="60"/>
      <c r="J551" s="60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60"/>
      <c r="B552" s="60"/>
      <c r="C552" s="60"/>
      <c r="D552" s="8"/>
      <c r="E552" s="60"/>
      <c r="F552" s="60"/>
      <c r="G552" s="60"/>
      <c r="H552" s="60"/>
      <c r="I552" s="60"/>
      <c r="J552" s="60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60"/>
      <c r="B553" s="60"/>
      <c r="C553" s="60"/>
      <c r="D553" s="8"/>
      <c r="E553" s="60"/>
      <c r="F553" s="60"/>
      <c r="G553" s="60"/>
      <c r="H553" s="60"/>
      <c r="I553" s="60"/>
      <c r="J553" s="60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60"/>
      <c r="B554" s="60"/>
      <c r="C554" s="60"/>
      <c r="D554" s="8"/>
      <c r="E554" s="60"/>
      <c r="F554" s="60"/>
      <c r="G554" s="60"/>
      <c r="H554" s="60"/>
      <c r="I554" s="60"/>
      <c r="J554" s="60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60"/>
      <c r="B555" s="60"/>
      <c r="C555" s="60"/>
      <c r="D555" s="8"/>
      <c r="E555" s="60"/>
      <c r="F555" s="60"/>
      <c r="G555" s="60"/>
      <c r="H555" s="60"/>
      <c r="I555" s="60"/>
      <c r="J555" s="60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60"/>
      <c r="B556" s="60"/>
      <c r="C556" s="60"/>
      <c r="D556" s="8"/>
      <c r="E556" s="60"/>
      <c r="F556" s="60"/>
      <c r="G556" s="60"/>
      <c r="H556" s="60"/>
      <c r="I556" s="60"/>
      <c r="J556" s="60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60"/>
      <c r="B557" s="60"/>
      <c r="C557" s="60"/>
      <c r="D557" s="8"/>
      <c r="E557" s="60"/>
      <c r="F557" s="60"/>
      <c r="G557" s="60"/>
      <c r="H557" s="60"/>
      <c r="I557" s="60"/>
      <c r="J557" s="60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60"/>
      <c r="B558" s="60"/>
      <c r="C558" s="60"/>
      <c r="D558" s="8"/>
      <c r="E558" s="60"/>
      <c r="F558" s="60"/>
      <c r="G558" s="60"/>
      <c r="H558" s="60"/>
      <c r="I558" s="60"/>
      <c r="J558" s="60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60"/>
      <c r="B559" s="60"/>
      <c r="C559" s="60"/>
      <c r="D559" s="8"/>
      <c r="E559" s="60"/>
      <c r="F559" s="60"/>
      <c r="G559" s="60"/>
      <c r="H559" s="60"/>
      <c r="I559" s="60"/>
      <c r="J559" s="60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60"/>
      <c r="B560" s="60"/>
      <c r="C560" s="60"/>
      <c r="D560" s="8"/>
      <c r="E560" s="60"/>
      <c r="F560" s="60"/>
      <c r="G560" s="60"/>
      <c r="H560" s="60"/>
      <c r="I560" s="60"/>
      <c r="J560" s="60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60"/>
      <c r="B561" s="60"/>
      <c r="C561" s="60"/>
      <c r="D561" s="8"/>
      <c r="E561" s="60"/>
      <c r="F561" s="60"/>
      <c r="G561" s="60"/>
      <c r="H561" s="60"/>
      <c r="I561" s="60"/>
      <c r="J561" s="60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60"/>
      <c r="B562" s="60"/>
      <c r="C562" s="60"/>
      <c r="D562" s="8"/>
      <c r="E562" s="60"/>
      <c r="F562" s="60"/>
      <c r="G562" s="60"/>
      <c r="H562" s="60"/>
      <c r="I562" s="60"/>
      <c r="J562" s="60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60"/>
      <c r="B563" s="60"/>
      <c r="C563" s="60"/>
      <c r="D563" s="8"/>
      <c r="E563" s="60"/>
      <c r="F563" s="60"/>
      <c r="G563" s="60"/>
      <c r="H563" s="60"/>
      <c r="I563" s="60"/>
      <c r="J563" s="60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60"/>
      <c r="B564" s="60"/>
      <c r="C564" s="60"/>
      <c r="D564" s="8"/>
      <c r="E564" s="60"/>
      <c r="F564" s="60"/>
      <c r="G564" s="60"/>
      <c r="H564" s="60"/>
      <c r="I564" s="60"/>
      <c r="J564" s="60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60"/>
      <c r="B565" s="60"/>
      <c r="C565" s="60"/>
      <c r="D565" s="8"/>
      <c r="E565" s="60"/>
      <c r="F565" s="60"/>
      <c r="G565" s="60"/>
      <c r="H565" s="60"/>
      <c r="I565" s="60"/>
      <c r="J565" s="60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60"/>
      <c r="B566" s="60"/>
      <c r="C566" s="60"/>
      <c r="D566" s="8"/>
      <c r="E566" s="60"/>
      <c r="F566" s="60"/>
      <c r="G566" s="60"/>
      <c r="H566" s="60"/>
      <c r="I566" s="60"/>
      <c r="J566" s="60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60"/>
      <c r="B567" s="60"/>
      <c r="C567" s="60"/>
      <c r="D567" s="8"/>
      <c r="E567" s="60"/>
      <c r="F567" s="60"/>
      <c r="G567" s="60"/>
      <c r="H567" s="60"/>
      <c r="I567" s="60"/>
      <c r="J567" s="60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60"/>
      <c r="B568" s="60"/>
      <c r="C568" s="60"/>
      <c r="D568" s="8"/>
      <c r="E568" s="60"/>
      <c r="F568" s="60"/>
      <c r="G568" s="60"/>
      <c r="H568" s="60"/>
      <c r="I568" s="60"/>
      <c r="J568" s="60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60"/>
      <c r="B569" s="60"/>
      <c r="C569" s="60"/>
      <c r="D569" s="8"/>
      <c r="E569" s="60"/>
      <c r="F569" s="60"/>
      <c r="G569" s="60"/>
      <c r="H569" s="60"/>
      <c r="I569" s="60"/>
      <c r="J569" s="60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60"/>
      <c r="B570" s="60"/>
      <c r="C570" s="60"/>
      <c r="D570" s="8"/>
      <c r="E570" s="60"/>
      <c r="F570" s="60"/>
      <c r="G570" s="60"/>
      <c r="H570" s="60"/>
      <c r="I570" s="60"/>
      <c r="J570" s="60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60"/>
      <c r="B571" s="60"/>
      <c r="C571" s="60"/>
      <c r="D571" s="8"/>
      <c r="E571" s="60"/>
      <c r="F571" s="60"/>
      <c r="G571" s="60"/>
      <c r="H571" s="60"/>
      <c r="I571" s="60"/>
      <c r="J571" s="60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60"/>
      <c r="B572" s="60"/>
      <c r="C572" s="60"/>
      <c r="D572" s="8"/>
      <c r="E572" s="60"/>
      <c r="F572" s="60"/>
      <c r="G572" s="60"/>
      <c r="H572" s="60"/>
      <c r="I572" s="60"/>
      <c r="J572" s="60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60"/>
      <c r="B573" s="60"/>
      <c r="C573" s="60"/>
      <c r="D573" s="8"/>
      <c r="E573" s="60"/>
      <c r="F573" s="60"/>
      <c r="G573" s="60"/>
      <c r="H573" s="60"/>
      <c r="I573" s="60"/>
      <c r="J573" s="60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60"/>
      <c r="B574" s="60"/>
      <c r="C574" s="60"/>
      <c r="D574" s="8"/>
      <c r="E574" s="60"/>
      <c r="F574" s="60"/>
      <c r="G574" s="60"/>
      <c r="H574" s="60"/>
      <c r="I574" s="60"/>
      <c r="J574" s="60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60"/>
      <c r="B575" s="60"/>
      <c r="C575" s="60"/>
      <c r="D575" s="8"/>
      <c r="E575" s="60"/>
      <c r="F575" s="60"/>
      <c r="G575" s="60"/>
      <c r="H575" s="60"/>
      <c r="I575" s="60"/>
      <c r="J575" s="60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60"/>
      <c r="B576" s="60"/>
      <c r="C576" s="60"/>
      <c r="D576" s="8"/>
      <c r="E576" s="60"/>
      <c r="F576" s="60"/>
      <c r="G576" s="60"/>
      <c r="H576" s="60"/>
      <c r="I576" s="60"/>
      <c r="J576" s="60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60"/>
      <c r="B577" s="60"/>
      <c r="C577" s="60"/>
      <c r="D577" s="8"/>
      <c r="E577" s="60"/>
      <c r="F577" s="60"/>
      <c r="G577" s="60"/>
      <c r="H577" s="60"/>
      <c r="I577" s="60"/>
      <c r="J577" s="60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60"/>
      <c r="B578" s="60"/>
      <c r="C578" s="60"/>
      <c r="D578" s="8"/>
      <c r="E578" s="60"/>
      <c r="F578" s="60"/>
      <c r="G578" s="60"/>
      <c r="H578" s="60"/>
      <c r="I578" s="60"/>
      <c r="J578" s="60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60"/>
      <c r="B579" s="60"/>
      <c r="C579" s="60"/>
      <c r="D579" s="8"/>
      <c r="E579" s="60"/>
      <c r="F579" s="60"/>
      <c r="G579" s="60"/>
      <c r="H579" s="60"/>
      <c r="I579" s="60"/>
      <c r="J579" s="60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60"/>
      <c r="B580" s="60"/>
      <c r="C580" s="60"/>
      <c r="D580" s="8"/>
      <c r="E580" s="60"/>
      <c r="F580" s="60"/>
      <c r="G580" s="60"/>
      <c r="H580" s="60"/>
      <c r="I580" s="60"/>
      <c r="J580" s="60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60"/>
      <c r="B581" s="60"/>
      <c r="C581" s="60"/>
      <c r="D581" s="8"/>
      <c r="E581" s="60"/>
      <c r="F581" s="60"/>
      <c r="G581" s="60"/>
      <c r="H581" s="60"/>
      <c r="I581" s="60"/>
      <c r="J581" s="60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60"/>
      <c r="B582" s="60"/>
      <c r="C582" s="60"/>
      <c r="D582" s="8"/>
      <c r="E582" s="60"/>
      <c r="F582" s="60"/>
      <c r="G582" s="60"/>
      <c r="H582" s="60"/>
      <c r="I582" s="60"/>
      <c r="J582" s="60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60"/>
      <c r="B583" s="60"/>
      <c r="C583" s="60"/>
      <c r="D583" s="8"/>
      <c r="E583" s="60"/>
      <c r="F583" s="60"/>
      <c r="G583" s="60"/>
      <c r="H583" s="60"/>
      <c r="I583" s="60"/>
      <c r="J583" s="60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60"/>
      <c r="B584" s="60"/>
      <c r="C584" s="60"/>
      <c r="D584" s="8"/>
      <c r="E584" s="60"/>
      <c r="F584" s="60"/>
      <c r="G584" s="60"/>
      <c r="H584" s="60"/>
      <c r="I584" s="60"/>
      <c r="J584" s="60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60"/>
      <c r="B585" s="60"/>
      <c r="C585" s="60"/>
      <c r="D585" s="8"/>
      <c r="E585" s="60"/>
      <c r="F585" s="60"/>
      <c r="G585" s="60"/>
      <c r="H585" s="60"/>
      <c r="I585" s="60"/>
      <c r="J585" s="60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60"/>
      <c r="B586" s="60"/>
      <c r="C586" s="60"/>
      <c r="D586" s="8"/>
      <c r="E586" s="60"/>
      <c r="F586" s="60"/>
      <c r="G586" s="60"/>
      <c r="H586" s="60"/>
      <c r="I586" s="60"/>
      <c r="J586" s="60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60"/>
      <c r="B587" s="60"/>
      <c r="C587" s="60"/>
      <c r="D587" s="8"/>
      <c r="E587" s="60"/>
      <c r="F587" s="60"/>
      <c r="G587" s="60"/>
      <c r="H587" s="60"/>
      <c r="I587" s="60"/>
      <c r="J587" s="60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60"/>
      <c r="B588" s="60"/>
      <c r="C588" s="60"/>
      <c r="D588" s="8"/>
      <c r="E588" s="60"/>
      <c r="F588" s="60"/>
      <c r="G588" s="60"/>
      <c r="H588" s="60"/>
      <c r="I588" s="60"/>
      <c r="J588" s="60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60"/>
      <c r="B589" s="60"/>
      <c r="C589" s="60"/>
      <c r="D589" s="8"/>
      <c r="E589" s="60"/>
      <c r="F589" s="60"/>
      <c r="G589" s="60"/>
      <c r="H589" s="60"/>
      <c r="I589" s="60"/>
      <c r="J589" s="60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60"/>
      <c r="B590" s="60"/>
      <c r="C590" s="60"/>
      <c r="D590" s="8"/>
      <c r="E590" s="60"/>
      <c r="F590" s="60"/>
      <c r="G590" s="60"/>
      <c r="H590" s="60"/>
      <c r="I590" s="60"/>
      <c r="J590" s="60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60"/>
      <c r="B591" s="60"/>
      <c r="C591" s="60"/>
      <c r="D591" s="8"/>
      <c r="E591" s="60"/>
      <c r="F591" s="60"/>
      <c r="G591" s="60"/>
      <c r="H591" s="60"/>
      <c r="I591" s="60"/>
      <c r="J591" s="60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60"/>
      <c r="B592" s="60"/>
      <c r="C592" s="60"/>
      <c r="D592" s="8"/>
      <c r="E592" s="60"/>
      <c r="F592" s="60"/>
      <c r="G592" s="60"/>
      <c r="H592" s="60"/>
      <c r="I592" s="60"/>
      <c r="J592" s="60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60"/>
      <c r="B593" s="60"/>
      <c r="C593" s="60"/>
      <c r="D593" s="8"/>
      <c r="E593" s="60"/>
      <c r="F593" s="60"/>
      <c r="G593" s="60"/>
      <c r="H593" s="60"/>
      <c r="I593" s="60"/>
      <c r="J593" s="60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60"/>
      <c r="B594" s="60"/>
      <c r="C594" s="60"/>
      <c r="D594" s="8"/>
      <c r="E594" s="60"/>
      <c r="F594" s="60"/>
      <c r="G594" s="60"/>
      <c r="H594" s="60"/>
      <c r="I594" s="60"/>
      <c r="J594" s="60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60"/>
      <c r="B595" s="60"/>
      <c r="C595" s="60"/>
      <c r="D595" s="8"/>
      <c r="E595" s="60"/>
      <c r="F595" s="60"/>
      <c r="G595" s="60"/>
      <c r="H595" s="60"/>
      <c r="I595" s="60"/>
      <c r="J595" s="60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60"/>
      <c r="B596" s="60"/>
      <c r="C596" s="60"/>
      <c r="D596" s="8"/>
      <c r="E596" s="60"/>
      <c r="F596" s="60"/>
      <c r="G596" s="60"/>
      <c r="H596" s="60"/>
      <c r="I596" s="60"/>
      <c r="J596" s="60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60"/>
      <c r="B597" s="60"/>
      <c r="C597" s="60"/>
      <c r="D597" s="8"/>
      <c r="E597" s="60"/>
      <c r="F597" s="60"/>
      <c r="G597" s="60"/>
      <c r="H597" s="60"/>
      <c r="I597" s="60"/>
      <c r="J597" s="60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60"/>
      <c r="B598" s="60"/>
      <c r="C598" s="60"/>
      <c r="D598" s="8"/>
      <c r="E598" s="60"/>
      <c r="F598" s="60"/>
      <c r="G598" s="60"/>
      <c r="H598" s="60"/>
      <c r="I598" s="60"/>
      <c r="J598" s="60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60"/>
      <c r="B599" s="60"/>
      <c r="C599" s="60"/>
      <c r="D599" s="8"/>
      <c r="E599" s="60"/>
      <c r="F599" s="60"/>
      <c r="G599" s="60"/>
      <c r="H599" s="60"/>
      <c r="I599" s="60"/>
      <c r="J599" s="60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60"/>
      <c r="B600" s="60"/>
      <c r="C600" s="60"/>
      <c r="D600" s="8"/>
      <c r="E600" s="60"/>
      <c r="F600" s="60"/>
      <c r="G600" s="60"/>
      <c r="H600" s="60"/>
      <c r="I600" s="60"/>
      <c r="J600" s="60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60"/>
      <c r="B601" s="60"/>
      <c r="C601" s="60"/>
      <c r="D601" s="8"/>
      <c r="E601" s="60"/>
      <c r="F601" s="60"/>
      <c r="G601" s="60"/>
      <c r="H601" s="60"/>
      <c r="I601" s="60"/>
      <c r="J601" s="60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60"/>
      <c r="B602" s="60"/>
      <c r="C602" s="60"/>
      <c r="D602" s="8"/>
      <c r="E602" s="60"/>
      <c r="F602" s="60"/>
      <c r="G602" s="60"/>
      <c r="H602" s="60"/>
      <c r="I602" s="60"/>
      <c r="J602" s="60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60"/>
      <c r="B603" s="60"/>
      <c r="C603" s="60"/>
      <c r="D603" s="8"/>
      <c r="E603" s="60"/>
      <c r="F603" s="60"/>
      <c r="G603" s="60"/>
      <c r="H603" s="60"/>
      <c r="I603" s="60"/>
      <c r="J603" s="60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60"/>
      <c r="B604" s="60"/>
      <c r="C604" s="60"/>
      <c r="D604" s="8"/>
      <c r="E604" s="60"/>
      <c r="F604" s="60"/>
      <c r="G604" s="60"/>
      <c r="H604" s="60"/>
      <c r="I604" s="60"/>
      <c r="J604" s="60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60"/>
      <c r="B605" s="60"/>
      <c r="C605" s="60"/>
      <c r="D605" s="8"/>
      <c r="E605" s="60"/>
      <c r="F605" s="60"/>
      <c r="G605" s="60"/>
      <c r="H605" s="60"/>
      <c r="I605" s="60"/>
      <c r="J605" s="60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60"/>
      <c r="B606" s="60"/>
      <c r="C606" s="60"/>
      <c r="D606" s="8"/>
      <c r="E606" s="60"/>
      <c r="F606" s="60"/>
      <c r="G606" s="60"/>
      <c r="H606" s="60"/>
      <c r="I606" s="60"/>
      <c r="J606" s="60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60"/>
      <c r="B607" s="60"/>
      <c r="C607" s="60"/>
      <c r="D607" s="8"/>
      <c r="E607" s="60"/>
      <c r="F607" s="60"/>
      <c r="G607" s="60"/>
      <c r="H607" s="60"/>
      <c r="I607" s="60"/>
      <c r="J607" s="60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60"/>
      <c r="B608" s="60"/>
      <c r="C608" s="60"/>
      <c r="D608" s="8"/>
      <c r="E608" s="60"/>
      <c r="F608" s="60"/>
      <c r="G608" s="60"/>
      <c r="H608" s="60"/>
      <c r="I608" s="60"/>
      <c r="J608" s="60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60"/>
      <c r="B609" s="60"/>
      <c r="C609" s="60"/>
      <c r="D609" s="8"/>
      <c r="E609" s="60"/>
      <c r="F609" s="60"/>
      <c r="G609" s="60"/>
      <c r="H609" s="60"/>
      <c r="I609" s="60"/>
      <c r="J609" s="60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60"/>
      <c r="B610" s="60"/>
      <c r="C610" s="60"/>
      <c r="D610" s="8"/>
      <c r="E610" s="60"/>
      <c r="F610" s="60"/>
      <c r="G610" s="60"/>
      <c r="H610" s="60"/>
      <c r="I610" s="60"/>
      <c r="J610" s="60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60"/>
      <c r="B611" s="60"/>
      <c r="C611" s="60"/>
      <c r="D611" s="8"/>
      <c r="E611" s="60"/>
      <c r="F611" s="60"/>
      <c r="G611" s="60"/>
      <c r="H611" s="60"/>
      <c r="I611" s="60"/>
      <c r="J611" s="60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60"/>
      <c r="B612" s="60"/>
      <c r="C612" s="60"/>
      <c r="D612" s="8"/>
      <c r="E612" s="60"/>
      <c r="F612" s="60"/>
      <c r="G612" s="60"/>
      <c r="H612" s="60"/>
      <c r="I612" s="60"/>
      <c r="J612" s="60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60"/>
      <c r="B613" s="60"/>
      <c r="C613" s="60"/>
      <c r="D613" s="8"/>
      <c r="E613" s="60"/>
      <c r="F613" s="60"/>
      <c r="G613" s="60"/>
      <c r="H613" s="60"/>
      <c r="I613" s="60"/>
      <c r="J613" s="60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60"/>
      <c r="B614" s="60"/>
      <c r="C614" s="60"/>
      <c r="D614" s="8"/>
      <c r="E614" s="60"/>
      <c r="F614" s="60"/>
      <c r="G614" s="60"/>
      <c r="H614" s="60"/>
      <c r="I614" s="60"/>
      <c r="J614" s="60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60"/>
      <c r="B615" s="60"/>
      <c r="C615" s="60"/>
      <c r="D615" s="8"/>
      <c r="E615" s="60"/>
      <c r="F615" s="60"/>
      <c r="G615" s="60"/>
      <c r="H615" s="60"/>
      <c r="I615" s="60"/>
      <c r="J615" s="60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60"/>
      <c r="B616" s="60"/>
      <c r="C616" s="60"/>
      <c r="D616" s="8"/>
      <c r="E616" s="60"/>
      <c r="F616" s="60"/>
      <c r="G616" s="60"/>
      <c r="H616" s="60"/>
      <c r="I616" s="60"/>
      <c r="J616" s="60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60"/>
      <c r="B617" s="60"/>
      <c r="C617" s="60"/>
      <c r="D617" s="8"/>
      <c r="E617" s="60"/>
      <c r="F617" s="60"/>
      <c r="G617" s="60"/>
      <c r="H617" s="60"/>
      <c r="I617" s="60"/>
      <c r="J617" s="60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60"/>
      <c r="B618" s="60"/>
      <c r="C618" s="60"/>
      <c r="D618" s="8"/>
      <c r="E618" s="60"/>
      <c r="F618" s="60"/>
      <c r="G618" s="60"/>
      <c r="H618" s="60"/>
      <c r="I618" s="60"/>
      <c r="J618" s="60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60"/>
      <c r="B619" s="60"/>
      <c r="C619" s="60"/>
      <c r="D619" s="8"/>
      <c r="E619" s="60"/>
      <c r="F619" s="60"/>
      <c r="G619" s="60"/>
      <c r="H619" s="60"/>
      <c r="I619" s="60"/>
      <c r="J619" s="60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60"/>
      <c r="B620" s="60"/>
      <c r="C620" s="60"/>
      <c r="D620" s="8"/>
      <c r="E620" s="60"/>
      <c r="F620" s="60"/>
      <c r="G620" s="60"/>
      <c r="H620" s="60"/>
      <c r="I620" s="60"/>
      <c r="J620" s="60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60"/>
      <c r="B621" s="60"/>
      <c r="C621" s="60"/>
      <c r="D621" s="8"/>
      <c r="E621" s="60"/>
      <c r="F621" s="60"/>
      <c r="G621" s="60"/>
      <c r="H621" s="60"/>
      <c r="I621" s="60"/>
      <c r="J621" s="60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60"/>
      <c r="B622" s="60"/>
      <c r="C622" s="60"/>
      <c r="D622" s="8"/>
      <c r="E622" s="60"/>
      <c r="F622" s="60"/>
      <c r="G622" s="60"/>
      <c r="H622" s="60"/>
      <c r="I622" s="60"/>
      <c r="J622" s="60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60"/>
      <c r="B623" s="60"/>
      <c r="C623" s="60"/>
      <c r="D623" s="8"/>
      <c r="E623" s="60"/>
      <c r="F623" s="60"/>
      <c r="G623" s="60"/>
      <c r="H623" s="60"/>
      <c r="I623" s="60"/>
      <c r="J623" s="60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60"/>
      <c r="B624" s="60"/>
      <c r="C624" s="60"/>
      <c r="D624" s="8"/>
      <c r="E624" s="60"/>
      <c r="F624" s="60"/>
      <c r="G624" s="60"/>
      <c r="H624" s="60"/>
      <c r="I624" s="60"/>
      <c r="J624" s="60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60"/>
      <c r="B625" s="60"/>
      <c r="C625" s="60"/>
      <c r="D625" s="8"/>
      <c r="E625" s="60"/>
      <c r="F625" s="60"/>
      <c r="G625" s="60"/>
      <c r="H625" s="60"/>
      <c r="I625" s="60"/>
      <c r="J625" s="60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60"/>
      <c r="B626" s="60"/>
      <c r="C626" s="60"/>
      <c r="D626" s="8"/>
      <c r="E626" s="60"/>
      <c r="F626" s="60"/>
      <c r="G626" s="60"/>
      <c r="H626" s="60"/>
      <c r="I626" s="60"/>
      <c r="J626" s="60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60"/>
      <c r="B627" s="60"/>
      <c r="C627" s="60"/>
      <c r="D627" s="8"/>
      <c r="E627" s="60"/>
      <c r="F627" s="60"/>
      <c r="G627" s="60"/>
      <c r="H627" s="60"/>
      <c r="I627" s="60"/>
      <c r="J627" s="60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60"/>
      <c r="B628" s="60"/>
      <c r="C628" s="60"/>
      <c r="D628" s="8"/>
      <c r="E628" s="60"/>
      <c r="F628" s="60"/>
      <c r="G628" s="60"/>
      <c r="H628" s="60"/>
      <c r="I628" s="60"/>
      <c r="J628" s="60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60"/>
      <c r="B629" s="60"/>
      <c r="C629" s="60"/>
      <c r="D629" s="8"/>
      <c r="E629" s="60"/>
      <c r="F629" s="60"/>
      <c r="G629" s="60"/>
      <c r="H629" s="60"/>
      <c r="I629" s="60"/>
      <c r="J629" s="60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60"/>
      <c r="B630" s="60"/>
      <c r="C630" s="60"/>
      <c r="D630" s="8"/>
      <c r="E630" s="60"/>
      <c r="F630" s="60"/>
      <c r="G630" s="60"/>
      <c r="H630" s="60"/>
      <c r="I630" s="60"/>
      <c r="J630" s="60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60"/>
      <c r="B631" s="60"/>
      <c r="C631" s="60"/>
      <c r="D631" s="8"/>
      <c r="E631" s="60"/>
      <c r="F631" s="60"/>
      <c r="G631" s="60"/>
      <c r="H631" s="60"/>
      <c r="I631" s="60"/>
      <c r="J631" s="60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60"/>
      <c r="B632" s="60"/>
      <c r="C632" s="60"/>
      <c r="D632" s="8"/>
      <c r="E632" s="60"/>
      <c r="F632" s="60"/>
      <c r="G632" s="60"/>
      <c r="H632" s="60"/>
      <c r="I632" s="60"/>
      <c r="J632" s="60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60"/>
      <c r="B633" s="60"/>
      <c r="C633" s="60"/>
      <c r="D633" s="8"/>
      <c r="E633" s="60"/>
      <c r="F633" s="60"/>
      <c r="G633" s="60"/>
      <c r="H633" s="60"/>
      <c r="I633" s="60"/>
      <c r="J633" s="60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60"/>
      <c r="B634" s="60"/>
      <c r="C634" s="60"/>
      <c r="D634" s="8"/>
      <c r="E634" s="60"/>
      <c r="F634" s="60"/>
      <c r="G634" s="60"/>
      <c r="H634" s="60"/>
      <c r="I634" s="60"/>
      <c r="J634" s="60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60"/>
      <c r="B635" s="60"/>
      <c r="C635" s="60"/>
      <c r="D635" s="8"/>
      <c r="E635" s="60"/>
      <c r="F635" s="60"/>
      <c r="G635" s="60"/>
      <c r="H635" s="60"/>
      <c r="I635" s="60"/>
      <c r="J635" s="60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60"/>
      <c r="B636" s="60"/>
      <c r="C636" s="60"/>
      <c r="D636" s="8"/>
      <c r="E636" s="60"/>
      <c r="F636" s="60"/>
      <c r="G636" s="60"/>
      <c r="H636" s="60"/>
      <c r="I636" s="60"/>
      <c r="J636" s="60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60"/>
      <c r="B637" s="60"/>
      <c r="C637" s="60"/>
      <c r="D637" s="8"/>
      <c r="E637" s="60"/>
      <c r="F637" s="60"/>
      <c r="G637" s="60"/>
      <c r="H637" s="60"/>
      <c r="I637" s="60"/>
      <c r="J637" s="60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60"/>
      <c r="B638" s="60"/>
      <c r="C638" s="60"/>
      <c r="D638" s="8"/>
      <c r="E638" s="60"/>
      <c r="F638" s="60"/>
      <c r="G638" s="60"/>
      <c r="H638" s="60"/>
      <c r="I638" s="60"/>
      <c r="J638" s="60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60"/>
      <c r="B639" s="60"/>
      <c r="C639" s="60"/>
      <c r="D639" s="8"/>
      <c r="E639" s="60"/>
      <c r="F639" s="60"/>
      <c r="G639" s="60"/>
      <c r="H639" s="60"/>
      <c r="I639" s="60"/>
      <c r="J639" s="60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60"/>
      <c r="B640" s="60"/>
      <c r="C640" s="60"/>
      <c r="D640" s="8"/>
      <c r="E640" s="60"/>
      <c r="F640" s="60"/>
      <c r="G640" s="60"/>
      <c r="H640" s="60"/>
      <c r="I640" s="60"/>
      <c r="J640" s="60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60"/>
      <c r="B641" s="60"/>
      <c r="C641" s="60"/>
      <c r="D641" s="8"/>
      <c r="E641" s="60"/>
      <c r="F641" s="60"/>
      <c r="G641" s="60"/>
      <c r="H641" s="60"/>
      <c r="I641" s="60"/>
      <c r="J641" s="60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60"/>
      <c r="B642" s="60"/>
      <c r="C642" s="60"/>
      <c r="D642" s="8"/>
      <c r="E642" s="60"/>
      <c r="F642" s="60"/>
      <c r="G642" s="60"/>
      <c r="H642" s="60"/>
      <c r="I642" s="60"/>
      <c r="J642" s="60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60"/>
      <c r="B643" s="60"/>
      <c r="C643" s="60"/>
      <c r="D643" s="8"/>
      <c r="E643" s="60"/>
      <c r="F643" s="60"/>
      <c r="G643" s="60"/>
      <c r="H643" s="60"/>
      <c r="I643" s="60"/>
      <c r="J643" s="60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60"/>
      <c r="B644" s="60"/>
      <c r="C644" s="60"/>
      <c r="D644" s="8"/>
      <c r="E644" s="60"/>
      <c r="F644" s="60"/>
      <c r="G644" s="60"/>
      <c r="H644" s="60"/>
      <c r="I644" s="60"/>
      <c r="J644" s="60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60"/>
      <c r="B645" s="60"/>
      <c r="C645" s="60"/>
      <c r="D645" s="8"/>
      <c r="E645" s="60"/>
      <c r="F645" s="60"/>
      <c r="G645" s="60"/>
      <c r="H645" s="60"/>
      <c r="I645" s="60"/>
      <c r="J645" s="60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60"/>
      <c r="B646" s="60"/>
      <c r="C646" s="60"/>
      <c r="D646" s="8"/>
      <c r="E646" s="60"/>
      <c r="F646" s="60"/>
      <c r="G646" s="60"/>
      <c r="H646" s="60"/>
      <c r="I646" s="60"/>
      <c r="J646" s="60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60"/>
      <c r="B647" s="60"/>
      <c r="C647" s="60"/>
      <c r="D647" s="8"/>
      <c r="E647" s="60"/>
      <c r="F647" s="60"/>
      <c r="G647" s="60"/>
      <c r="H647" s="60"/>
      <c r="I647" s="60"/>
      <c r="J647" s="60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60"/>
      <c r="B648" s="60"/>
      <c r="C648" s="60"/>
      <c r="D648" s="8"/>
      <c r="E648" s="60"/>
      <c r="F648" s="60"/>
      <c r="G648" s="60"/>
      <c r="H648" s="60"/>
      <c r="I648" s="60"/>
      <c r="J648" s="60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60"/>
      <c r="B649" s="60"/>
      <c r="C649" s="60"/>
      <c r="D649" s="8"/>
      <c r="E649" s="60"/>
      <c r="F649" s="60"/>
      <c r="G649" s="60"/>
      <c r="H649" s="60"/>
      <c r="I649" s="60"/>
      <c r="J649" s="60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60"/>
      <c r="B650" s="60"/>
      <c r="C650" s="60"/>
      <c r="D650" s="8"/>
      <c r="E650" s="60"/>
      <c r="F650" s="60"/>
      <c r="G650" s="60"/>
      <c r="H650" s="60"/>
      <c r="I650" s="60"/>
      <c r="J650" s="60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60"/>
      <c r="B651" s="60"/>
      <c r="C651" s="60"/>
      <c r="D651" s="8"/>
      <c r="E651" s="60"/>
      <c r="F651" s="60"/>
      <c r="G651" s="60"/>
      <c r="H651" s="60"/>
      <c r="I651" s="60"/>
      <c r="J651" s="60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60"/>
      <c r="B652" s="60"/>
      <c r="C652" s="60"/>
      <c r="D652" s="8"/>
      <c r="E652" s="60"/>
      <c r="F652" s="60"/>
      <c r="G652" s="60"/>
      <c r="H652" s="60"/>
      <c r="I652" s="60"/>
      <c r="J652" s="60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60"/>
      <c r="B653" s="60"/>
      <c r="C653" s="60"/>
      <c r="D653" s="8"/>
      <c r="E653" s="60"/>
      <c r="F653" s="60"/>
      <c r="G653" s="60"/>
      <c r="H653" s="60"/>
      <c r="I653" s="60"/>
      <c r="J653" s="60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60"/>
      <c r="B654" s="60"/>
      <c r="C654" s="60"/>
      <c r="D654" s="8"/>
      <c r="E654" s="60"/>
      <c r="F654" s="60"/>
      <c r="G654" s="60"/>
      <c r="H654" s="60"/>
      <c r="I654" s="60"/>
      <c r="J654" s="60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60"/>
      <c r="B655" s="60"/>
      <c r="C655" s="60"/>
      <c r="D655" s="8"/>
      <c r="E655" s="60"/>
      <c r="F655" s="60"/>
      <c r="G655" s="60"/>
      <c r="H655" s="60"/>
      <c r="I655" s="60"/>
      <c r="J655" s="60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60"/>
      <c r="B656" s="60"/>
      <c r="C656" s="60"/>
      <c r="D656" s="8"/>
      <c r="E656" s="60"/>
      <c r="F656" s="60"/>
      <c r="G656" s="60"/>
      <c r="H656" s="60"/>
      <c r="I656" s="60"/>
      <c r="J656" s="60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60"/>
      <c r="B657" s="60"/>
      <c r="C657" s="60"/>
      <c r="D657" s="8"/>
      <c r="E657" s="60"/>
      <c r="F657" s="60"/>
      <c r="G657" s="60"/>
      <c r="H657" s="60"/>
      <c r="I657" s="60"/>
      <c r="J657" s="60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60"/>
      <c r="B658" s="60"/>
      <c r="C658" s="60"/>
      <c r="D658" s="8"/>
      <c r="E658" s="60"/>
      <c r="F658" s="60"/>
      <c r="G658" s="60"/>
      <c r="H658" s="60"/>
      <c r="I658" s="60"/>
      <c r="J658" s="60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60"/>
      <c r="B659" s="60"/>
      <c r="C659" s="60"/>
      <c r="D659" s="8"/>
      <c r="E659" s="60"/>
      <c r="F659" s="60"/>
      <c r="G659" s="60"/>
      <c r="H659" s="60"/>
      <c r="I659" s="60"/>
      <c r="J659" s="60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60"/>
      <c r="B660" s="60"/>
      <c r="C660" s="60"/>
      <c r="D660" s="8"/>
      <c r="E660" s="60"/>
      <c r="F660" s="60"/>
      <c r="G660" s="60"/>
      <c r="H660" s="60"/>
      <c r="I660" s="60"/>
      <c r="J660" s="60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60"/>
      <c r="B661" s="60"/>
      <c r="C661" s="60"/>
      <c r="D661" s="8"/>
      <c r="E661" s="60"/>
      <c r="F661" s="60"/>
      <c r="G661" s="60"/>
      <c r="H661" s="60"/>
      <c r="I661" s="60"/>
      <c r="J661" s="60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60"/>
      <c r="B662" s="60"/>
      <c r="C662" s="60"/>
      <c r="D662" s="8"/>
      <c r="E662" s="60"/>
      <c r="F662" s="60"/>
      <c r="G662" s="60"/>
      <c r="H662" s="60"/>
      <c r="I662" s="60"/>
      <c r="J662" s="60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60"/>
      <c r="B663" s="60"/>
      <c r="C663" s="60"/>
      <c r="D663" s="8"/>
      <c r="E663" s="60"/>
      <c r="F663" s="60"/>
      <c r="G663" s="60"/>
      <c r="H663" s="60"/>
      <c r="I663" s="60"/>
      <c r="J663" s="60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60"/>
      <c r="B664" s="60"/>
      <c r="C664" s="60"/>
      <c r="D664" s="8"/>
      <c r="E664" s="60"/>
      <c r="F664" s="60"/>
      <c r="G664" s="60"/>
      <c r="H664" s="60"/>
      <c r="I664" s="60"/>
      <c r="J664" s="60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60"/>
      <c r="B665" s="60"/>
      <c r="C665" s="60"/>
      <c r="D665" s="8"/>
      <c r="E665" s="60"/>
      <c r="F665" s="60"/>
      <c r="G665" s="60"/>
      <c r="H665" s="60"/>
      <c r="I665" s="60"/>
      <c r="J665" s="60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60"/>
      <c r="B666" s="60"/>
      <c r="C666" s="60"/>
      <c r="D666" s="8"/>
      <c r="E666" s="60"/>
      <c r="F666" s="60"/>
      <c r="G666" s="60"/>
      <c r="H666" s="60"/>
      <c r="I666" s="60"/>
      <c r="J666" s="60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60"/>
      <c r="B667" s="60"/>
      <c r="C667" s="60"/>
      <c r="D667" s="8"/>
      <c r="E667" s="60"/>
      <c r="F667" s="60"/>
      <c r="G667" s="60"/>
      <c r="H667" s="60"/>
      <c r="I667" s="60"/>
      <c r="J667" s="60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60"/>
      <c r="B668" s="60"/>
      <c r="C668" s="60"/>
      <c r="D668" s="8"/>
      <c r="E668" s="60"/>
      <c r="F668" s="60"/>
      <c r="G668" s="60"/>
      <c r="H668" s="60"/>
      <c r="I668" s="60"/>
      <c r="J668" s="60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60"/>
      <c r="B669" s="60"/>
      <c r="C669" s="60"/>
      <c r="D669" s="8"/>
      <c r="E669" s="60"/>
      <c r="F669" s="60"/>
      <c r="G669" s="60"/>
      <c r="H669" s="60"/>
      <c r="I669" s="60"/>
      <c r="J669" s="60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60"/>
      <c r="B670" s="60"/>
      <c r="C670" s="60"/>
      <c r="D670" s="8"/>
      <c r="E670" s="60"/>
      <c r="F670" s="60"/>
      <c r="G670" s="60"/>
      <c r="H670" s="60"/>
      <c r="I670" s="60"/>
      <c r="J670" s="60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60"/>
      <c r="B671" s="60"/>
      <c r="C671" s="60"/>
      <c r="D671" s="8"/>
      <c r="E671" s="60"/>
      <c r="F671" s="60"/>
      <c r="G671" s="60"/>
      <c r="H671" s="60"/>
      <c r="I671" s="60"/>
      <c r="J671" s="60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60"/>
      <c r="B672" s="60"/>
      <c r="C672" s="60"/>
      <c r="D672" s="8"/>
      <c r="E672" s="60"/>
      <c r="F672" s="60"/>
      <c r="G672" s="60"/>
      <c r="H672" s="60"/>
      <c r="I672" s="60"/>
      <c r="J672" s="60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60"/>
      <c r="B673" s="60"/>
      <c r="C673" s="60"/>
      <c r="D673" s="8"/>
      <c r="E673" s="60"/>
      <c r="F673" s="60"/>
      <c r="G673" s="60"/>
      <c r="H673" s="60"/>
      <c r="I673" s="60"/>
      <c r="J673" s="60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60"/>
      <c r="B674" s="60"/>
      <c r="C674" s="60"/>
      <c r="D674" s="8"/>
      <c r="E674" s="60"/>
      <c r="F674" s="60"/>
      <c r="G674" s="60"/>
      <c r="H674" s="60"/>
      <c r="I674" s="60"/>
      <c r="J674" s="60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60"/>
      <c r="B675" s="60"/>
      <c r="C675" s="60"/>
      <c r="D675" s="8"/>
      <c r="E675" s="60"/>
      <c r="F675" s="60"/>
      <c r="G675" s="60"/>
      <c r="H675" s="60"/>
      <c r="I675" s="60"/>
      <c r="J675" s="60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60"/>
      <c r="B676" s="60"/>
      <c r="C676" s="60"/>
      <c r="D676" s="8"/>
      <c r="E676" s="60"/>
      <c r="F676" s="60"/>
      <c r="G676" s="60"/>
      <c r="H676" s="60"/>
      <c r="I676" s="60"/>
      <c r="J676" s="60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60"/>
      <c r="B677" s="60"/>
      <c r="C677" s="60"/>
      <c r="D677" s="8"/>
      <c r="E677" s="60"/>
      <c r="F677" s="60"/>
      <c r="G677" s="60"/>
      <c r="H677" s="60"/>
      <c r="I677" s="60"/>
      <c r="J677" s="60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60"/>
      <c r="B678" s="60"/>
      <c r="C678" s="60"/>
      <c r="D678" s="8"/>
      <c r="E678" s="60"/>
      <c r="F678" s="60"/>
      <c r="G678" s="60"/>
      <c r="H678" s="60"/>
      <c r="I678" s="60"/>
      <c r="J678" s="60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60"/>
      <c r="B679" s="60"/>
      <c r="C679" s="60"/>
      <c r="D679" s="8"/>
      <c r="E679" s="60"/>
      <c r="F679" s="60"/>
      <c r="G679" s="60"/>
      <c r="H679" s="60"/>
      <c r="I679" s="60"/>
      <c r="J679" s="60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60"/>
      <c r="B680" s="60"/>
      <c r="C680" s="60"/>
      <c r="D680" s="8"/>
      <c r="E680" s="60"/>
      <c r="F680" s="60"/>
      <c r="G680" s="60"/>
      <c r="H680" s="60"/>
      <c r="I680" s="60"/>
      <c r="J680" s="60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60"/>
      <c r="B681" s="60"/>
      <c r="C681" s="60"/>
      <c r="D681" s="8"/>
      <c r="E681" s="60"/>
      <c r="F681" s="60"/>
      <c r="G681" s="60"/>
      <c r="H681" s="60"/>
      <c r="I681" s="60"/>
      <c r="J681" s="60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60"/>
      <c r="B682" s="60"/>
      <c r="C682" s="60"/>
      <c r="D682" s="8"/>
      <c r="E682" s="60"/>
      <c r="F682" s="60"/>
      <c r="G682" s="60"/>
      <c r="H682" s="60"/>
      <c r="I682" s="60"/>
      <c r="J682" s="60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60"/>
      <c r="B683" s="60"/>
      <c r="C683" s="60"/>
      <c r="D683" s="8"/>
      <c r="E683" s="60"/>
      <c r="F683" s="60"/>
      <c r="G683" s="60"/>
      <c r="H683" s="60"/>
      <c r="I683" s="60"/>
      <c r="J683" s="60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60"/>
      <c r="B684" s="60"/>
      <c r="C684" s="60"/>
      <c r="D684" s="8"/>
      <c r="E684" s="60"/>
      <c r="F684" s="60"/>
      <c r="G684" s="60"/>
      <c r="H684" s="60"/>
      <c r="I684" s="60"/>
      <c r="J684" s="60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60"/>
      <c r="B685" s="60"/>
      <c r="C685" s="60"/>
      <c r="D685" s="8"/>
      <c r="E685" s="60"/>
      <c r="F685" s="60"/>
      <c r="G685" s="60"/>
      <c r="H685" s="60"/>
      <c r="I685" s="60"/>
      <c r="J685" s="60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60"/>
      <c r="B686" s="60"/>
      <c r="C686" s="60"/>
      <c r="D686" s="8"/>
      <c r="E686" s="60"/>
      <c r="F686" s="60"/>
      <c r="G686" s="60"/>
      <c r="H686" s="60"/>
      <c r="I686" s="60"/>
      <c r="J686" s="60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60"/>
      <c r="B687" s="60"/>
      <c r="C687" s="60"/>
      <c r="D687" s="8"/>
      <c r="E687" s="60"/>
      <c r="F687" s="60"/>
      <c r="G687" s="60"/>
      <c r="H687" s="60"/>
      <c r="I687" s="60"/>
      <c r="J687" s="60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60"/>
      <c r="B688" s="60"/>
      <c r="C688" s="60"/>
      <c r="D688" s="8"/>
      <c r="E688" s="60"/>
      <c r="F688" s="60"/>
      <c r="G688" s="60"/>
      <c r="H688" s="60"/>
      <c r="I688" s="60"/>
      <c r="J688" s="60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60"/>
      <c r="B689" s="60"/>
      <c r="C689" s="60"/>
      <c r="D689" s="8"/>
      <c r="E689" s="60"/>
      <c r="F689" s="60"/>
      <c r="G689" s="60"/>
      <c r="H689" s="60"/>
      <c r="I689" s="60"/>
      <c r="J689" s="60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60"/>
      <c r="B690" s="60"/>
      <c r="C690" s="60"/>
      <c r="D690" s="8"/>
      <c r="E690" s="60"/>
      <c r="F690" s="60"/>
      <c r="G690" s="60"/>
      <c r="H690" s="60"/>
      <c r="I690" s="60"/>
      <c r="J690" s="60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60"/>
      <c r="B691" s="60"/>
      <c r="C691" s="60"/>
      <c r="D691" s="8"/>
      <c r="E691" s="60"/>
      <c r="F691" s="60"/>
      <c r="G691" s="60"/>
      <c r="H691" s="60"/>
      <c r="I691" s="60"/>
      <c r="J691" s="60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60"/>
      <c r="B692" s="60"/>
      <c r="C692" s="60"/>
      <c r="D692" s="8"/>
      <c r="E692" s="60"/>
      <c r="F692" s="60"/>
      <c r="G692" s="60"/>
      <c r="H692" s="60"/>
      <c r="I692" s="60"/>
      <c r="J692" s="60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60"/>
      <c r="B693" s="60"/>
      <c r="C693" s="60"/>
      <c r="D693" s="8"/>
      <c r="E693" s="60"/>
      <c r="F693" s="60"/>
      <c r="G693" s="60"/>
      <c r="H693" s="60"/>
      <c r="I693" s="60"/>
      <c r="J693" s="60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60"/>
      <c r="B694" s="60"/>
      <c r="C694" s="60"/>
      <c r="D694" s="8"/>
      <c r="E694" s="60"/>
      <c r="F694" s="60"/>
      <c r="G694" s="60"/>
      <c r="H694" s="60"/>
      <c r="I694" s="60"/>
      <c r="J694" s="60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60"/>
      <c r="B695" s="60"/>
      <c r="C695" s="60"/>
      <c r="D695" s="8"/>
      <c r="E695" s="60"/>
      <c r="F695" s="60"/>
      <c r="G695" s="60"/>
      <c r="H695" s="60"/>
      <c r="I695" s="60"/>
      <c r="J695" s="60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60"/>
      <c r="B696" s="60"/>
      <c r="C696" s="60"/>
      <c r="D696" s="8"/>
      <c r="E696" s="60"/>
      <c r="F696" s="60"/>
      <c r="G696" s="60"/>
      <c r="H696" s="60"/>
      <c r="I696" s="60"/>
      <c r="J696" s="60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60"/>
      <c r="B697" s="60"/>
      <c r="C697" s="60"/>
      <c r="D697" s="8"/>
      <c r="E697" s="60"/>
      <c r="F697" s="60"/>
      <c r="G697" s="60"/>
      <c r="H697" s="60"/>
      <c r="I697" s="60"/>
      <c r="J697" s="60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60"/>
      <c r="B698" s="60"/>
      <c r="C698" s="60"/>
      <c r="D698" s="8"/>
      <c r="E698" s="60"/>
      <c r="F698" s="60"/>
      <c r="G698" s="60"/>
      <c r="H698" s="60"/>
      <c r="I698" s="60"/>
      <c r="J698" s="60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60"/>
      <c r="B699" s="60"/>
      <c r="C699" s="60"/>
      <c r="D699" s="8"/>
      <c r="E699" s="60"/>
      <c r="F699" s="60"/>
      <c r="G699" s="60"/>
      <c r="H699" s="60"/>
      <c r="I699" s="60"/>
      <c r="J699" s="60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60"/>
      <c r="B700" s="60"/>
      <c r="C700" s="60"/>
      <c r="D700" s="8"/>
      <c r="E700" s="60"/>
      <c r="F700" s="60"/>
      <c r="G700" s="60"/>
      <c r="H700" s="60"/>
      <c r="I700" s="60"/>
      <c r="J700" s="60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60"/>
      <c r="B701" s="60"/>
      <c r="C701" s="60"/>
      <c r="D701" s="8"/>
      <c r="E701" s="60"/>
      <c r="F701" s="60"/>
      <c r="G701" s="60"/>
      <c r="H701" s="60"/>
      <c r="I701" s="60"/>
      <c r="J701" s="60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60"/>
      <c r="B702" s="60"/>
      <c r="C702" s="60"/>
      <c r="D702" s="8"/>
      <c r="E702" s="60"/>
      <c r="F702" s="60"/>
      <c r="G702" s="60"/>
      <c r="H702" s="60"/>
      <c r="I702" s="60"/>
      <c r="J702" s="60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60"/>
      <c r="B703" s="60"/>
      <c r="C703" s="60"/>
      <c r="D703" s="8"/>
      <c r="E703" s="60"/>
      <c r="F703" s="60"/>
      <c r="G703" s="60"/>
      <c r="H703" s="60"/>
      <c r="I703" s="60"/>
      <c r="J703" s="60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60"/>
      <c r="B704" s="60"/>
      <c r="C704" s="60"/>
      <c r="D704" s="8"/>
      <c r="E704" s="60"/>
      <c r="F704" s="60"/>
      <c r="G704" s="60"/>
      <c r="H704" s="60"/>
      <c r="I704" s="60"/>
      <c r="J704" s="60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60"/>
      <c r="B705" s="60"/>
      <c r="C705" s="60"/>
      <c r="D705" s="8"/>
      <c r="E705" s="60"/>
      <c r="F705" s="60"/>
      <c r="G705" s="60"/>
      <c r="H705" s="60"/>
      <c r="I705" s="60"/>
      <c r="J705" s="60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60"/>
      <c r="B706" s="60"/>
      <c r="C706" s="60"/>
      <c r="D706" s="8"/>
      <c r="E706" s="60"/>
      <c r="F706" s="60"/>
      <c r="G706" s="60"/>
      <c r="H706" s="60"/>
      <c r="I706" s="60"/>
      <c r="J706" s="60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60"/>
      <c r="B707" s="60"/>
      <c r="C707" s="60"/>
      <c r="D707" s="8"/>
      <c r="E707" s="60"/>
      <c r="F707" s="60"/>
      <c r="G707" s="60"/>
      <c r="H707" s="60"/>
      <c r="I707" s="60"/>
      <c r="J707" s="60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60"/>
      <c r="B708" s="60"/>
      <c r="C708" s="60"/>
      <c r="D708" s="8"/>
      <c r="E708" s="60"/>
      <c r="F708" s="60"/>
      <c r="G708" s="60"/>
      <c r="H708" s="60"/>
      <c r="I708" s="60"/>
      <c r="J708" s="60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60"/>
      <c r="B709" s="60"/>
      <c r="C709" s="60"/>
      <c r="D709" s="8"/>
      <c r="E709" s="60"/>
      <c r="F709" s="60"/>
      <c r="G709" s="60"/>
      <c r="H709" s="60"/>
      <c r="I709" s="60"/>
      <c r="J709" s="60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60"/>
      <c r="B710" s="60"/>
      <c r="C710" s="60"/>
      <c r="D710" s="8"/>
      <c r="E710" s="60"/>
      <c r="F710" s="60"/>
      <c r="G710" s="60"/>
      <c r="H710" s="60"/>
      <c r="I710" s="60"/>
      <c r="J710" s="60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60"/>
      <c r="B711" s="60"/>
      <c r="C711" s="60"/>
      <c r="D711" s="8"/>
      <c r="E711" s="60"/>
      <c r="F711" s="60"/>
      <c r="G711" s="60"/>
      <c r="H711" s="60"/>
      <c r="I711" s="60"/>
      <c r="J711" s="60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60"/>
      <c r="B712" s="60"/>
      <c r="C712" s="60"/>
      <c r="D712" s="8"/>
      <c r="E712" s="60"/>
      <c r="F712" s="60"/>
      <c r="G712" s="60"/>
      <c r="H712" s="60"/>
      <c r="I712" s="60"/>
      <c r="J712" s="60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60"/>
      <c r="B713" s="60"/>
      <c r="C713" s="60"/>
      <c r="D713" s="8"/>
      <c r="E713" s="60"/>
      <c r="F713" s="60"/>
      <c r="G713" s="60"/>
      <c r="H713" s="60"/>
      <c r="I713" s="60"/>
      <c r="J713" s="60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60"/>
      <c r="B714" s="60"/>
      <c r="C714" s="60"/>
      <c r="D714" s="8"/>
      <c r="E714" s="60"/>
      <c r="F714" s="60"/>
      <c r="G714" s="60"/>
      <c r="H714" s="60"/>
      <c r="I714" s="60"/>
      <c r="J714" s="60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60"/>
      <c r="B715" s="60"/>
      <c r="C715" s="60"/>
      <c r="D715" s="8"/>
      <c r="E715" s="60"/>
      <c r="F715" s="60"/>
      <c r="G715" s="60"/>
      <c r="H715" s="60"/>
      <c r="I715" s="60"/>
      <c r="J715" s="60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60"/>
      <c r="B716" s="60"/>
      <c r="C716" s="60"/>
      <c r="D716" s="8"/>
      <c r="E716" s="60"/>
      <c r="F716" s="60"/>
      <c r="G716" s="60"/>
      <c r="H716" s="60"/>
      <c r="I716" s="60"/>
      <c r="J716" s="60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60"/>
      <c r="B717" s="60"/>
      <c r="C717" s="60"/>
      <c r="D717" s="8"/>
      <c r="E717" s="60"/>
      <c r="F717" s="60"/>
      <c r="G717" s="60"/>
      <c r="H717" s="60"/>
      <c r="I717" s="60"/>
      <c r="J717" s="60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60"/>
      <c r="B718" s="60"/>
      <c r="C718" s="60"/>
      <c r="D718" s="8"/>
      <c r="E718" s="60"/>
      <c r="F718" s="60"/>
      <c r="G718" s="60"/>
      <c r="H718" s="60"/>
      <c r="I718" s="60"/>
      <c r="J718" s="60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60"/>
      <c r="B719" s="60"/>
      <c r="C719" s="60"/>
      <c r="D719" s="8"/>
      <c r="E719" s="60"/>
      <c r="F719" s="60"/>
      <c r="G719" s="60"/>
      <c r="H719" s="60"/>
      <c r="I719" s="60"/>
      <c r="J719" s="60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60"/>
      <c r="B720" s="60"/>
      <c r="C720" s="60"/>
      <c r="D720" s="8"/>
      <c r="E720" s="60"/>
      <c r="F720" s="60"/>
      <c r="G720" s="60"/>
      <c r="H720" s="60"/>
      <c r="I720" s="60"/>
      <c r="J720" s="60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60"/>
      <c r="B721" s="60"/>
      <c r="C721" s="60"/>
      <c r="D721" s="8"/>
      <c r="E721" s="60"/>
      <c r="F721" s="60"/>
      <c r="G721" s="60"/>
      <c r="H721" s="60"/>
      <c r="I721" s="60"/>
      <c r="J721" s="60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60"/>
      <c r="B722" s="60"/>
      <c r="C722" s="60"/>
      <c r="D722" s="8"/>
      <c r="E722" s="60"/>
      <c r="F722" s="60"/>
      <c r="G722" s="60"/>
      <c r="H722" s="60"/>
      <c r="I722" s="60"/>
      <c r="J722" s="60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60"/>
      <c r="B723" s="60"/>
      <c r="C723" s="60"/>
      <c r="D723" s="8"/>
      <c r="E723" s="60"/>
      <c r="F723" s="60"/>
      <c r="G723" s="60"/>
      <c r="H723" s="60"/>
      <c r="I723" s="60"/>
      <c r="J723" s="60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60"/>
      <c r="B724" s="60"/>
      <c r="C724" s="60"/>
      <c r="D724" s="8"/>
      <c r="E724" s="60"/>
      <c r="F724" s="60"/>
      <c r="G724" s="60"/>
      <c r="H724" s="60"/>
      <c r="I724" s="60"/>
      <c r="J724" s="60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60"/>
      <c r="B725" s="60"/>
      <c r="C725" s="60"/>
      <c r="D725" s="8"/>
      <c r="E725" s="60"/>
      <c r="F725" s="60"/>
      <c r="G725" s="60"/>
      <c r="H725" s="60"/>
      <c r="I725" s="60"/>
      <c r="J725" s="60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60"/>
      <c r="B726" s="60"/>
      <c r="C726" s="60"/>
      <c r="D726" s="8"/>
      <c r="E726" s="60"/>
      <c r="F726" s="60"/>
      <c r="G726" s="60"/>
      <c r="H726" s="60"/>
      <c r="I726" s="60"/>
      <c r="J726" s="60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60"/>
      <c r="B727" s="60"/>
      <c r="C727" s="60"/>
      <c r="D727" s="8"/>
      <c r="E727" s="60"/>
      <c r="F727" s="60"/>
      <c r="G727" s="60"/>
      <c r="H727" s="60"/>
      <c r="I727" s="60"/>
      <c r="J727" s="60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60"/>
      <c r="B728" s="60"/>
      <c r="C728" s="60"/>
      <c r="D728" s="8"/>
      <c r="E728" s="60"/>
      <c r="F728" s="60"/>
      <c r="G728" s="60"/>
      <c r="H728" s="60"/>
      <c r="I728" s="60"/>
      <c r="J728" s="60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60"/>
      <c r="B729" s="60"/>
      <c r="C729" s="60"/>
      <c r="D729" s="8"/>
      <c r="E729" s="60"/>
      <c r="F729" s="60"/>
      <c r="G729" s="60"/>
      <c r="H729" s="60"/>
      <c r="I729" s="60"/>
      <c r="J729" s="60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60"/>
      <c r="B730" s="60"/>
      <c r="C730" s="60"/>
      <c r="D730" s="8"/>
      <c r="E730" s="60"/>
      <c r="F730" s="60"/>
      <c r="G730" s="60"/>
      <c r="H730" s="60"/>
      <c r="I730" s="60"/>
      <c r="J730" s="60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60"/>
      <c r="B731" s="60"/>
      <c r="C731" s="60"/>
      <c r="D731" s="8"/>
      <c r="E731" s="60"/>
      <c r="F731" s="60"/>
      <c r="G731" s="60"/>
      <c r="H731" s="60"/>
      <c r="I731" s="60"/>
      <c r="J731" s="60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60"/>
      <c r="B732" s="60"/>
      <c r="C732" s="60"/>
      <c r="D732" s="8"/>
      <c r="E732" s="60"/>
      <c r="F732" s="60"/>
      <c r="G732" s="60"/>
      <c r="H732" s="60"/>
      <c r="I732" s="60"/>
      <c r="J732" s="60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60"/>
      <c r="B733" s="60"/>
      <c r="C733" s="60"/>
      <c r="D733" s="8"/>
      <c r="E733" s="60"/>
      <c r="F733" s="60"/>
      <c r="G733" s="60"/>
      <c r="H733" s="60"/>
      <c r="I733" s="60"/>
      <c r="J733" s="60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60"/>
      <c r="B734" s="60"/>
      <c r="C734" s="60"/>
      <c r="D734" s="8"/>
      <c r="E734" s="60"/>
      <c r="F734" s="60"/>
      <c r="G734" s="60"/>
      <c r="H734" s="60"/>
      <c r="I734" s="60"/>
      <c r="J734" s="60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60"/>
      <c r="B735" s="60"/>
      <c r="C735" s="60"/>
      <c r="D735" s="8"/>
      <c r="E735" s="60"/>
      <c r="F735" s="60"/>
      <c r="G735" s="60"/>
      <c r="H735" s="60"/>
      <c r="I735" s="60"/>
      <c r="J735" s="60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60"/>
      <c r="B736" s="60"/>
      <c r="C736" s="60"/>
      <c r="D736" s="8"/>
      <c r="E736" s="60"/>
      <c r="F736" s="60"/>
      <c r="G736" s="60"/>
      <c r="H736" s="60"/>
      <c r="I736" s="60"/>
      <c r="J736" s="60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60"/>
      <c r="B737" s="60"/>
      <c r="C737" s="60"/>
      <c r="D737" s="8"/>
      <c r="E737" s="60"/>
      <c r="F737" s="60"/>
      <c r="G737" s="60"/>
      <c r="H737" s="60"/>
      <c r="I737" s="60"/>
      <c r="J737" s="60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60"/>
      <c r="B738" s="60"/>
      <c r="C738" s="60"/>
      <c r="D738" s="8"/>
      <c r="E738" s="60"/>
      <c r="F738" s="60"/>
      <c r="G738" s="60"/>
      <c r="H738" s="60"/>
      <c r="I738" s="60"/>
      <c r="J738" s="60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60"/>
      <c r="B739" s="60"/>
      <c r="C739" s="60"/>
      <c r="D739" s="8"/>
      <c r="E739" s="60"/>
      <c r="F739" s="60"/>
      <c r="G739" s="60"/>
      <c r="H739" s="60"/>
      <c r="I739" s="60"/>
      <c r="J739" s="60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60"/>
      <c r="B740" s="60"/>
      <c r="C740" s="60"/>
      <c r="D740" s="8"/>
      <c r="E740" s="60"/>
      <c r="F740" s="60"/>
      <c r="G740" s="60"/>
      <c r="H740" s="60"/>
      <c r="I740" s="60"/>
      <c r="J740" s="60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60"/>
      <c r="B741" s="60"/>
      <c r="C741" s="60"/>
      <c r="D741" s="8"/>
      <c r="E741" s="60"/>
      <c r="F741" s="60"/>
      <c r="G741" s="60"/>
      <c r="H741" s="60"/>
      <c r="I741" s="60"/>
      <c r="J741" s="60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60"/>
      <c r="B742" s="60"/>
      <c r="C742" s="60"/>
      <c r="D742" s="8"/>
      <c r="E742" s="60"/>
      <c r="F742" s="60"/>
      <c r="G742" s="60"/>
      <c r="H742" s="60"/>
      <c r="I742" s="60"/>
      <c r="J742" s="60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60"/>
      <c r="B743" s="60"/>
      <c r="C743" s="60"/>
      <c r="D743" s="8"/>
      <c r="E743" s="60"/>
      <c r="F743" s="60"/>
      <c r="G743" s="60"/>
      <c r="H743" s="60"/>
      <c r="I743" s="60"/>
      <c r="J743" s="60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60"/>
      <c r="B744" s="60"/>
      <c r="C744" s="60"/>
      <c r="D744" s="8"/>
      <c r="E744" s="60"/>
      <c r="F744" s="60"/>
      <c r="G744" s="60"/>
      <c r="H744" s="60"/>
      <c r="I744" s="60"/>
      <c r="J744" s="60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60"/>
      <c r="B745" s="60"/>
      <c r="C745" s="60"/>
      <c r="D745" s="8"/>
      <c r="E745" s="60"/>
      <c r="F745" s="60"/>
      <c r="G745" s="60"/>
      <c r="H745" s="60"/>
      <c r="I745" s="60"/>
      <c r="J745" s="60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60"/>
      <c r="B746" s="60"/>
      <c r="C746" s="60"/>
      <c r="D746" s="8"/>
      <c r="E746" s="60"/>
      <c r="F746" s="60"/>
      <c r="G746" s="60"/>
      <c r="H746" s="60"/>
      <c r="I746" s="60"/>
      <c r="J746" s="60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60"/>
      <c r="B747" s="60"/>
      <c r="C747" s="60"/>
      <c r="D747" s="8"/>
      <c r="E747" s="60"/>
      <c r="F747" s="60"/>
      <c r="G747" s="60"/>
      <c r="H747" s="60"/>
      <c r="I747" s="60"/>
      <c r="J747" s="60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60"/>
      <c r="B748" s="60"/>
      <c r="C748" s="60"/>
      <c r="D748" s="8"/>
      <c r="E748" s="60"/>
      <c r="F748" s="60"/>
      <c r="G748" s="60"/>
      <c r="H748" s="60"/>
      <c r="I748" s="60"/>
      <c r="J748" s="60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60"/>
      <c r="B749" s="60"/>
      <c r="C749" s="60"/>
      <c r="D749" s="8"/>
      <c r="E749" s="60"/>
      <c r="F749" s="60"/>
      <c r="G749" s="60"/>
      <c r="H749" s="60"/>
      <c r="I749" s="60"/>
      <c r="J749" s="60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60"/>
      <c r="B750" s="60"/>
      <c r="C750" s="60"/>
      <c r="D750" s="8"/>
      <c r="E750" s="60"/>
      <c r="F750" s="60"/>
      <c r="G750" s="60"/>
      <c r="H750" s="60"/>
      <c r="I750" s="60"/>
      <c r="J750" s="60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60"/>
      <c r="B751" s="60"/>
      <c r="C751" s="60"/>
      <c r="D751" s="8"/>
      <c r="E751" s="60"/>
      <c r="F751" s="60"/>
      <c r="G751" s="60"/>
      <c r="H751" s="60"/>
      <c r="I751" s="60"/>
      <c r="J751" s="60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60"/>
      <c r="B752" s="60"/>
      <c r="C752" s="60"/>
      <c r="D752" s="8"/>
      <c r="E752" s="60"/>
      <c r="F752" s="60"/>
      <c r="G752" s="60"/>
      <c r="H752" s="60"/>
      <c r="I752" s="60"/>
      <c r="J752" s="60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60"/>
      <c r="B753" s="60"/>
      <c r="C753" s="60"/>
      <c r="D753" s="8"/>
      <c r="E753" s="60"/>
      <c r="F753" s="60"/>
      <c r="G753" s="60"/>
      <c r="H753" s="60"/>
      <c r="I753" s="60"/>
      <c r="J753" s="60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60"/>
      <c r="B754" s="60"/>
      <c r="C754" s="60"/>
      <c r="D754" s="8"/>
      <c r="E754" s="60"/>
      <c r="F754" s="60"/>
      <c r="G754" s="60"/>
      <c r="H754" s="60"/>
      <c r="I754" s="60"/>
      <c r="J754" s="60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60"/>
      <c r="B755" s="60"/>
      <c r="C755" s="60"/>
      <c r="D755" s="8"/>
      <c r="E755" s="60"/>
      <c r="F755" s="60"/>
      <c r="G755" s="60"/>
      <c r="H755" s="60"/>
      <c r="I755" s="60"/>
      <c r="J755" s="60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60"/>
      <c r="B756" s="60"/>
      <c r="C756" s="60"/>
      <c r="D756" s="8"/>
      <c r="E756" s="60"/>
      <c r="F756" s="60"/>
      <c r="G756" s="60"/>
      <c r="H756" s="60"/>
      <c r="I756" s="60"/>
      <c r="J756" s="60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60"/>
      <c r="B757" s="60"/>
      <c r="C757" s="60"/>
      <c r="D757" s="8"/>
      <c r="E757" s="60"/>
      <c r="F757" s="60"/>
      <c r="G757" s="60"/>
      <c r="H757" s="60"/>
      <c r="I757" s="60"/>
      <c r="J757" s="60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60"/>
      <c r="B758" s="60"/>
      <c r="C758" s="60"/>
      <c r="D758" s="8"/>
      <c r="E758" s="60"/>
      <c r="F758" s="60"/>
      <c r="G758" s="60"/>
      <c r="H758" s="60"/>
      <c r="I758" s="60"/>
      <c r="J758" s="60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60"/>
      <c r="B759" s="60"/>
      <c r="C759" s="60"/>
      <c r="D759" s="8"/>
      <c r="E759" s="60"/>
      <c r="F759" s="60"/>
      <c r="G759" s="60"/>
      <c r="H759" s="60"/>
      <c r="I759" s="60"/>
      <c r="J759" s="60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60"/>
      <c r="B760" s="60"/>
      <c r="C760" s="60"/>
      <c r="D760" s="8"/>
      <c r="E760" s="60"/>
      <c r="F760" s="60"/>
      <c r="G760" s="60"/>
      <c r="H760" s="60"/>
      <c r="I760" s="60"/>
      <c r="J760" s="60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60"/>
      <c r="B761" s="60"/>
      <c r="C761" s="60"/>
      <c r="D761" s="8"/>
      <c r="E761" s="60"/>
      <c r="F761" s="60"/>
      <c r="G761" s="60"/>
      <c r="H761" s="60"/>
      <c r="I761" s="60"/>
      <c r="J761" s="60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60"/>
      <c r="B762" s="60"/>
      <c r="C762" s="60"/>
      <c r="D762" s="8"/>
      <c r="E762" s="60"/>
      <c r="F762" s="60"/>
      <c r="G762" s="60"/>
      <c r="H762" s="60"/>
      <c r="I762" s="60"/>
      <c r="J762" s="60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60"/>
      <c r="B763" s="60"/>
      <c r="C763" s="60"/>
      <c r="D763" s="8"/>
      <c r="E763" s="60"/>
      <c r="F763" s="60"/>
      <c r="G763" s="60"/>
      <c r="H763" s="60"/>
      <c r="I763" s="60"/>
      <c r="J763" s="60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60"/>
      <c r="B764" s="60"/>
      <c r="C764" s="60"/>
      <c r="D764" s="8"/>
      <c r="E764" s="60"/>
      <c r="F764" s="60"/>
      <c r="G764" s="60"/>
      <c r="H764" s="60"/>
      <c r="I764" s="60"/>
      <c r="J764" s="60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60"/>
      <c r="B765" s="60"/>
      <c r="C765" s="60"/>
      <c r="D765" s="8"/>
      <c r="E765" s="60"/>
      <c r="F765" s="60"/>
      <c r="G765" s="60"/>
      <c r="H765" s="60"/>
      <c r="I765" s="60"/>
      <c r="J765" s="60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60"/>
      <c r="B766" s="60"/>
      <c r="C766" s="60"/>
      <c r="D766" s="8"/>
      <c r="E766" s="60"/>
      <c r="F766" s="60"/>
      <c r="G766" s="60"/>
      <c r="H766" s="60"/>
      <c r="I766" s="60"/>
      <c r="J766" s="60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60"/>
      <c r="B767" s="60"/>
      <c r="C767" s="60"/>
      <c r="D767" s="8"/>
      <c r="E767" s="60"/>
      <c r="F767" s="60"/>
      <c r="G767" s="60"/>
      <c r="H767" s="60"/>
      <c r="I767" s="60"/>
      <c r="J767" s="60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60"/>
      <c r="B768" s="60"/>
      <c r="C768" s="60"/>
      <c r="D768" s="8"/>
      <c r="E768" s="60"/>
      <c r="F768" s="60"/>
      <c r="G768" s="60"/>
      <c r="H768" s="60"/>
      <c r="I768" s="60"/>
      <c r="J768" s="60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60"/>
      <c r="B769" s="60"/>
      <c r="C769" s="60"/>
      <c r="D769" s="8"/>
      <c r="E769" s="60"/>
      <c r="F769" s="60"/>
      <c r="G769" s="60"/>
      <c r="H769" s="60"/>
      <c r="I769" s="60"/>
      <c r="J769" s="60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60"/>
      <c r="B770" s="60"/>
      <c r="C770" s="60"/>
      <c r="D770" s="8"/>
      <c r="E770" s="60"/>
      <c r="F770" s="60"/>
      <c r="G770" s="60"/>
      <c r="H770" s="60"/>
      <c r="I770" s="60"/>
      <c r="J770" s="60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60"/>
      <c r="B771" s="60"/>
      <c r="C771" s="60"/>
      <c r="D771" s="8"/>
      <c r="E771" s="60"/>
      <c r="F771" s="60"/>
      <c r="G771" s="60"/>
      <c r="H771" s="60"/>
      <c r="I771" s="60"/>
      <c r="J771" s="60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60"/>
      <c r="B772" s="60"/>
      <c r="C772" s="60"/>
      <c r="D772" s="8"/>
      <c r="E772" s="60"/>
      <c r="F772" s="60"/>
      <c r="G772" s="60"/>
      <c r="H772" s="60"/>
      <c r="I772" s="60"/>
      <c r="J772" s="60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60"/>
      <c r="B773" s="60"/>
      <c r="C773" s="60"/>
      <c r="D773" s="8"/>
      <c r="E773" s="60"/>
      <c r="F773" s="60"/>
      <c r="G773" s="60"/>
      <c r="H773" s="60"/>
      <c r="I773" s="60"/>
      <c r="J773" s="60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60"/>
      <c r="B774" s="60"/>
      <c r="C774" s="60"/>
      <c r="D774" s="8"/>
      <c r="E774" s="60"/>
      <c r="F774" s="60"/>
      <c r="G774" s="60"/>
      <c r="H774" s="60"/>
      <c r="I774" s="60"/>
      <c r="J774" s="60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60"/>
      <c r="B775" s="60"/>
      <c r="C775" s="60"/>
      <c r="D775" s="8"/>
      <c r="E775" s="60"/>
      <c r="F775" s="60"/>
      <c r="G775" s="60"/>
      <c r="H775" s="60"/>
      <c r="I775" s="60"/>
      <c r="J775" s="60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60"/>
      <c r="B776" s="60"/>
      <c r="C776" s="60"/>
      <c r="D776" s="8"/>
      <c r="E776" s="60"/>
      <c r="F776" s="60"/>
      <c r="G776" s="60"/>
      <c r="H776" s="60"/>
      <c r="I776" s="60"/>
      <c r="J776" s="60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60"/>
      <c r="B777" s="60"/>
      <c r="C777" s="60"/>
      <c r="D777" s="8"/>
      <c r="E777" s="60"/>
      <c r="F777" s="60"/>
      <c r="G777" s="60"/>
      <c r="H777" s="60"/>
      <c r="I777" s="60"/>
      <c r="J777" s="60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60"/>
      <c r="B778" s="60"/>
      <c r="C778" s="60"/>
      <c r="D778" s="8"/>
      <c r="E778" s="60"/>
      <c r="F778" s="60"/>
      <c r="G778" s="60"/>
      <c r="H778" s="60"/>
      <c r="I778" s="60"/>
      <c r="J778" s="60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60"/>
      <c r="B779" s="60"/>
      <c r="C779" s="60"/>
      <c r="D779" s="8"/>
      <c r="E779" s="60"/>
      <c r="F779" s="60"/>
      <c r="G779" s="60"/>
      <c r="H779" s="60"/>
      <c r="I779" s="60"/>
      <c r="J779" s="60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60"/>
      <c r="B780" s="60"/>
      <c r="C780" s="60"/>
      <c r="D780" s="8"/>
      <c r="E780" s="60"/>
      <c r="F780" s="60"/>
      <c r="G780" s="60"/>
      <c r="H780" s="60"/>
      <c r="I780" s="60"/>
      <c r="J780" s="60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60"/>
      <c r="B781" s="60"/>
      <c r="C781" s="60"/>
      <c r="D781" s="8"/>
      <c r="E781" s="60"/>
      <c r="F781" s="60"/>
      <c r="G781" s="60"/>
      <c r="H781" s="60"/>
      <c r="I781" s="60"/>
      <c r="J781" s="60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60"/>
      <c r="B782" s="60"/>
      <c r="C782" s="60"/>
      <c r="D782" s="8"/>
      <c r="E782" s="60"/>
      <c r="F782" s="60"/>
      <c r="G782" s="60"/>
      <c r="H782" s="60"/>
      <c r="I782" s="60"/>
      <c r="J782" s="60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60"/>
      <c r="B783" s="60"/>
      <c r="C783" s="60"/>
      <c r="D783" s="8"/>
      <c r="E783" s="60"/>
      <c r="F783" s="60"/>
      <c r="G783" s="60"/>
      <c r="H783" s="60"/>
      <c r="I783" s="60"/>
      <c r="J783" s="60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60"/>
      <c r="B784" s="60"/>
      <c r="C784" s="60"/>
      <c r="D784" s="8"/>
      <c r="E784" s="60"/>
      <c r="F784" s="60"/>
      <c r="G784" s="60"/>
      <c r="H784" s="60"/>
      <c r="I784" s="60"/>
      <c r="J784" s="60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60"/>
      <c r="B785" s="60"/>
      <c r="C785" s="60"/>
      <c r="D785" s="8"/>
      <c r="E785" s="60"/>
      <c r="F785" s="60"/>
      <c r="G785" s="60"/>
      <c r="H785" s="60"/>
      <c r="I785" s="60"/>
      <c r="J785" s="60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60"/>
      <c r="B786" s="60"/>
      <c r="C786" s="60"/>
      <c r="D786" s="8"/>
      <c r="E786" s="60"/>
      <c r="F786" s="60"/>
      <c r="G786" s="60"/>
      <c r="H786" s="60"/>
      <c r="I786" s="60"/>
      <c r="J786" s="60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60"/>
      <c r="B787" s="60"/>
      <c r="C787" s="60"/>
      <c r="D787" s="8"/>
      <c r="E787" s="60"/>
      <c r="F787" s="60"/>
      <c r="G787" s="60"/>
      <c r="H787" s="60"/>
      <c r="I787" s="60"/>
      <c r="J787" s="60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60"/>
      <c r="B788" s="60"/>
      <c r="C788" s="60"/>
      <c r="D788" s="8"/>
      <c r="E788" s="60"/>
      <c r="F788" s="60"/>
      <c r="G788" s="60"/>
      <c r="H788" s="60"/>
      <c r="I788" s="60"/>
      <c r="J788" s="60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60"/>
      <c r="B789" s="60"/>
      <c r="C789" s="60"/>
      <c r="D789" s="8"/>
      <c r="E789" s="60"/>
      <c r="F789" s="60"/>
      <c r="G789" s="60"/>
      <c r="H789" s="60"/>
      <c r="I789" s="60"/>
      <c r="J789" s="60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60"/>
      <c r="B790" s="60"/>
      <c r="C790" s="60"/>
      <c r="D790" s="8"/>
      <c r="E790" s="60"/>
      <c r="F790" s="60"/>
      <c r="G790" s="60"/>
      <c r="H790" s="60"/>
      <c r="I790" s="60"/>
      <c r="J790" s="60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60"/>
      <c r="B791" s="60"/>
      <c r="C791" s="60"/>
      <c r="D791" s="8"/>
      <c r="E791" s="60"/>
      <c r="F791" s="60"/>
      <c r="G791" s="60"/>
      <c r="H791" s="60"/>
      <c r="I791" s="60"/>
      <c r="J791" s="60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60"/>
      <c r="B792" s="60"/>
      <c r="C792" s="60"/>
      <c r="D792" s="8"/>
      <c r="E792" s="60"/>
      <c r="F792" s="60"/>
      <c r="G792" s="60"/>
      <c r="H792" s="60"/>
      <c r="I792" s="60"/>
      <c r="J792" s="60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60"/>
      <c r="B793" s="60"/>
      <c r="C793" s="60"/>
      <c r="D793" s="8"/>
      <c r="E793" s="60"/>
      <c r="F793" s="60"/>
      <c r="G793" s="60"/>
      <c r="H793" s="60"/>
      <c r="I793" s="60"/>
      <c r="J793" s="60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60"/>
      <c r="B794" s="60"/>
      <c r="C794" s="60"/>
      <c r="D794" s="8"/>
      <c r="E794" s="60"/>
      <c r="F794" s="60"/>
      <c r="G794" s="60"/>
      <c r="H794" s="60"/>
      <c r="I794" s="60"/>
      <c r="J794" s="60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60"/>
      <c r="B795" s="60"/>
      <c r="C795" s="60"/>
      <c r="D795" s="8"/>
      <c r="E795" s="60"/>
      <c r="F795" s="60"/>
      <c r="G795" s="60"/>
      <c r="H795" s="60"/>
      <c r="I795" s="60"/>
      <c r="J795" s="60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60"/>
      <c r="B796" s="60"/>
      <c r="C796" s="60"/>
      <c r="D796" s="8"/>
      <c r="E796" s="60"/>
      <c r="F796" s="60"/>
      <c r="G796" s="60"/>
      <c r="H796" s="60"/>
      <c r="I796" s="60"/>
      <c r="J796" s="60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60"/>
      <c r="B797" s="60"/>
      <c r="C797" s="60"/>
      <c r="D797" s="8"/>
      <c r="E797" s="60"/>
      <c r="F797" s="60"/>
      <c r="G797" s="60"/>
      <c r="H797" s="60"/>
      <c r="I797" s="60"/>
      <c r="J797" s="60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60"/>
      <c r="B798" s="60"/>
      <c r="C798" s="60"/>
      <c r="D798" s="8"/>
      <c r="E798" s="60"/>
      <c r="F798" s="60"/>
      <c r="G798" s="60"/>
      <c r="H798" s="60"/>
      <c r="I798" s="60"/>
      <c r="J798" s="60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60"/>
      <c r="B799" s="60"/>
      <c r="C799" s="60"/>
      <c r="D799" s="8"/>
      <c r="E799" s="60"/>
      <c r="F799" s="60"/>
      <c r="G799" s="60"/>
      <c r="H799" s="60"/>
      <c r="I799" s="60"/>
      <c r="J799" s="60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60"/>
      <c r="B800" s="60"/>
      <c r="C800" s="60"/>
      <c r="D800" s="8"/>
      <c r="E800" s="60"/>
      <c r="F800" s="60"/>
      <c r="G800" s="60"/>
      <c r="H800" s="60"/>
      <c r="I800" s="60"/>
      <c r="J800" s="60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60"/>
      <c r="B801" s="60"/>
      <c r="C801" s="60"/>
      <c r="D801" s="8"/>
      <c r="E801" s="60"/>
      <c r="F801" s="60"/>
      <c r="G801" s="60"/>
      <c r="H801" s="60"/>
      <c r="I801" s="60"/>
      <c r="J801" s="60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60"/>
      <c r="B802" s="60"/>
      <c r="C802" s="60"/>
      <c r="D802" s="8"/>
      <c r="E802" s="60"/>
      <c r="F802" s="60"/>
      <c r="G802" s="60"/>
      <c r="H802" s="60"/>
      <c r="I802" s="60"/>
      <c r="J802" s="60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60"/>
      <c r="B803" s="60"/>
      <c r="C803" s="60"/>
      <c r="D803" s="8"/>
      <c r="E803" s="60"/>
      <c r="F803" s="60"/>
      <c r="G803" s="60"/>
      <c r="H803" s="60"/>
      <c r="I803" s="60"/>
      <c r="J803" s="60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60"/>
      <c r="B804" s="60"/>
      <c r="C804" s="60"/>
      <c r="D804" s="8"/>
      <c r="E804" s="60"/>
      <c r="F804" s="60"/>
      <c r="G804" s="60"/>
      <c r="H804" s="60"/>
      <c r="I804" s="60"/>
      <c r="J804" s="60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60"/>
      <c r="B805" s="60"/>
      <c r="C805" s="60"/>
      <c r="D805" s="8"/>
      <c r="E805" s="60"/>
      <c r="F805" s="60"/>
      <c r="G805" s="60"/>
      <c r="H805" s="60"/>
      <c r="I805" s="60"/>
      <c r="J805" s="60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60"/>
      <c r="B806" s="60"/>
      <c r="C806" s="60"/>
      <c r="D806" s="8"/>
      <c r="E806" s="60"/>
      <c r="F806" s="60"/>
      <c r="G806" s="60"/>
      <c r="H806" s="60"/>
      <c r="I806" s="60"/>
      <c r="J806" s="60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60"/>
      <c r="B807" s="60"/>
      <c r="C807" s="60"/>
      <c r="D807" s="8"/>
      <c r="E807" s="60"/>
      <c r="F807" s="60"/>
      <c r="G807" s="60"/>
      <c r="H807" s="60"/>
      <c r="I807" s="60"/>
      <c r="J807" s="60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60"/>
      <c r="B808" s="60"/>
      <c r="C808" s="60"/>
      <c r="D808" s="8"/>
      <c r="E808" s="60"/>
      <c r="F808" s="60"/>
      <c r="G808" s="60"/>
      <c r="H808" s="60"/>
      <c r="I808" s="60"/>
      <c r="J808" s="60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60"/>
      <c r="B809" s="60"/>
      <c r="C809" s="60"/>
      <c r="D809" s="8"/>
      <c r="E809" s="60"/>
      <c r="F809" s="60"/>
      <c r="G809" s="60"/>
      <c r="H809" s="60"/>
      <c r="I809" s="60"/>
      <c r="J809" s="60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60"/>
      <c r="B810" s="60"/>
      <c r="C810" s="60"/>
      <c r="D810" s="8"/>
      <c r="E810" s="60"/>
      <c r="F810" s="60"/>
      <c r="G810" s="60"/>
      <c r="H810" s="60"/>
      <c r="I810" s="60"/>
      <c r="J810" s="60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60"/>
      <c r="B811" s="60"/>
      <c r="C811" s="60"/>
      <c r="D811" s="8"/>
      <c r="E811" s="60"/>
      <c r="F811" s="60"/>
      <c r="G811" s="60"/>
      <c r="H811" s="60"/>
      <c r="I811" s="60"/>
      <c r="J811" s="60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60"/>
      <c r="B812" s="60"/>
      <c r="C812" s="60"/>
      <c r="D812" s="8"/>
      <c r="E812" s="60"/>
      <c r="F812" s="60"/>
      <c r="G812" s="60"/>
      <c r="H812" s="60"/>
      <c r="I812" s="60"/>
      <c r="J812" s="60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60"/>
      <c r="B813" s="60"/>
      <c r="C813" s="60"/>
      <c r="D813" s="8"/>
      <c r="E813" s="60"/>
      <c r="F813" s="60"/>
      <c r="G813" s="60"/>
      <c r="H813" s="60"/>
      <c r="I813" s="60"/>
      <c r="J813" s="60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60"/>
      <c r="B814" s="60"/>
      <c r="C814" s="60"/>
      <c r="D814" s="8"/>
      <c r="E814" s="60"/>
      <c r="F814" s="60"/>
      <c r="G814" s="60"/>
      <c r="H814" s="60"/>
      <c r="I814" s="60"/>
      <c r="J814" s="60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60"/>
      <c r="B815" s="60"/>
      <c r="C815" s="60"/>
      <c r="D815" s="8"/>
      <c r="E815" s="60"/>
      <c r="F815" s="60"/>
      <c r="G815" s="60"/>
      <c r="H815" s="60"/>
      <c r="I815" s="60"/>
      <c r="J815" s="60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60"/>
      <c r="B816" s="60"/>
      <c r="C816" s="60"/>
      <c r="D816" s="8"/>
      <c r="E816" s="60"/>
      <c r="F816" s="60"/>
      <c r="G816" s="60"/>
      <c r="H816" s="60"/>
      <c r="I816" s="60"/>
      <c r="J816" s="60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60"/>
      <c r="B817" s="60"/>
      <c r="C817" s="60"/>
      <c r="D817" s="8"/>
      <c r="E817" s="60"/>
      <c r="F817" s="60"/>
      <c r="G817" s="60"/>
      <c r="H817" s="60"/>
      <c r="I817" s="60"/>
      <c r="J817" s="60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60"/>
      <c r="B818" s="60"/>
      <c r="C818" s="60"/>
      <c r="D818" s="8"/>
      <c r="E818" s="60"/>
      <c r="F818" s="60"/>
      <c r="G818" s="60"/>
      <c r="H818" s="60"/>
      <c r="I818" s="60"/>
      <c r="J818" s="60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60"/>
      <c r="B819" s="60"/>
      <c r="C819" s="60"/>
      <c r="D819" s="8"/>
      <c r="E819" s="60"/>
      <c r="F819" s="60"/>
      <c r="G819" s="60"/>
      <c r="H819" s="60"/>
      <c r="I819" s="60"/>
      <c r="J819" s="60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60"/>
      <c r="B820" s="60"/>
      <c r="C820" s="60"/>
      <c r="D820" s="8"/>
      <c r="E820" s="60"/>
      <c r="F820" s="60"/>
      <c r="G820" s="60"/>
      <c r="H820" s="60"/>
      <c r="I820" s="60"/>
      <c r="J820" s="60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60"/>
      <c r="B821" s="60"/>
      <c r="C821" s="60"/>
      <c r="D821" s="8"/>
      <c r="E821" s="60"/>
      <c r="F821" s="60"/>
      <c r="G821" s="60"/>
      <c r="H821" s="60"/>
      <c r="I821" s="60"/>
      <c r="J821" s="60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60"/>
      <c r="B822" s="60"/>
      <c r="C822" s="60"/>
      <c r="D822" s="8"/>
      <c r="E822" s="60"/>
      <c r="F822" s="60"/>
      <c r="G822" s="60"/>
      <c r="H822" s="60"/>
      <c r="I822" s="60"/>
      <c r="J822" s="60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60"/>
      <c r="B823" s="60"/>
      <c r="C823" s="60"/>
      <c r="D823" s="8"/>
      <c r="E823" s="60"/>
      <c r="F823" s="60"/>
      <c r="G823" s="60"/>
      <c r="H823" s="60"/>
      <c r="I823" s="60"/>
      <c r="J823" s="60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60"/>
      <c r="B824" s="60"/>
      <c r="C824" s="60"/>
      <c r="D824" s="8"/>
      <c r="E824" s="60"/>
      <c r="F824" s="60"/>
      <c r="G824" s="60"/>
      <c r="H824" s="60"/>
      <c r="I824" s="60"/>
      <c r="J824" s="60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60"/>
      <c r="B825" s="60"/>
      <c r="C825" s="60"/>
      <c r="D825" s="8"/>
      <c r="E825" s="60"/>
      <c r="F825" s="60"/>
      <c r="G825" s="60"/>
      <c r="H825" s="60"/>
      <c r="I825" s="60"/>
      <c r="J825" s="60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60"/>
      <c r="B826" s="60"/>
      <c r="C826" s="60"/>
      <c r="D826" s="8"/>
      <c r="E826" s="60"/>
      <c r="F826" s="60"/>
      <c r="G826" s="60"/>
      <c r="H826" s="60"/>
      <c r="I826" s="60"/>
      <c r="J826" s="60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60"/>
      <c r="B827" s="60"/>
      <c r="C827" s="60"/>
      <c r="D827" s="8"/>
      <c r="E827" s="60"/>
      <c r="F827" s="60"/>
      <c r="G827" s="60"/>
      <c r="H827" s="60"/>
      <c r="I827" s="60"/>
      <c r="J827" s="60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60"/>
      <c r="B828" s="60"/>
      <c r="C828" s="60"/>
      <c r="D828" s="8"/>
      <c r="E828" s="60"/>
      <c r="F828" s="60"/>
      <c r="G828" s="60"/>
      <c r="H828" s="60"/>
      <c r="I828" s="60"/>
      <c r="J828" s="60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60"/>
      <c r="B829" s="60"/>
      <c r="C829" s="60"/>
      <c r="D829" s="8"/>
      <c r="E829" s="60"/>
      <c r="F829" s="60"/>
      <c r="G829" s="60"/>
      <c r="H829" s="60"/>
      <c r="I829" s="60"/>
      <c r="J829" s="60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60"/>
      <c r="B830" s="60"/>
      <c r="C830" s="60"/>
      <c r="D830" s="8"/>
      <c r="E830" s="60"/>
      <c r="F830" s="60"/>
      <c r="G830" s="60"/>
      <c r="H830" s="60"/>
      <c r="I830" s="60"/>
      <c r="J830" s="60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60"/>
      <c r="B831" s="60"/>
      <c r="C831" s="60"/>
      <c r="D831" s="8"/>
      <c r="E831" s="60"/>
      <c r="F831" s="60"/>
      <c r="G831" s="60"/>
      <c r="H831" s="60"/>
      <c r="I831" s="60"/>
      <c r="J831" s="60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60"/>
      <c r="B832" s="60"/>
      <c r="C832" s="60"/>
      <c r="D832" s="8"/>
      <c r="E832" s="60"/>
      <c r="F832" s="60"/>
      <c r="G832" s="60"/>
      <c r="H832" s="60"/>
      <c r="I832" s="60"/>
      <c r="J832" s="60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60"/>
      <c r="B833" s="60"/>
      <c r="C833" s="60"/>
      <c r="D833" s="8"/>
      <c r="E833" s="60"/>
      <c r="F833" s="60"/>
      <c r="G833" s="60"/>
      <c r="H833" s="60"/>
      <c r="I833" s="60"/>
      <c r="J833" s="60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60"/>
      <c r="B834" s="60"/>
      <c r="C834" s="60"/>
      <c r="D834" s="8"/>
      <c r="E834" s="60"/>
      <c r="F834" s="60"/>
      <c r="G834" s="60"/>
      <c r="H834" s="60"/>
      <c r="I834" s="60"/>
      <c r="J834" s="60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60"/>
      <c r="B835" s="60"/>
      <c r="C835" s="60"/>
      <c r="D835" s="8"/>
      <c r="E835" s="60"/>
      <c r="F835" s="60"/>
      <c r="G835" s="60"/>
      <c r="H835" s="60"/>
      <c r="I835" s="60"/>
      <c r="J835" s="60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60"/>
      <c r="B836" s="60"/>
      <c r="C836" s="60"/>
      <c r="D836" s="8"/>
      <c r="E836" s="60"/>
      <c r="F836" s="60"/>
      <c r="G836" s="60"/>
      <c r="H836" s="60"/>
      <c r="I836" s="60"/>
      <c r="J836" s="60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60"/>
      <c r="B837" s="60"/>
      <c r="C837" s="60"/>
      <c r="D837" s="8"/>
      <c r="E837" s="60"/>
      <c r="F837" s="60"/>
      <c r="G837" s="60"/>
      <c r="H837" s="60"/>
      <c r="I837" s="60"/>
      <c r="J837" s="60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60"/>
      <c r="B838" s="60"/>
      <c r="C838" s="60"/>
      <c r="D838" s="8"/>
      <c r="E838" s="60"/>
      <c r="F838" s="60"/>
      <c r="G838" s="60"/>
      <c r="H838" s="60"/>
      <c r="I838" s="60"/>
      <c r="J838" s="60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60"/>
      <c r="B839" s="60"/>
      <c r="C839" s="60"/>
      <c r="D839" s="8"/>
      <c r="E839" s="60"/>
      <c r="F839" s="60"/>
      <c r="G839" s="60"/>
      <c r="H839" s="60"/>
      <c r="I839" s="60"/>
      <c r="J839" s="60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60"/>
      <c r="B840" s="60"/>
      <c r="C840" s="60"/>
      <c r="D840" s="8"/>
      <c r="E840" s="60"/>
      <c r="F840" s="60"/>
      <c r="G840" s="60"/>
      <c r="H840" s="60"/>
      <c r="I840" s="60"/>
      <c r="J840" s="60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60"/>
      <c r="B841" s="60"/>
      <c r="C841" s="60"/>
      <c r="D841" s="8"/>
      <c r="E841" s="60"/>
      <c r="F841" s="60"/>
      <c r="G841" s="60"/>
      <c r="H841" s="60"/>
      <c r="I841" s="60"/>
      <c r="J841" s="60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60"/>
      <c r="B842" s="60"/>
      <c r="C842" s="60"/>
      <c r="D842" s="8"/>
      <c r="E842" s="60"/>
      <c r="F842" s="60"/>
      <c r="G842" s="60"/>
      <c r="H842" s="60"/>
      <c r="I842" s="60"/>
      <c r="J842" s="60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60"/>
      <c r="B843" s="60"/>
      <c r="C843" s="60"/>
      <c r="D843" s="8"/>
      <c r="E843" s="60"/>
      <c r="F843" s="60"/>
      <c r="G843" s="60"/>
      <c r="H843" s="60"/>
      <c r="I843" s="60"/>
      <c r="J843" s="60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60"/>
      <c r="B844" s="60"/>
      <c r="C844" s="60"/>
      <c r="D844" s="8"/>
      <c r="E844" s="60"/>
      <c r="F844" s="60"/>
      <c r="G844" s="60"/>
      <c r="H844" s="60"/>
      <c r="I844" s="60"/>
      <c r="J844" s="60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60"/>
      <c r="B845" s="60"/>
      <c r="C845" s="60"/>
      <c r="D845" s="8"/>
      <c r="E845" s="60"/>
      <c r="F845" s="60"/>
      <c r="G845" s="60"/>
      <c r="H845" s="60"/>
      <c r="I845" s="60"/>
      <c r="J845" s="60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60"/>
      <c r="B846" s="60"/>
      <c r="C846" s="60"/>
      <c r="D846" s="8"/>
      <c r="E846" s="60"/>
      <c r="F846" s="60"/>
      <c r="G846" s="60"/>
      <c r="H846" s="60"/>
      <c r="I846" s="60"/>
      <c r="J846" s="60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60"/>
      <c r="B847" s="60"/>
      <c r="C847" s="60"/>
      <c r="D847" s="8"/>
      <c r="E847" s="60"/>
      <c r="F847" s="60"/>
      <c r="G847" s="60"/>
      <c r="H847" s="60"/>
      <c r="I847" s="60"/>
      <c r="J847" s="60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60"/>
      <c r="B848" s="60"/>
      <c r="C848" s="60"/>
      <c r="D848" s="8"/>
      <c r="E848" s="60"/>
      <c r="F848" s="60"/>
      <c r="G848" s="60"/>
      <c r="H848" s="60"/>
      <c r="I848" s="60"/>
      <c r="J848" s="60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60"/>
      <c r="B849" s="60"/>
      <c r="C849" s="60"/>
      <c r="D849" s="8"/>
      <c r="E849" s="60"/>
      <c r="F849" s="60"/>
      <c r="G849" s="60"/>
      <c r="H849" s="60"/>
      <c r="I849" s="60"/>
      <c r="J849" s="60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60"/>
      <c r="B850" s="60"/>
      <c r="C850" s="60"/>
      <c r="D850" s="8"/>
      <c r="E850" s="60"/>
      <c r="F850" s="60"/>
      <c r="G850" s="60"/>
      <c r="H850" s="60"/>
      <c r="I850" s="60"/>
      <c r="J850" s="60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60"/>
      <c r="B851" s="60"/>
      <c r="C851" s="60"/>
      <c r="D851" s="8"/>
      <c r="E851" s="60"/>
      <c r="F851" s="60"/>
      <c r="G851" s="60"/>
      <c r="H851" s="60"/>
      <c r="I851" s="60"/>
      <c r="J851" s="60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60"/>
      <c r="B852" s="60"/>
      <c r="C852" s="60"/>
      <c r="D852" s="8"/>
      <c r="E852" s="60"/>
      <c r="F852" s="60"/>
      <c r="G852" s="60"/>
      <c r="H852" s="60"/>
      <c r="I852" s="60"/>
      <c r="J852" s="60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60"/>
      <c r="B853" s="60"/>
      <c r="C853" s="60"/>
      <c r="D853" s="8"/>
      <c r="E853" s="60"/>
      <c r="F853" s="60"/>
      <c r="G853" s="60"/>
      <c r="H853" s="60"/>
      <c r="I853" s="60"/>
      <c r="J853" s="60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60"/>
      <c r="B854" s="60"/>
      <c r="C854" s="60"/>
      <c r="D854" s="8"/>
      <c r="E854" s="60"/>
      <c r="F854" s="60"/>
      <c r="G854" s="60"/>
      <c r="H854" s="60"/>
      <c r="I854" s="60"/>
      <c r="J854" s="60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60"/>
      <c r="B855" s="60"/>
      <c r="C855" s="60"/>
      <c r="D855" s="8"/>
      <c r="E855" s="60"/>
      <c r="F855" s="60"/>
      <c r="G855" s="60"/>
      <c r="H855" s="60"/>
      <c r="I855" s="60"/>
      <c r="J855" s="60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60"/>
      <c r="B856" s="60"/>
      <c r="C856" s="60"/>
      <c r="D856" s="8"/>
      <c r="E856" s="60"/>
      <c r="F856" s="60"/>
      <c r="G856" s="60"/>
      <c r="H856" s="60"/>
      <c r="I856" s="60"/>
      <c r="J856" s="60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60"/>
      <c r="B857" s="60"/>
      <c r="C857" s="60"/>
      <c r="D857" s="8"/>
      <c r="E857" s="60"/>
      <c r="F857" s="60"/>
      <c r="G857" s="60"/>
      <c r="H857" s="60"/>
      <c r="I857" s="60"/>
      <c r="J857" s="60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60"/>
      <c r="B858" s="60"/>
      <c r="C858" s="60"/>
      <c r="D858" s="8"/>
      <c r="E858" s="60"/>
      <c r="F858" s="60"/>
      <c r="G858" s="60"/>
      <c r="H858" s="60"/>
      <c r="I858" s="60"/>
      <c r="J858" s="60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60"/>
      <c r="B859" s="60"/>
      <c r="C859" s="60"/>
      <c r="D859" s="8"/>
      <c r="E859" s="60"/>
      <c r="F859" s="60"/>
      <c r="G859" s="60"/>
      <c r="H859" s="60"/>
      <c r="I859" s="60"/>
      <c r="J859" s="60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60"/>
      <c r="B860" s="60"/>
      <c r="C860" s="60"/>
      <c r="D860" s="8"/>
      <c r="E860" s="60"/>
      <c r="F860" s="60"/>
      <c r="G860" s="60"/>
      <c r="H860" s="60"/>
      <c r="I860" s="60"/>
      <c r="J860" s="60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60"/>
      <c r="B861" s="60"/>
      <c r="C861" s="60"/>
      <c r="D861" s="8"/>
      <c r="E861" s="60"/>
      <c r="F861" s="60"/>
      <c r="G861" s="60"/>
      <c r="H861" s="60"/>
      <c r="I861" s="60"/>
      <c r="J861" s="60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60"/>
      <c r="B862" s="60"/>
      <c r="C862" s="60"/>
      <c r="D862" s="8"/>
      <c r="E862" s="60"/>
      <c r="F862" s="60"/>
      <c r="G862" s="60"/>
      <c r="H862" s="60"/>
      <c r="I862" s="60"/>
      <c r="J862" s="60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60"/>
      <c r="B863" s="60"/>
      <c r="C863" s="60"/>
      <c r="D863" s="8"/>
      <c r="E863" s="60"/>
      <c r="F863" s="60"/>
      <c r="G863" s="60"/>
      <c r="H863" s="60"/>
      <c r="I863" s="60"/>
      <c r="J863" s="60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60"/>
      <c r="B864" s="60"/>
      <c r="C864" s="60"/>
      <c r="D864" s="8"/>
      <c r="E864" s="60"/>
      <c r="F864" s="60"/>
      <c r="G864" s="60"/>
      <c r="H864" s="60"/>
      <c r="I864" s="60"/>
      <c r="J864" s="60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60"/>
      <c r="B865" s="60"/>
      <c r="C865" s="60"/>
      <c r="D865" s="8"/>
      <c r="E865" s="60"/>
      <c r="F865" s="60"/>
      <c r="G865" s="60"/>
      <c r="H865" s="60"/>
      <c r="I865" s="60"/>
      <c r="J865" s="60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60"/>
      <c r="B866" s="60"/>
      <c r="C866" s="60"/>
      <c r="D866" s="8"/>
      <c r="E866" s="60"/>
      <c r="F866" s="60"/>
      <c r="G866" s="60"/>
      <c r="H866" s="60"/>
      <c r="I866" s="60"/>
      <c r="J866" s="60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60"/>
      <c r="B867" s="60"/>
      <c r="C867" s="60"/>
      <c r="D867" s="8"/>
      <c r="E867" s="60"/>
      <c r="F867" s="60"/>
      <c r="G867" s="60"/>
      <c r="H867" s="60"/>
      <c r="I867" s="60"/>
      <c r="J867" s="60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60"/>
      <c r="B868" s="60"/>
      <c r="C868" s="60"/>
      <c r="D868" s="8"/>
      <c r="E868" s="60"/>
      <c r="F868" s="60"/>
      <c r="G868" s="60"/>
      <c r="H868" s="60"/>
      <c r="I868" s="60"/>
      <c r="J868" s="60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60"/>
      <c r="B869" s="60"/>
      <c r="C869" s="60"/>
      <c r="D869" s="8"/>
      <c r="E869" s="60"/>
      <c r="F869" s="60"/>
      <c r="G869" s="60"/>
      <c r="H869" s="60"/>
      <c r="I869" s="60"/>
      <c r="J869" s="60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60"/>
      <c r="B870" s="60"/>
      <c r="C870" s="60"/>
      <c r="D870" s="8"/>
      <c r="E870" s="60"/>
      <c r="F870" s="60"/>
      <c r="G870" s="60"/>
      <c r="H870" s="60"/>
      <c r="I870" s="60"/>
      <c r="J870" s="60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60"/>
      <c r="B871" s="60"/>
      <c r="C871" s="60"/>
      <c r="D871" s="8"/>
      <c r="E871" s="60"/>
      <c r="F871" s="60"/>
      <c r="G871" s="60"/>
      <c r="H871" s="60"/>
      <c r="I871" s="60"/>
      <c r="J871" s="60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60"/>
      <c r="B872" s="60"/>
      <c r="C872" s="60"/>
      <c r="D872" s="8"/>
      <c r="E872" s="60"/>
      <c r="F872" s="60"/>
      <c r="G872" s="60"/>
      <c r="H872" s="60"/>
      <c r="I872" s="60"/>
      <c r="J872" s="60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60"/>
      <c r="B873" s="60"/>
      <c r="C873" s="60"/>
      <c r="D873" s="8"/>
      <c r="E873" s="60"/>
      <c r="F873" s="60"/>
      <c r="G873" s="60"/>
      <c r="H873" s="60"/>
      <c r="I873" s="60"/>
      <c r="J873" s="60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60"/>
      <c r="B874" s="60"/>
      <c r="C874" s="60"/>
      <c r="D874" s="8"/>
      <c r="E874" s="60"/>
      <c r="F874" s="60"/>
      <c r="G874" s="60"/>
      <c r="H874" s="60"/>
      <c r="I874" s="60"/>
      <c r="J874" s="60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60"/>
      <c r="B875" s="60"/>
      <c r="C875" s="60"/>
      <c r="D875" s="8"/>
      <c r="E875" s="60"/>
      <c r="F875" s="60"/>
      <c r="G875" s="60"/>
      <c r="H875" s="60"/>
      <c r="I875" s="60"/>
      <c r="J875" s="60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60"/>
      <c r="B876" s="60"/>
      <c r="C876" s="60"/>
      <c r="D876" s="8"/>
      <c r="E876" s="60"/>
      <c r="F876" s="60"/>
      <c r="G876" s="60"/>
      <c r="H876" s="60"/>
      <c r="I876" s="60"/>
      <c r="J876" s="60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60"/>
      <c r="B877" s="60"/>
      <c r="C877" s="60"/>
      <c r="D877" s="8"/>
      <c r="E877" s="60"/>
      <c r="F877" s="60"/>
      <c r="G877" s="60"/>
      <c r="H877" s="60"/>
      <c r="I877" s="60"/>
      <c r="J877" s="60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60"/>
      <c r="B878" s="60"/>
      <c r="C878" s="60"/>
      <c r="D878" s="8"/>
      <c r="E878" s="60"/>
      <c r="F878" s="60"/>
      <c r="G878" s="60"/>
      <c r="H878" s="60"/>
      <c r="I878" s="60"/>
      <c r="J878" s="60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60"/>
      <c r="B879" s="60"/>
      <c r="C879" s="60"/>
      <c r="D879" s="8"/>
      <c r="E879" s="60"/>
      <c r="F879" s="60"/>
      <c r="G879" s="60"/>
      <c r="H879" s="60"/>
      <c r="I879" s="60"/>
      <c r="J879" s="60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60"/>
      <c r="B880" s="60"/>
      <c r="C880" s="60"/>
      <c r="D880" s="8"/>
      <c r="E880" s="60"/>
      <c r="F880" s="60"/>
      <c r="G880" s="60"/>
      <c r="H880" s="60"/>
      <c r="I880" s="60"/>
      <c r="J880" s="60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60"/>
      <c r="B881" s="60"/>
      <c r="C881" s="60"/>
      <c r="D881" s="8"/>
      <c r="E881" s="60"/>
      <c r="F881" s="60"/>
      <c r="G881" s="60"/>
      <c r="H881" s="60"/>
      <c r="I881" s="60"/>
      <c r="J881" s="60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60"/>
      <c r="B882" s="60"/>
      <c r="C882" s="60"/>
      <c r="D882" s="8"/>
      <c r="E882" s="60"/>
      <c r="F882" s="60"/>
      <c r="G882" s="60"/>
      <c r="H882" s="60"/>
      <c r="I882" s="60"/>
      <c r="J882" s="60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60"/>
      <c r="B883" s="60"/>
      <c r="C883" s="60"/>
      <c r="D883" s="8"/>
      <c r="E883" s="60"/>
      <c r="F883" s="60"/>
      <c r="G883" s="60"/>
      <c r="H883" s="60"/>
      <c r="I883" s="60"/>
      <c r="J883" s="60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60"/>
      <c r="B884" s="60"/>
      <c r="C884" s="60"/>
      <c r="D884" s="8"/>
      <c r="E884" s="60"/>
      <c r="F884" s="60"/>
      <c r="G884" s="60"/>
      <c r="H884" s="60"/>
      <c r="I884" s="60"/>
      <c r="J884" s="60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60"/>
      <c r="B885" s="60"/>
      <c r="C885" s="60"/>
      <c r="D885" s="8"/>
      <c r="E885" s="60"/>
      <c r="F885" s="60"/>
      <c r="G885" s="60"/>
      <c r="H885" s="60"/>
      <c r="I885" s="60"/>
      <c r="J885" s="60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60"/>
      <c r="B886" s="60"/>
      <c r="C886" s="60"/>
      <c r="D886" s="8"/>
      <c r="E886" s="60"/>
      <c r="F886" s="60"/>
      <c r="G886" s="60"/>
      <c r="H886" s="60"/>
      <c r="I886" s="60"/>
      <c r="J886" s="60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60"/>
      <c r="B887" s="60"/>
      <c r="C887" s="60"/>
      <c r="D887" s="8"/>
      <c r="E887" s="60"/>
      <c r="F887" s="60"/>
      <c r="G887" s="60"/>
      <c r="H887" s="60"/>
      <c r="I887" s="60"/>
      <c r="J887" s="60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60"/>
      <c r="B888" s="60"/>
      <c r="C888" s="60"/>
      <c r="D888" s="8"/>
      <c r="E888" s="60"/>
      <c r="F888" s="60"/>
      <c r="G888" s="60"/>
      <c r="H888" s="60"/>
      <c r="I888" s="60"/>
      <c r="J888" s="60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60"/>
      <c r="B889" s="60"/>
      <c r="C889" s="60"/>
      <c r="D889" s="8"/>
      <c r="E889" s="60"/>
      <c r="F889" s="60"/>
      <c r="G889" s="60"/>
      <c r="H889" s="60"/>
      <c r="I889" s="60"/>
      <c r="J889" s="60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60"/>
      <c r="B890" s="60"/>
      <c r="C890" s="60"/>
      <c r="D890" s="8"/>
      <c r="E890" s="60"/>
      <c r="F890" s="60"/>
      <c r="G890" s="60"/>
      <c r="H890" s="60"/>
      <c r="I890" s="60"/>
      <c r="J890" s="60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60"/>
      <c r="B891" s="60"/>
      <c r="C891" s="60"/>
      <c r="D891" s="8"/>
      <c r="E891" s="60"/>
      <c r="F891" s="60"/>
      <c r="G891" s="60"/>
      <c r="H891" s="60"/>
      <c r="I891" s="60"/>
      <c r="J891" s="60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60"/>
      <c r="B892" s="60"/>
      <c r="C892" s="60"/>
      <c r="D892" s="8"/>
      <c r="E892" s="60"/>
      <c r="F892" s="60"/>
      <c r="G892" s="60"/>
      <c r="H892" s="60"/>
      <c r="I892" s="60"/>
      <c r="J892" s="60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60"/>
      <c r="B893" s="60"/>
      <c r="C893" s="60"/>
      <c r="D893" s="8"/>
      <c r="E893" s="60"/>
      <c r="F893" s="60"/>
      <c r="G893" s="60"/>
      <c r="H893" s="60"/>
      <c r="I893" s="60"/>
      <c r="J893" s="60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60"/>
      <c r="B894" s="60"/>
      <c r="C894" s="60"/>
      <c r="D894" s="8"/>
      <c r="E894" s="60"/>
      <c r="F894" s="60"/>
      <c r="G894" s="60"/>
      <c r="H894" s="60"/>
      <c r="I894" s="60"/>
      <c r="J894" s="60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60"/>
      <c r="B895" s="60"/>
      <c r="C895" s="60"/>
      <c r="D895" s="8"/>
      <c r="E895" s="60"/>
      <c r="F895" s="60"/>
      <c r="G895" s="60"/>
      <c r="H895" s="60"/>
      <c r="I895" s="60"/>
      <c r="J895" s="60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60"/>
      <c r="B896" s="60"/>
      <c r="C896" s="60"/>
      <c r="D896" s="8"/>
      <c r="E896" s="60"/>
      <c r="F896" s="60"/>
      <c r="G896" s="60"/>
      <c r="H896" s="60"/>
      <c r="I896" s="60"/>
      <c r="J896" s="60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60"/>
      <c r="B897" s="60"/>
      <c r="C897" s="60"/>
      <c r="D897" s="8"/>
      <c r="E897" s="60"/>
      <c r="F897" s="60"/>
      <c r="G897" s="60"/>
      <c r="H897" s="60"/>
      <c r="I897" s="60"/>
      <c r="J897" s="60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60"/>
      <c r="B898" s="60"/>
      <c r="C898" s="60"/>
      <c r="D898" s="8"/>
      <c r="E898" s="60"/>
      <c r="F898" s="60"/>
      <c r="G898" s="60"/>
      <c r="H898" s="60"/>
      <c r="I898" s="60"/>
      <c r="J898" s="60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60"/>
      <c r="B899" s="60"/>
      <c r="C899" s="60"/>
      <c r="D899" s="8"/>
      <c r="E899" s="60"/>
      <c r="F899" s="60"/>
      <c r="G899" s="60"/>
      <c r="H899" s="60"/>
      <c r="I899" s="60"/>
      <c r="J899" s="60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60"/>
      <c r="B900" s="60"/>
      <c r="C900" s="60"/>
      <c r="D900" s="8"/>
      <c r="E900" s="60"/>
      <c r="F900" s="60"/>
      <c r="G900" s="60"/>
      <c r="H900" s="60"/>
      <c r="I900" s="60"/>
      <c r="J900" s="60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60"/>
      <c r="B901" s="60"/>
      <c r="C901" s="60"/>
      <c r="D901" s="8"/>
      <c r="E901" s="60"/>
      <c r="F901" s="60"/>
      <c r="G901" s="60"/>
      <c r="H901" s="60"/>
      <c r="I901" s="60"/>
      <c r="J901" s="60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60"/>
      <c r="B902" s="60"/>
      <c r="C902" s="60"/>
      <c r="D902" s="8"/>
      <c r="E902" s="60"/>
      <c r="F902" s="60"/>
      <c r="G902" s="60"/>
      <c r="H902" s="60"/>
      <c r="I902" s="60"/>
      <c r="J902" s="60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60"/>
      <c r="B903" s="60"/>
      <c r="C903" s="60"/>
      <c r="D903" s="8"/>
      <c r="E903" s="60"/>
      <c r="F903" s="60"/>
      <c r="G903" s="60"/>
      <c r="H903" s="60"/>
      <c r="I903" s="60"/>
      <c r="J903" s="60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60"/>
      <c r="B904" s="60"/>
      <c r="C904" s="60"/>
      <c r="D904" s="8"/>
      <c r="E904" s="60"/>
      <c r="F904" s="60"/>
      <c r="G904" s="60"/>
      <c r="H904" s="60"/>
      <c r="I904" s="60"/>
      <c r="J904" s="60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60"/>
      <c r="B905" s="60"/>
      <c r="C905" s="60"/>
      <c r="D905" s="8"/>
      <c r="E905" s="60"/>
      <c r="F905" s="60"/>
      <c r="G905" s="60"/>
      <c r="H905" s="60"/>
      <c r="I905" s="60"/>
      <c r="J905" s="60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60"/>
      <c r="B906" s="60"/>
      <c r="C906" s="60"/>
      <c r="D906" s="8"/>
      <c r="E906" s="60"/>
      <c r="F906" s="60"/>
      <c r="G906" s="60"/>
      <c r="H906" s="60"/>
      <c r="I906" s="60"/>
      <c r="J906" s="60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60"/>
      <c r="B907" s="60"/>
      <c r="C907" s="60"/>
      <c r="D907" s="8"/>
      <c r="E907" s="60"/>
      <c r="F907" s="60"/>
      <c r="G907" s="60"/>
      <c r="H907" s="60"/>
      <c r="I907" s="60"/>
      <c r="J907" s="60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60"/>
      <c r="B908" s="60"/>
      <c r="C908" s="60"/>
      <c r="D908" s="8"/>
      <c r="E908" s="60"/>
      <c r="F908" s="60"/>
      <c r="G908" s="60"/>
      <c r="H908" s="60"/>
      <c r="I908" s="60"/>
      <c r="J908" s="60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60"/>
      <c r="B909" s="60"/>
      <c r="C909" s="60"/>
      <c r="D909" s="8"/>
      <c r="E909" s="60"/>
      <c r="F909" s="60"/>
      <c r="G909" s="60"/>
      <c r="H909" s="60"/>
      <c r="I909" s="60"/>
      <c r="J909" s="60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60"/>
      <c r="B910" s="60"/>
      <c r="C910" s="60"/>
      <c r="D910" s="8"/>
      <c r="E910" s="60"/>
      <c r="F910" s="60"/>
      <c r="G910" s="60"/>
      <c r="H910" s="60"/>
      <c r="I910" s="60"/>
      <c r="J910" s="60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60"/>
      <c r="B911" s="60"/>
      <c r="C911" s="60"/>
      <c r="D911" s="8"/>
      <c r="E911" s="60"/>
      <c r="F911" s="60"/>
      <c r="G911" s="60"/>
      <c r="H911" s="60"/>
      <c r="I911" s="60"/>
      <c r="J911" s="60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60"/>
      <c r="B912" s="60"/>
      <c r="C912" s="60"/>
      <c r="D912" s="8"/>
      <c r="E912" s="60"/>
      <c r="F912" s="60"/>
      <c r="G912" s="60"/>
      <c r="H912" s="60"/>
      <c r="I912" s="60"/>
      <c r="J912" s="60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60"/>
      <c r="B913" s="60"/>
      <c r="C913" s="60"/>
      <c r="D913" s="8"/>
      <c r="E913" s="60"/>
      <c r="F913" s="60"/>
      <c r="G913" s="60"/>
      <c r="H913" s="60"/>
      <c r="I913" s="60"/>
      <c r="J913" s="60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60"/>
      <c r="B914" s="60"/>
      <c r="C914" s="60"/>
      <c r="D914" s="8"/>
      <c r="E914" s="60"/>
      <c r="F914" s="60"/>
      <c r="G914" s="60"/>
      <c r="H914" s="60"/>
      <c r="I914" s="60"/>
      <c r="J914" s="60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60"/>
      <c r="B915" s="60"/>
      <c r="C915" s="60"/>
      <c r="D915" s="8"/>
      <c r="E915" s="60"/>
      <c r="F915" s="60"/>
      <c r="G915" s="60"/>
      <c r="H915" s="60"/>
      <c r="I915" s="60"/>
      <c r="J915" s="60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60"/>
      <c r="B916" s="60"/>
      <c r="C916" s="60"/>
      <c r="D916" s="8"/>
      <c r="E916" s="60"/>
      <c r="F916" s="60"/>
      <c r="G916" s="60"/>
      <c r="H916" s="60"/>
      <c r="I916" s="60"/>
      <c r="J916" s="60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60"/>
      <c r="B917" s="60"/>
      <c r="C917" s="60"/>
      <c r="D917" s="8"/>
      <c r="E917" s="60"/>
      <c r="F917" s="60"/>
      <c r="G917" s="60"/>
      <c r="H917" s="60"/>
      <c r="I917" s="60"/>
      <c r="J917" s="60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60"/>
      <c r="B918" s="60"/>
      <c r="C918" s="60"/>
      <c r="D918" s="8"/>
      <c r="E918" s="60"/>
      <c r="F918" s="60"/>
      <c r="G918" s="60"/>
      <c r="H918" s="60"/>
      <c r="I918" s="60"/>
      <c r="J918" s="60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60"/>
      <c r="B919" s="60"/>
      <c r="C919" s="60"/>
      <c r="D919" s="8"/>
      <c r="E919" s="60"/>
      <c r="F919" s="60"/>
      <c r="G919" s="60"/>
      <c r="H919" s="60"/>
      <c r="I919" s="60"/>
      <c r="J919" s="60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60"/>
      <c r="B920" s="60"/>
      <c r="C920" s="60"/>
      <c r="D920" s="8"/>
      <c r="E920" s="60"/>
      <c r="F920" s="60"/>
      <c r="G920" s="60"/>
      <c r="H920" s="60"/>
      <c r="I920" s="60"/>
      <c r="J920" s="60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60"/>
      <c r="B921" s="60"/>
      <c r="C921" s="60"/>
      <c r="D921" s="8"/>
      <c r="E921" s="60"/>
      <c r="F921" s="60"/>
      <c r="G921" s="60"/>
      <c r="H921" s="60"/>
      <c r="I921" s="60"/>
      <c r="J921" s="60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60"/>
      <c r="B922" s="60"/>
      <c r="C922" s="60"/>
      <c r="D922" s="8"/>
      <c r="E922" s="60"/>
      <c r="F922" s="60"/>
      <c r="G922" s="60"/>
      <c r="H922" s="60"/>
      <c r="I922" s="60"/>
      <c r="J922" s="60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60"/>
      <c r="B923" s="60"/>
      <c r="C923" s="60"/>
      <c r="D923" s="8"/>
      <c r="E923" s="60"/>
      <c r="F923" s="60"/>
      <c r="G923" s="60"/>
      <c r="H923" s="60"/>
      <c r="I923" s="60"/>
      <c r="J923" s="60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60"/>
      <c r="B924" s="60"/>
      <c r="C924" s="60"/>
      <c r="D924" s="8"/>
      <c r="E924" s="60"/>
      <c r="F924" s="60"/>
      <c r="G924" s="60"/>
      <c r="H924" s="60"/>
      <c r="I924" s="60"/>
      <c r="J924" s="60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60"/>
      <c r="B925" s="60"/>
      <c r="C925" s="60"/>
      <c r="D925" s="8"/>
      <c r="E925" s="60"/>
      <c r="F925" s="60"/>
      <c r="G925" s="60"/>
      <c r="H925" s="60"/>
      <c r="I925" s="60"/>
      <c r="J925" s="60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60"/>
      <c r="B926" s="60"/>
      <c r="C926" s="60"/>
      <c r="D926" s="8"/>
      <c r="E926" s="60"/>
      <c r="F926" s="60"/>
      <c r="G926" s="60"/>
      <c r="H926" s="60"/>
      <c r="I926" s="60"/>
      <c r="J926" s="60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60"/>
      <c r="B927" s="60"/>
      <c r="C927" s="60"/>
      <c r="D927" s="8"/>
      <c r="E927" s="60"/>
      <c r="F927" s="60"/>
      <c r="G927" s="60"/>
      <c r="H927" s="60"/>
      <c r="I927" s="60"/>
      <c r="J927" s="60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60"/>
      <c r="B928" s="60"/>
      <c r="C928" s="60"/>
      <c r="D928" s="8"/>
      <c r="E928" s="60"/>
      <c r="F928" s="60"/>
      <c r="G928" s="60"/>
      <c r="H928" s="60"/>
      <c r="I928" s="60"/>
      <c r="J928" s="60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60"/>
      <c r="B929" s="60"/>
      <c r="C929" s="60"/>
      <c r="D929" s="8"/>
      <c r="E929" s="60"/>
      <c r="F929" s="60"/>
      <c r="G929" s="60"/>
      <c r="H929" s="60"/>
      <c r="I929" s="60"/>
      <c r="J929" s="60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60"/>
      <c r="B930" s="60"/>
      <c r="C930" s="60"/>
      <c r="D930" s="8"/>
      <c r="E930" s="60"/>
      <c r="F930" s="60"/>
      <c r="G930" s="60"/>
      <c r="H930" s="60"/>
      <c r="I930" s="60"/>
      <c r="J930" s="60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60"/>
      <c r="B931" s="60"/>
      <c r="C931" s="60"/>
      <c r="D931" s="8"/>
      <c r="E931" s="60"/>
      <c r="F931" s="60"/>
      <c r="G931" s="60"/>
      <c r="H931" s="60"/>
      <c r="I931" s="60"/>
      <c r="J931" s="60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60"/>
      <c r="B932" s="60"/>
      <c r="C932" s="60"/>
      <c r="D932" s="8"/>
      <c r="E932" s="60"/>
      <c r="F932" s="60"/>
      <c r="G932" s="60"/>
      <c r="H932" s="60"/>
      <c r="I932" s="60"/>
      <c r="J932" s="60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60"/>
      <c r="B933" s="60"/>
      <c r="C933" s="60"/>
      <c r="D933" s="8"/>
      <c r="E933" s="60"/>
      <c r="F933" s="60"/>
      <c r="G933" s="60"/>
      <c r="H933" s="60"/>
      <c r="I933" s="60"/>
      <c r="J933" s="60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60"/>
      <c r="B934" s="60"/>
      <c r="C934" s="60"/>
      <c r="D934" s="8"/>
      <c r="E934" s="60"/>
      <c r="F934" s="60"/>
      <c r="G934" s="60"/>
      <c r="H934" s="60"/>
      <c r="I934" s="60"/>
      <c r="J934" s="60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60"/>
      <c r="B935" s="60"/>
      <c r="C935" s="60"/>
      <c r="D935" s="8"/>
      <c r="E935" s="60"/>
      <c r="F935" s="60"/>
      <c r="G935" s="60"/>
      <c r="H935" s="60"/>
      <c r="I935" s="60"/>
      <c r="J935" s="60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60"/>
      <c r="B936" s="60"/>
      <c r="C936" s="60"/>
      <c r="D936" s="8"/>
      <c r="E936" s="60"/>
      <c r="F936" s="60"/>
      <c r="G936" s="60"/>
      <c r="H936" s="60"/>
      <c r="I936" s="60"/>
      <c r="J936" s="60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60"/>
      <c r="B937" s="60"/>
      <c r="C937" s="60"/>
      <c r="D937" s="8"/>
      <c r="E937" s="60"/>
      <c r="F937" s="60"/>
      <c r="G937" s="60"/>
      <c r="H937" s="60"/>
      <c r="I937" s="60"/>
      <c r="J937" s="60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60"/>
      <c r="B938" s="60"/>
      <c r="C938" s="60"/>
      <c r="D938" s="8"/>
      <c r="E938" s="60"/>
      <c r="F938" s="60"/>
      <c r="G938" s="60"/>
      <c r="H938" s="60"/>
      <c r="I938" s="60"/>
      <c r="J938" s="60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60"/>
      <c r="B939" s="60"/>
      <c r="C939" s="60"/>
      <c r="D939" s="8"/>
      <c r="E939" s="60"/>
      <c r="F939" s="60"/>
      <c r="G939" s="60"/>
      <c r="H939" s="60"/>
      <c r="I939" s="60"/>
      <c r="J939" s="60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60"/>
      <c r="B940" s="60"/>
      <c r="C940" s="60"/>
      <c r="D940" s="8"/>
      <c r="E940" s="60"/>
      <c r="F940" s="60"/>
      <c r="G940" s="60"/>
      <c r="H940" s="60"/>
      <c r="I940" s="60"/>
      <c r="J940" s="60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60"/>
      <c r="B941" s="60"/>
      <c r="C941" s="60"/>
      <c r="D941" s="8"/>
      <c r="E941" s="60"/>
      <c r="F941" s="60"/>
      <c r="G941" s="60"/>
      <c r="H941" s="60"/>
      <c r="I941" s="60"/>
      <c r="J941" s="60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60"/>
      <c r="B942" s="60"/>
      <c r="C942" s="60"/>
      <c r="D942" s="8"/>
      <c r="E942" s="60"/>
      <c r="F942" s="60"/>
      <c r="G942" s="60"/>
      <c r="H942" s="60"/>
      <c r="I942" s="60"/>
      <c r="J942" s="60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60"/>
      <c r="B943" s="60"/>
      <c r="C943" s="60"/>
      <c r="D943" s="8"/>
      <c r="E943" s="60"/>
      <c r="F943" s="60"/>
      <c r="G943" s="60"/>
      <c r="H943" s="60"/>
      <c r="I943" s="60"/>
      <c r="J943" s="60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60"/>
      <c r="B944" s="60"/>
      <c r="C944" s="60"/>
      <c r="D944" s="8"/>
      <c r="E944" s="60"/>
      <c r="F944" s="60"/>
      <c r="G944" s="60"/>
      <c r="H944" s="60"/>
      <c r="I944" s="60"/>
      <c r="J944" s="60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60"/>
      <c r="B945" s="60"/>
      <c r="C945" s="60"/>
      <c r="D945" s="8"/>
      <c r="E945" s="60"/>
      <c r="F945" s="60"/>
      <c r="G945" s="60"/>
      <c r="H945" s="60"/>
      <c r="I945" s="60"/>
      <c r="J945" s="60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60"/>
      <c r="B946" s="60"/>
      <c r="C946" s="60"/>
      <c r="D946" s="8"/>
      <c r="E946" s="60"/>
      <c r="F946" s="60"/>
      <c r="G946" s="60"/>
      <c r="H946" s="60"/>
      <c r="I946" s="60"/>
      <c r="J946" s="60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60"/>
      <c r="B947" s="60"/>
      <c r="C947" s="60"/>
      <c r="D947" s="8"/>
      <c r="E947" s="60"/>
      <c r="F947" s="60"/>
      <c r="G947" s="60"/>
      <c r="H947" s="60"/>
      <c r="I947" s="60"/>
      <c r="J947" s="60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60"/>
      <c r="B948" s="60"/>
      <c r="C948" s="60"/>
      <c r="D948" s="8"/>
      <c r="E948" s="60"/>
      <c r="F948" s="60"/>
      <c r="G948" s="60"/>
      <c r="H948" s="60"/>
      <c r="I948" s="60"/>
      <c r="J948" s="60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60"/>
      <c r="B949" s="60"/>
      <c r="C949" s="60"/>
      <c r="D949" s="8"/>
      <c r="E949" s="60"/>
      <c r="F949" s="60"/>
      <c r="G949" s="60"/>
      <c r="H949" s="60"/>
      <c r="I949" s="60"/>
      <c r="J949" s="60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60"/>
      <c r="B950" s="60"/>
      <c r="C950" s="60"/>
      <c r="D950" s="8"/>
      <c r="E950" s="60"/>
      <c r="F950" s="60"/>
      <c r="G950" s="60"/>
      <c r="H950" s="60"/>
      <c r="I950" s="60"/>
      <c r="J950" s="60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60"/>
      <c r="B951" s="60"/>
      <c r="C951" s="60"/>
      <c r="D951" s="8"/>
      <c r="E951" s="60"/>
      <c r="F951" s="60"/>
      <c r="G951" s="60"/>
      <c r="H951" s="60"/>
      <c r="I951" s="60"/>
      <c r="J951" s="60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60"/>
      <c r="B952" s="60"/>
      <c r="C952" s="60"/>
      <c r="D952" s="8"/>
      <c r="E952" s="60"/>
      <c r="F952" s="60"/>
      <c r="G952" s="60"/>
      <c r="H952" s="60"/>
      <c r="I952" s="60"/>
      <c r="J952" s="60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60"/>
      <c r="B953" s="60"/>
      <c r="C953" s="60"/>
      <c r="D953" s="8"/>
      <c r="E953" s="60"/>
      <c r="F953" s="60"/>
      <c r="G953" s="60"/>
      <c r="H953" s="60"/>
      <c r="I953" s="60"/>
      <c r="J953" s="60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60"/>
      <c r="B954" s="60"/>
      <c r="C954" s="60"/>
      <c r="D954" s="8"/>
      <c r="E954" s="60"/>
      <c r="F954" s="60"/>
      <c r="G954" s="60"/>
      <c r="H954" s="60"/>
      <c r="I954" s="60"/>
      <c r="J954" s="60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60"/>
      <c r="B955" s="60"/>
      <c r="C955" s="60"/>
      <c r="D955" s="8"/>
      <c r="E955" s="60"/>
      <c r="F955" s="60"/>
      <c r="G955" s="60"/>
      <c r="H955" s="60"/>
      <c r="I955" s="60"/>
      <c r="J955" s="60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60"/>
      <c r="B956" s="60"/>
      <c r="C956" s="60"/>
      <c r="D956" s="8"/>
      <c r="E956" s="60"/>
      <c r="F956" s="60"/>
      <c r="G956" s="60"/>
      <c r="H956" s="60"/>
      <c r="I956" s="60"/>
      <c r="J956" s="60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60"/>
      <c r="B957" s="60"/>
      <c r="C957" s="60"/>
      <c r="D957" s="8"/>
      <c r="E957" s="60"/>
      <c r="F957" s="60"/>
      <c r="G957" s="60"/>
      <c r="H957" s="60"/>
      <c r="I957" s="60"/>
      <c r="J957" s="60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60"/>
      <c r="B958" s="60"/>
      <c r="C958" s="60"/>
      <c r="D958" s="8"/>
      <c r="E958" s="60"/>
      <c r="F958" s="60"/>
      <c r="G958" s="60"/>
      <c r="H958" s="60"/>
      <c r="I958" s="60"/>
      <c r="J958" s="60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60"/>
      <c r="B959" s="60"/>
      <c r="C959" s="60"/>
      <c r="D959" s="8"/>
      <c r="E959" s="60"/>
      <c r="F959" s="60"/>
      <c r="G959" s="60"/>
      <c r="H959" s="60"/>
      <c r="I959" s="60"/>
      <c r="J959" s="60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60"/>
      <c r="B960" s="60"/>
      <c r="C960" s="60"/>
      <c r="D960" s="8"/>
      <c r="E960" s="60"/>
      <c r="F960" s="60"/>
      <c r="G960" s="60"/>
      <c r="H960" s="60"/>
      <c r="I960" s="60"/>
      <c r="J960" s="60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60"/>
      <c r="B961" s="60"/>
      <c r="C961" s="60"/>
      <c r="D961" s="8"/>
      <c r="E961" s="60"/>
      <c r="F961" s="60"/>
      <c r="G961" s="60"/>
      <c r="H961" s="60"/>
      <c r="I961" s="60"/>
      <c r="J961" s="60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60"/>
      <c r="B962" s="60"/>
      <c r="C962" s="60"/>
      <c r="D962" s="8"/>
      <c r="E962" s="60"/>
      <c r="F962" s="60"/>
      <c r="G962" s="60"/>
      <c r="H962" s="60"/>
      <c r="I962" s="60"/>
      <c r="J962" s="60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60"/>
      <c r="B963" s="60"/>
      <c r="C963" s="60"/>
      <c r="D963" s="8"/>
      <c r="E963" s="60"/>
      <c r="F963" s="60"/>
      <c r="G963" s="60"/>
      <c r="H963" s="60"/>
      <c r="I963" s="60"/>
      <c r="J963" s="60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60"/>
      <c r="B964" s="60"/>
      <c r="C964" s="60"/>
      <c r="D964" s="8"/>
      <c r="E964" s="60"/>
      <c r="F964" s="60"/>
      <c r="G964" s="60"/>
      <c r="H964" s="60"/>
      <c r="I964" s="60"/>
      <c r="J964" s="60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60"/>
      <c r="B965" s="60"/>
      <c r="C965" s="60"/>
      <c r="D965" s="8"/>
      <c r="E965" s="60"/>
      <c r="F965" s="60"/>
      <c r="G965" s="60"/>
      <c r="H965" s="60"/>
      <c r="I965" s="60"/>
      <c r="J965" s="60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60"/>
      <c r="B966" s="60"/>
      <c r="C966" s="60"/>
      <c r="D966" s="8"/>
      <c r="E966" s="60"/>
      <c r="F966" s="60"/>
      <c r="G966" s="60"/>
      <c r="H966" s="60"/>
      <c r="I966" s="60"/>
      <c r="J966" s="60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60"/>
      <c r="B967" s="60"/>
      <c r="C967" s="60"/>
      <c r="D967" s="8"/>
      <c r="E967" s="60"/>
      <c r="F967" s="60"/>
      <c r="G967" s="60"/>
      <c r="H967" s="60"/>
      <c r="I967" s="60"/>
      <c r="J967" s="60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60"/>
      <c r="B968" s="60"/>
      <c r="C968" s="60"/>
      <c r="D968" s="8"/>
      <c r="E968" s="60"/>
      <c r="F968" s="60"/>
      <c r="G968" s="60"/>
      <c r="H968" s="60"/>
      <c r="I968" s="60"/>
      <c r="J968" s="60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60"/>
      <c r="B969" s="60"/>
      <c r="C969" s="60"/>
      <c r="D969" s="8"/>
      <c r="E969" s="60"/>
      <c r="F969" s="60"/>
      <c r="G969" s="60"/>
      <c r="H969" s="60"/>
      <c r="I969" s="60"/>
      <c r="J969" s="60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60"/>
      <c r="B970" s="60"/>
      <c r="C970" s="60"/>
      <c r="D970" s="8"/>
      <c r="E970" s="60"/>
      <c r="F970" s="60"/>
      <c r="G970" s="60"/>
      <c r="H970" s="60"/>
      <c r="I970" s="60"/>
      <c r="J970" s="60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60"/>
      <c r="B971" s="60"/>
      <c r="C971" s="60"/>
      <c r="D971" s="8"/>
      <c r="E971" s="60"/>
      <c r="F971" s="60"/>
      <c r="G971" s="60"/>
      <c r="H971" s="60"/>
      <c r="I971" s="60"/>
      <c r="J971" s="60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60"/>
      <c r="B972" s="60"/>
      <c r="C972" s="60"/>
      <c r="D972" s="8"/>
      <c r="E972" s="60"/>
      <c r="F972" s="60"/>
      <c r="G972" s="60"/>
      <c r="H972" s="60"/>
      <c r="I972" s="60"/>
      <c r="J972" s="60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60"/>
      <c r="B973" s="60"/>
      <c r="C973" s="60"/>
      <c r="D973" s="8"/>
      <c r="E973" s="60"/>
      <c r="F973" s="60"/>
      <c r="G973" s="60"/>
      <c r="H973" s="60"/>
      <c r="I973" s="60"/>
      <c r="J973" s="60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60"/>
      <c r="B974" s="60"/>
      <c r="C974" s="60"/>
      <c r="D974" s="8"/>
      <c r="E974" s="60"/>
      <c r="F974" s="60"/>
      <c r="G974" s="60"/>
      <c r="H974" s="60"/>
      <c r="I974" s="60"/>
      <c r="J974" s="60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60"/>
      <c r="B975" s="60"/>
      <c r="C975" s="60"/>
      <c r="D975" s="8"/>
      <c r="E975" s="60"/>
      <c r="F975" s="60"/>
      <c r="G975" s="60"/>
      <c r="H975" s="60"/>
      <c r="I975" s="60"/>
      <c r="J975" s="60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60"/>
      <c r="B976" s="60"/>
      <c r="C976" s="60"/>
      <c r="D976" s="8"/>
      <c r="E976" s="60"/>
      <c r="F976" s="60"/>
      <c r="G976" s="60"/>
      <c r="H976" s="60"/>
      <c r="I976" s="60"/>
      <c r="J976" s="60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60"/>
      <c r="B977" s="60"/>
      <c r="C977" s="60"/>
      <c r="D977" s="8"/>
      <c r="E977" s="60"/>
      <c r="F977" s="60"/>
      <c r="G977" s="60"/>
      <c r="H977" s="60"/>
      <c r="I977" s="60"/>
      <c r="J977" s="60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60"/>
      <c r="B978" s="60"/>
      <c r="C978" s="60"/>
      <c r="D978" s="8"/>
      <c r="E978" s="60"/>
      <c r="F978" s="60"/>
      <c r="G978" s="60"/>
      <c r="H978" s="60"/>
      <c r="I978" s="60"/>
      <c r="J978" s="60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60"/>
      <c r="B979" s="60"/>
      <c r="C979" s="60"/>
      <c r="D979" s="8"/>
      <c r="E979" s="60"/>
      <c r="F979" s="60"/>
      <c r="G979" s="60"/>
      <c r="H979" s="60"/>
      <c r="I979" s="60"/>
      <c r="J979" s="60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60"/>
      <c r="B980" s="60"/>
      <c r="C980" s="60"/>
      <c r="D980" s="8"/>
      <c r="E980" s="60"/>
      <c r="F980" s="60"/>
      <c r="G980" s="60"/>
      <c r="H980" s="60"/>
      <c r="I980" s="60"/>
      <c r="J980" s="60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60"/>
      <c r="B981" s="60"/>
      <c r="C981" s="60"/>
      <c r="D981" s="8"/>
      <c r="E981" s="60"/>
      <c r="F981" s="60"/>
      <c r="G981" s="60"/>
      <c r="H981" s="60"/>
      <c r="I981" s="60"/>
      <c r="J981" s="60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60"/>
      <c r="B982" s="60"/>
      <c r="C982" s="60"/>
      <c r="D982" s="8"/>
      <c r="E982" s="60"/>
      <c r="F982" s="60"/>
      <c r="G982" s="60"/>
      <c r="H982" s="60"/>
      <c r="I982" s="60"/>
      <c r="J982" s="60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60"/>
      <c r="B983" s="60"/>
      <c r="C983" s="60"/>
      <c r="D983" s="8"/>
      <c r="E983" s="60"/>
      <c r="F983" s="60"/>
      <c r="G983" s="60"/>
      <c r="H983" s="60"/>
      <c r="I983" s="60"/>
      <c r="J983" s="60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60"/>
      <c r="B984" s="60"/>
      <c r="C984" s="60"/>
      <c r="D984" s="8"/>
      <c r="E984" s="60"/>
      <c r="F984" s="60"/>
      <c r="G984" s="60"/>
      <c r="H984" s="60"/>
      <c r="I984" s="60"/>
      <c r="J984" s="60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60"/>
      <c r="B985" s="60"/>
      <c r="C985" s="60"/>
      <c r="D985" s="8"/>
      <c r="E985" s="60"/>
      <c r="F985" s="60"/>
      <c r="G985" s="60"/>
      <c r="H985" s="60"/>
      <c r="I985" s="60"/>
      <c r="J985" s="60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60"/>
      <c r="B986" s="60"/>
      <c r="C986" s="60"/>
      <c r="D986" s="8"/>
      <c r="E986" s="60"/>
      <c r="F986" s="60"/>
      <c r="G986" s="60"/>
      <c r="H986" s="60"/>
      <c r="I986" s="60"/>
      <c r="J986" s="60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60"/>
      <c r="B987" s="60"/>
      <c r="C987" s="60"/>
      <c r="D987" s="8"/>
      <c r="E987" s="60"/>
      <c r="F987" s="60"/>
      <c r="G987" s="60"/>
      <c r="H987" s="60"/>
      <c r="I987" s="60"/>
      <c r="J987" s="60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60"/>
      <c r="B988" s="60"/>
      <c r="C988" s="60"/>
      <c r="D988" s="8"/>
      <c r="E988" s="60"/>
      <c r="F988" s="60"/>
      <c r="G988" s="60"/>
      <c r="H988" s="60"/>
      <c r="I988" s="60"/>
      <c r="J988" s="60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60"/>
      <c r="B989" s="60"/>
      <c r="C989" s="60"/>
      <c r="D989" s="8"/>
      <c r="E989" s="60"/>
      <c r="F989" s="60"/>
      <c r="G989" s="60"/>
      <c r="H989" s="60"/>
      <c r="I989" s="60"/>
      <c r="J989" s="60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60"/>
      <c r="B990" s="60"/>
      <c r="C990" s="60"/>
      <c r="D990" s="8"/>
      <c r="E990" s="60"/>
      <c r="F990" s="60"/>
      <c r="G990" s="60"/>
      <c r="H990" s="60"/>
      <c r="I990" s="60"/>
      <c r="J990" s="60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60"/>
      <c r="B991" s="60"/>
      <c r="C991" s="60"/>
      <c r="D991" s="8"/>
      <c r="E991" s="60"/>
      <c r="F991" s="60"/>
      <c r="G991" s="60"/>
      <c r="H991" s="60"/>
      <c r="I991" s="60"/>
      <c r="J991" s="60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60"/>
      <c r="B992" s="60"/>
      <c r="C992" s="60"/>
      <c r="D992" s="8"/>
      <c r="E992" s="60"/>
      <c r="F992" s="60"/>
      <c r="G992" s="60"/>
      <c r="H992" s="60"/>
      <c r="I992" s="60"/>
      <c r="J992" s="60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60"/>
      <c r="B993" s="60"/>
      <c r="C993" s="60"/>
      <c r="D993" s="8"/>
      <c r="E993" s="60"/>
      <c r="F993" s="60"/>
      <c r="G993" s="60"/>
      <c r="H993" s="60"/>
      <c r="I993" s="60"/>
      <c r="J993" s="60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60"/>
      <c r="B994" s="60"/>
      <c r="C994" s="60"/>
      <c r="D994" s="8"/>
      <c r="E994" s="60"/>
      <c r="F994" s="60"/>
      <c r="G994" s="60"/>
      <c r="H994" s="60"/>
      <c r="I994" s="60"/>
      <c r="J994" s="60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60"/>
      <c r="B995" s="60"/>
      <c r="C995" s="60"/>
      <c r="D995" s="8"/>
      <c r="E995" s="60"/>
      <c r="F995" s="60"/>
      <c r="G995" s="60"/>
      <c r="H995" s="60"/>
      <c r="I995" s="60"/>
      <c r="J995" s="60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60"/>
      <c r="B996" s="60"/>
      <c r="C996" s="60"/>
      <c r="D996" s="8"/>
      <c r="E996" s="60"/>
      <c r="F996" s="60"/>
      <c r="G996" s="60"/>
      <c r="H996" s="60"/>
      <c r="I996" s="60"/>
      <c r="J996" s="60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60"/>
      <c r="B997" s="60"/>
      <c r="C997" s="60"/>
      <c r="D997" s="8"/>
      <c r="E997" s="60"/>
      <c r="F997" s="60"/>
      <c r="G997" s="60"/>
      <c r="H997" s="60"/>
      <c r="I997" s="60"/>
      <c r="J997" s="60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60"/>
      <c r="B998" s="60"/>
      <c r="C998" s="60"/>
      <c r="D998" s="8"/>
      <c r="E998" s="60"/>
      <c r="F998" s="60"/>
      <c r="G998" s="60"/>
      <c r="H998" s="60"/>
      <c r="I998" s="60"/>
      <c r="J998" s="60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60"/>
      <c r="B999" s="60"/>
      <c r="C999" s="60"/>
      <c r="D999" s="8"/>
      <c r="E999" s="60"/>
      <c r="F999" s="60"/>
      <c r="G999" s="60"/>
      <c r="H999" s="60"/>
      <c r="I999" s="60"/>
      <c r="J999" s="60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</sheetData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7.25"/>
    <col customWidth="1" min="3" max="3" width="8.5"/>
    <col customWidth="1" min="4" max="4" width="14.0"/>
    <col customWidth="1" min="5" max="5" width="20.0"/>
    <col customWidth="1" min="6" max="6" width="25.5"/>
    <col customWidth="1" min="7" max="7" width="24.13"/>
    <col customWidth="1" min="8" max="8" width="21.5"/>
    <col customWidth="1" min="9" max="10" width="25.5"/>
  </cols>
  <sheetData>
    <row r="1" ht="22.5" customHeight="1">
      <c r="A1" s="184" t="s">
        <v>2805</v>
      </c>
      <c r="B1" s="184" t="s">
        <v>2</v>
      </c>
      <c r="C1" s="184" t="s">
        <v>2806</v>
      </c>
      <c r="D1" s="184" t="s">
        <v>2807</v>
      </c>
      <c r="E1" s="184" t="s">
        <v>2808</v>
      </c>
      <c r="F1" s="185" t="s">
        <v>2809</v>
      </c>
      <c r="G1" s="185" t="s">
        <v>2810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10" t="s">
        <v>2812</v>
      </c>
      <c r="B2" s="10" t="s">
        <v>28</v>
      </c>
      <c r="C2" s="152">
        <v>2022.0</v>
      </c>
      <c r="D2" s="187" t="s">
        <v>2742</v>
      </c>
      <c r="E2" s="187" t="s">
        <v>2816</v>
      </c>
      <c r="F2" s="173">
        <v>1964.36</v>
      </c>
      <c r="G2" s="173">
        <v>1964.36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10" t="s">
        <v>2819</v>
      </c>
      <c r="B3" s="10" t="s">
        <v>28</v>
      </c>
      <c r="C3" s="152">
        <v>2022.0</v>
      </c>
      <c r="D3" s="187" t="s">
        <v>2496</v>
      </c>
      <c r="E3" s="187" t="s">
        <v>2816</v>
      </c>
      <c r="F3" s="173">
        <v>2455.45</v>
      </c>
      <c r="G3" s="173">
        <v>2455.45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10" t="s">
        <v>2821</v>
      </c>
      <c r="B4" s="10" t="s">
        <v>28</v>
      </c>
      <c r="C4" s="152">
        <v>2023.0</v>
      </c>
      <c r="D4" s="187" t="s">
        <v>2495</v>
      </c>
      <c r="E4" s="187" t="s">
        <v>2816</v>
      </c>
      <c r="F4" s="173">
        <v>1622.52</v>
      </c>
      <c r="G4" s="173">
        <v>1622.52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10" t="s">
        <v>2823</v>
      </c>
      <c r="B5" s="10" t="s">
        <v>28</v>
      </c>
      <c r="C5" s="152">
        <v>2023.0</v>
      </c>
      <c r="D5" s="187" t="s">
        <v>2585</v>
      </c>
      <c r="E5" s="187" t="s">
        <v>2816</v>
      </c>
      <c r="F5" s="173">
        <v>4517.08</v>
      </c>
      <c r="G5" s="173">
        <v>4517.08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10" t="s">
        <v>2825</v>
      </c>
      <c r="B6" s="10" t="s">
        <v>28</v>
      </c>
      <c r="C6" s="152">
        <v>2023.0</v>
      </c>
      <c r="D6" s="187" t="s">
        <v>2594</v>
      </c>
      <c r="E6" s="187" t="s">
        <v>2816</v>
      </c>
      <c r="F6" s="173">
        <v>2319.76</v>
      </c>
      <c r="G6" s="173">
        <v>2319.76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10" t="s">
        <v>2827</v>
      </c>
      <c r="B7" s="10" t="s">
        <v>28</v>
      </c>
      <c r="C7" s="152">
        <v>2023.0</v>
      </c>
      <c r="D7" s="187" t="s">
        <v>2739</v>
      </c>
      <c r="E7" s="187" t="s">
        <v>2816</v>
      </c>
      <c r="F7" s="173">
        <v>2320.04</v>
      </c>
      <c r="G7" s="173">
        <v>2320.04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10" t="s">
        <v>2830</v>
      </c>
      <c r="B8" s="10" t="s">
        <v>28</v>
      </c>
      <c r="C8" s="152">
        <v>2023.0</v>
      </c>
      <c r="D8" s="187" t="s">
        <v>2541</v>
      </c>
      <c r="E8" s="187" t="s">
        <v>2816</v>
      </c>
      <c r="F8" s="173">
        <v>2379.16</v>
      </c>
      <c r="G8" s="173">
        <v>2379.16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10" t="s">
        <v>2832</v>
      </c>
      <c r="B9" s="10" t="s">
        <v>28</v>
      </c>
      <c r="C9" s="152">
        <v>2023.0</v>
      </c>
      <c r="D9" s="187" t="s">
        <v>2553</v>
      </c>
      <c r="E9" s="187" t="s">
        <v>2816</v>
      </c>
      <c r="F9" s="173">
        <v>2453.44</v>
      </c>
      <c r="G9" s="173">
        <v>2453.44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10" t="s">
        <v>2835</v>
      </c>
      <c r="B10" s="10" t="s">
        <v>67</v>
      </c>
      <c r="C10" s="152">
        <v>2018.0</v>
      </c>
      <c r="D10" s="187" t="s">
        <v>2553</v>
      </c>
      <c r="E10" s="187" t="s">
        <v>2816</v>
      </c>
      <c r="F10" s="173"/>
      <c r="G10" s="173">
        <v>32871.71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10" t="s">
        <v>2837</v>
      </c>
      <c r="B11" s="10" t="s">
        <v>67</v>
      </c>
      <c r="C11" s="152">
        <v>2018.0</v>
      </c>
      <c r="D11" s="187" t="s">
        <v>2593</v>
      </c>
      <c r="E11" s="187" t="s">
        <v>2816</v>
      </c>
      <c r="F11" s="173"/>
      <c r="G11" s="173">
        <v>21.79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10" t="s">
        <v>2840</v>
      </c>
      <c r="B12" s="10" t="s">
        <v>67</v>
      </c>
      <c r="C12" s="152">
        <v>2018.0</v>
      </c>
      <c r="D12" s="187" t="s">
        <v>2616</v>
      </c>
      <c r="E12" s="187" t="s">
        <v>2816</v>
      </c>
      <c r="F12" s="173"/>
      <c r="G12" s="173">
        <v>163500.0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10" t="s">
        <v>2842</v>
      </c>
      <c r="B13" s="10" t="s">
        <v>67</v>
      </c>
      <c r="C13" s="152">
        <v>2018.0</v>
      </c>
      <c r="D13" s="187" t="s">
        <v>2742</v>
      </c>
      <c r="E13" s="187" t="s">
        <v>2816</v>
      </c>
      <c r="F13" s="173"/>
      <c r="G13" s="173">
        <v>695677.48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2.5" customHeight="1">
      <c r="A14" s="10" t="s">
        <v>2845</v>
      </c>
      <c r="B14" s="10" t="s">
        <v>67</v>
      </c>
      <c r="C14" s="152">
        <v>2018.0</v>
      </c>
      <c r="D14" s="187" t="s">
        <v>2496</v>
      </c>
      <c r="E14" s="187" t="s">
        <v>2816</v>
      </c>
      <c r="F14" s="173"/>
      <c r="G14" s="173">
        <v>237288.67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2.5" customHeight="1">
      <c r="A15" s="10" t="s">
        <v>2847</v>
      </c>
      <c r="B15" s="10" t="s">
        <v>67</v>
      </c>
      <c r="C15" s="152">
        <v>2019.0</v>
      </c>
      <c r="D15" s="187" t="s">
        <v>2495</v>
      </c>
      <c r="E15" s="187" t="s">
        <v>2816</v>
      </c>
      <c r="F15" s="173"/>
      <c r="G15" s="173">
        <v>165029.65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2.5" customHeight="1">
      <c r="A16" s="10" t="s">
        <v>2850</v>
      </c>
      <c r="B16" s="10" t="s">
        <v>67</v>
      </c>
      <c r="C16" s="152">
        <v>2019.0</v>
      </c>
      <c r="D16" s="187" t="s">
        <v>2834</v>
      </c>
      <c r="E16" s="187" t="s">
        <v>2816</v>
      </c>
      <c r="F16" s="173"/>
      <c r="G16" s="173">
        <v>68392.98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.5" customHeight="1">
      <c r="A17" s="10" t="s">
        <v>2852</v>
      </c>
      <c r="B17" s="10" t="s">
        <v>67</v>
      </c>
      <c r="C17" s="152">
        <v>2019.0</v>
      </c>
      <c r="D17" s="187" t="s">
        <v>2585</v>
      </c>
      <c r="E17" s="187" t="s">
        <v>2816</v>
      </c>
      <c r="F17" s="173"/>
      <c r="G17" s="173">
        <v>42957.84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2.5" customHeight="1">
      <c r="A18" s="10" t="s">
        <v>2855</v>
      </c>
      <c r="B18" s="10" t="s">
        <v>67</v>
      </c>
      <c r="C18" s="152">
        <v>2019.0</v>
      </c>
      <c r="D18" s="187" t="s">
        <v>2594</v>
      </c>
      <c r="E18" s="187" t="s">
        <v>2816</v>
      </c>
      <c r="F18" s="173"/>
      <c r="G18" s="173">
        <v>18546.29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2.5" customHeight="1">
      <c r="A19" s="10" t="s">
        <v>2857</v>
      </c>
      <c r="B19" s="10" t="s">
        <v>67</v>
      </c>
      <c r="C19" s="152">
        <v>2019.0</v>
      </c>
      <c r="D19" s="187" t="s">
        <v>2553</v>
      </c>
      <c r="E19" s="187" t="s">
        <v>2816</v>
      </c>
      <c r="F19" s="173"/>
      <c r="G19" s="173">
        <v>207067.28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2.5" customHeight="1">
      <c r="A20" s="10" t="s">
        <v>2860</v>
      </c>
      <c r="B20" s="10" t="s">
        <v>67</v>
      </c>
      <c r="C20" s="152">
        <v>2019.0</v>
      </c>
      <c r="D20" s="187" t="s">
        <v>2573</v>
      </c>
      <c r="E20" s="187" t="s">
        <v>2816</v>
      </c>
      <c r="F20" s="173"/>
      <c r="G20" s="173">
        <v>68399.6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2.5" customHeight="1">
      <c r="A21" s="10" t="s">
        <v>2863</v>
      </c>
      <c r="B21" s="10" t="s">
        <v>67</v>
      </c>
      <c r="C21" s="152">
        <v>2019.0</v>
      </c>
      <c r="D21" s="187" t="s">
        <v>2742</v>
      </c>
      <c r="E21" s="187" t="s">
        <v>2816</v>
      </c>
      <c r="F21" s="173"/>
      <c r="G21" s="173">
        <v>189682.05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2.5" customHeight="1">
      <c r="A22" s="10" t="s">
        <v>2865</v>
      </c>
      <c r="B22" s="10" t="s">
        <v>67</v>
      </c>
      <c r="C22" s="152">
        <v>2019.0</v>
      </c>
      <c r="D22" s="187" t="s">
        <v>2496</v>
      </c>
      <c r="E22" s="187" t="s">
        <v>2816</v>
      </c>
      <c r="F22" s="173"/>
      <c r="G22" s="173">
        <v>111243.51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2.5" customHeight="1">
      <c r="A23" s="10" t="s">
        <v>2867</v>
      </c>
      <c r="B23" s="10" t="s">
        <v>67</v>
      </c>
      <c r="C23" s="152">
        <v>2020.0</v>
      </c>
      <c r="D23" s="187" t="s">
        <v>2495</v>
      </c>
      <c r="E23" s="187" t="s">
        <v>2816</v>
      </c>
      <c r="F23" s="173"/>
      <c r="G23" s="173">
        <v>76677.46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2.5" customHeight="1">
      <c r="A24" s="10" t="s">
        <v>2870</v>
      </c>
      <c r="B24" s="10" t="s">
        <v>67</v>
      </c>
      <c r="C24" s="152">
        <v>2020.0</v>
      </c>
      <c r="D24" s="187" t="s">
        <v>2834</v>
      </c>
      <c r="E24" s="187" t="s">
        <v>2816</v>
      </c>
      <c r="F24" s="173"/>
      <c r="G24" s="173">
        <v>12500.0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2.5" customHeight="1">
      <c r="A25" s="10" t="s">
        <v>2875</v>
      </c>
      <c r="B25" s="10" t="s">
        <v>67</v>
      </c>
      <c r="C25" s="152">
        <v>2020.0</v>
      </c>
      <c r="D25" s="187" t="s">
        <v>2585</v>
      </c>
      <c r="E25" s="187" t="s">
        <v>2816</v>
      </c>
      <c r="F25" s="173"/>
      <c r="G25" s="173">
        <v>20258.21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2.5" customHeight="1">
      <c r="A26" s="10" t="s">
        <v>2884</v>
      </c>
      <c r="B26" s="10" t="s">
        <v>67</v>
      </c>
      <c r="C26" s="152">
        <v>2020.0</v>
      </c>
      <c r="D26" s="187" t="s">
        <v>2739</v>
      </c>
      <c r="E26" s="187" t="s">
        <v>2816</v>
      </c>
      <c r="F26" s="173"/>
      <c r="G26" s="173">
        <v>10856.11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2.5" customHeight="1">
      <c r="A27" s="10" t="s">
        <v>2889</v>
      </c>
      <c r="B27" s="10" t="s">
        <v>67</v>
      </c>
      <c r="C27" s="152">
        <v>2020.0</v>
      </c>
      <c r="D27" s="187" t="s">
        <v>2541</v>
      </c>
      <c r="E27" s="187" t="s">
        <v>2816</v>
      </c>
      <c r="F27" s="173"/>
      <c r="G27" s="173">
        <v>2711.81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2.5" customHeight="1">
      <c r="A28" s="10" t="s">
        <v>2894</v>
      </c>
      <c r="B28" s="10" t="s">
        <v>67</v>
      </c>
      <c r="C28" s="152">
        <v>2020.0</v>
      </c>
      <c r="D28" s="187" t="s">
        <v>2553</v>
      </c>
      <c r="E28" s="187" t="s">
        <v>2816</v>
      </c>
      <c r="F28" s="173"/>
      <c r="G28" s="173">
        <v>34117.1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2.5" customHeight="1">
      <c r="A29" s="10" t="s">
        <v>2900</v>
      </c>
      <c r="B29" s="10" t="s">
        <v>67</v>
      </c>
      <c r="C29" s="152">
        <v>2020.0</v>
      </c>
      <c r="D29" s="187" t="s">
        <v>2573</v>
      </c>
      <c r="E29" s="187" t="s">
        <v>2816</v>
      </c>
      <c r="F29" s="173"/>
      <c r="G29" s="173">
        <v>48616.39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2.5" customHeight="1">
      <c r="A30" s="10" t="s">
        <v>2904</v>
      </c>
      <c r="B30" s="10" t="s">
        <v>67</v>
      </c>
      <c r="C30" s="152">
        <v>2020.0</v>
      </c>
      <c r="D30" s="187" t="s">
        <v>2593</v>
      </c>
      <c r="E30" s="187" t="s">
        <v>2816</v>
      </c>
      <c r="F30" s="173"/>
      <c r="G30" s="173">
        <v>69250.42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2.5" customHeight="1">
      <c r="A31" s="10" t="s">
        <v>2909</v>
      </c>
      <c r="B31" s="10" t="s">
        <v>67</v>
      </c>
      <c r="C31" s="152">
        <v>2020.0</v>
      </c>
      <c r="D31" s="187" t="s">
        <v>2616</v>
      </c>
      <c r="E31" s="187" t="s">
        <v>2816</v>
      </c>
      <c r="F31" s="173"/>
      <c r="G31" s="173">
        <v>29065.55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2.5" customHeight="1">
      <c r="A32" s="10" t="s">
        <v>2914</v>
      </c>
      <c r="B32" s="10" t="s">
        <v>67</v>
      </c>
      <c r="C32" s="152">
        <v>2020.0</v>
      </c>
      <c r="D32" s="187" t="s">
        <v>2742</v>
      </c>
      <c r="E32" s="187" t="s">
        <v>2816</v>
      </c>
      <c r="F32" s="173"/>
      <c r="G32" s="173">
        <v>42222.76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2.5" customHeight="1">
      <c r="A33" s="10" t="s">
        <v>2919</v>
      </c>
      <c r="B33" s="10" t="s">
        <v>67</v>
      </c>
      <c r="C33" s="152">
        <v>2020.0</v>
      </c>
      <c r="D33" s="187" t="s">
        <v>2496</v>
      </c>
      <c r="E33" s="187" t="s">
        <v>2816</v>
      </c>
      <c r="F33" s="173"/>
      <c r="G33" s="173">
        <v>71499.55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2.5" customHeight="1">
      <c r="A34" s="10" t="s">
        <v>2925</v>
      </c>
      <c r="B34" s="10" t="s">
        <v>67</v>
      </c>
      <c r="C34" s="152">
        <v>2021.0</v>
      </c>
      <c r="D34" s="187" t="s">
        <v>2495</v>
      </c>
      <c r="E34" s="187" t="s">
        <v>2816</v>
      </c>
      <c r="F34" s="173"/>
      <c r="G34" s="173">
        <v>3912.77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2.5" customHeight="1">
      <c r="A35" s="10" t="s">
        <v>2929</v>
      </c>
      <c r="B35" s="10" t="s">
        <v>67</v>
      </c>
      <c r="C35" s="152">
        <v>2021.0</v>
      </c>
      <c r="D35" s="187" t="s">
        <v>2834</v>
      </c>
      <c r="E35" s="187" t="s">
        <v>2816</v>
      </c>
      <c r="F35" s="173"/>
      <c r="G35" s="173">
        <v>264464.96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2.5" customHeight="1">
      <c r="A36" s="10" t="s">
        <v>2934</v>
      </c>
      <c r="B36" s="10" t="s">
        <v>67</v>
      </c>
      <c r="C36" s="152">
        <v>2021.0</v>
      </c>
      <c r="D36" s="187" t="s">
        <v>2585</v>
      </c>
      <c r="E36" s="187" t="s">
        <v>2816</v>
      </c>
      <c r="F36" s="173"/>
      <c r="G36" s="173">
        <v>14931.98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2.5" customHeight="1">
      <c r="A37" s="10" t="s">
        <v>2936</v>
      </c>
      <c r="B37" s="10" t="s">
        <v>67</v>
      </c>
      <c r="C37" s="152">
        <v>2021.0</v>
      </c>
      <c r="D37" s="187" t="s">
        <v>2594</v>
      </c>
      <c r="E37" s="187" t="s">
        <v>2816</v>
      </c>
      <c r="F37" s="173"/>
      <c r="G37" s="173">
        <v>37461.38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2.5" customHeight="1">
      <c r="A38" s="10" t="s">
        <v>2940</v>
      </c>
      <c r="B38" s="10" t="s">
        <v>67</v>
      </c>
      <c r="C38" s="152">
        <v>2021.0</v>
      </c>
      <c r="D38" s="187" t="s">
        <v>2739</v>
      </c>
      <c r="E38" s="187" t="s">
        <v>2816</v>
      </c>
      <c r="F38" s="173"/>
      <c r="G38" s="173">
        <v>44118.08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2.5" customHeight="1">
      <c r="A39" s="10" t="s">
        <v>2944</v>
      </c>
      <c r="B39" s="10" t="s">
        <v>67</v>
      </c>
      <c r="C39" s="152">
        <v>2021.0</v>
      </c>
      <c r="D39" s="187" t="s">
        <v>2541</v>
      </c>
      <c r="E39" s="187" t="s">
        <v>2816</v>
      </c>
      <c r="F39" s="173"/>
      <c r="G39" s="173">
        <v>46658.07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2.5" customHeight="1">
      <c r="A40" s="10" t="s">
        <v>2947</v>
      </c>
      <c r="B40" s="10" t="s">
        <v>67</v>
      </c>
      <c r="C40" s="152">
        <v>2021.0</v>
      </c>
      <c r="D40" s="187" t="s">
        <v>2553</v>
      </c>
      <c r="E40" s="187" t="s">
        <v>2816</v>
      </c>
      <c r="F40" s="173"/>
      <c r="G40" s="173">
        <v>98967.48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2.5" customHeight="1">
      <c r="A41" s="10" t="s">
        <v>2952</v>
      </c>
      <c r="B41" s="10" t="s">
        <v>67</v>
      </c>
      <c r="C41" s="152">
        <v>2021.0</v>
      </c>
      <c r="D41" s="187" t="s">
        <v>2573</v>
      </c>
      <c r="E41" s="187" t="s">
        <v>2816</v>
      </c>
      <c r="F41" s="173"/>
      <c r="G41" s="173">
        <v>238324.56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2.5" customHeight="1">
      <c r="A42" s="10" t="s">
        <v>2955</v>
      </c>
      <c r="B42" s="10" t="s">
        <v>67</v>
      </c>
      <c r="C42" s="152">
        <v>2021.0</v>
      </c>
      <c r="D42" s="187" t="s">
        <v>2593</v>
      </c>
      <c r="E42" s="187" t="s">
        <v>2816</v>
      </c>
      <c r="F42" s="173"/>
      <c r="G42" s="173">
        <v>13240.62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2.5" customHeight="1">
      <c r="A43" s="10" t="s">
        <v>2959</v>
      </c>
      <c r="B43" s="10" t="s">
        <v>67</v>
      </c>
      <c r="C43" s="152">
        <v>2021.0</v>
      </c>
      <c r="D43" s="187" t="s">
        <v>2616</v>
      </c>
      <c r="E43" s="187" t="s">
        <v>2816</v>
      </c>
      <c r="F43" s="173"/>
      <c r="G43" s="173">
        <v>1545.55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2.5" customHeight="1">
      <c r="A44" s="10" t="s">
        <v>2966</v>
      </c>
      <c r="B44" s="10" t="s">
        <v>67</v>
      </c>
      <c r="C44" s="152">
        <v>2021.0</v>
      </c>
      <c r="D44" s="187" t="s">
        <v>2742</v>
      </c>
      <c r="E44" s="187" t="s">
        <v>2816</v>
      </c>
      <c r="F44" s="173"/>
      <c r="G44" s="173">
        <v>3545.55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2.5" customHeight="1">
      <c r="A45" s="10" t="s">
        <v>2970</v>
      </c>
      <c r="B45" s="10" t="s">
        <v>67</v>
      </c>
      <c r="C45" s="152">
        <v>2021.0</v>
      </c>
      <c r="D45" s="187" t="s">
        <v>2496</v>
      </c>
      <c r="E45" s="187" t="s">
        <v>2816</v>
      </c>
      <c r="F45" s="173"/>
      <c r="G45" s="173">
        <v>11245.34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2.5" customHeight="1">
      <c r="A46" s="10" t="s">
        <v>2972</v>
      </c>
      <c r="B46" s="10" t="s">
        <v>67</v>
      </c>
      <c r="C46" s="152">
        <v>2022.0</v>
      </c>
      <c r="D46" s="187" t="s">
        <v>2495</v>
      </c>
      <c r="E46" s="187" t="s">
        <v>2816</v>
      </c>
      <c r="F46" s="173"/>
      <c r="G46" s="173">
        <v>163819.48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2.5" customHeight="1">
      <c r="A47" s="10" t="s">
        <v>2977</v>
      </c>
      <c r="B47" s="10" t="s">
        <v>67</v>
      </c>
      <c r="C47" s="152">
        <v>2022.0</v>
      </c>
      <c r="D47" s="187" t="s">
        <v>2834</v>
      </c>
      <c r="E47" s="187" t="s">
        <v>2816</v>
      </c>
      <c r="F47" s="173"/>
      <c r="G47" s="173">
        <v>2281.43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2.5" customHeight="1">
      <c r="A48" s="10" t="s">
        <v>2981</v>
      </c>
      <c r="B48" s="10" t="s">
        <v>67</v>
      </c>
      <c r="C48" s="152">
        <v>2022.0</v>
      </c>
      <c r="D48" s="187" t="s">
        <v>2585</v>
      </c>
      <c r="E48" s="187" t="s">
        <v>2816</v>
      </c>
      <c r="F48" s="173"/>
      <c r="G48" s="173">
        <v>5274.64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2.5" customHeight="1">
      <c r="A49" s="10" t="s">
        <v>2986</v>
      </c>
      <c r="B49" s="10" t="s">
        <v>67</v>
      </c>
      <c r="C49" s="152">
        <v>2022.0</v>
      </c>
      <c r="D49" s="187" t="s">
        <v>2594</v>
      </c>
      <c r="E49" s="187" t="s">
        <v>2816</v>
      </c>
      <c r="F49" s="173"/>
      <c r="G49" s="173">
        <v>6242.0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2.5" customHeight="1">
      <c r="A50" s="10" t="s">
        <v>2989</v>
      </c>
      <c r="B50" s="10" t="s">
        <v>67</v>
      </c>
      <c r="C50" s="152">
        <v>2022.0</v>
      </c>
      <c r="D50" s="187" t="s">
        <v>2739</v>
      </c>
      <c r="E50" s="187" t="s">
        <v>2816</v>
      </c>
      <c r="F50" s="173"/>
      <c r="G50" s="173">
        <v>1924.2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2.5" customHeight="1">
      <c r="A51" s="10" t="s">
        <v>2994</v>
      </c>
      <c r="B51" s="10" t="s">
        <v>67</v>
      </c>
      <c r="C51" s="152">
        <v>2022.0</v>
      </c>
      <c r="D51" s="187" t="s">
        <v>2541</v>
      </c>
      <c r="E51" s="187" t="s">
        <v>2816</v>
      </c>
      <c r="F51" s="173"/>
      <c r="G51" s="173">
        <v>13723.25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2.5" customHeight="1">
      <c r="A52" s="10" t="s">
        <v>2996</v>
      </c>
      <c r="B52" s="10" t="s">
        <v>67</v>
      </c>
      <c r="C52" s="152">
        <v>2022.0</v>
      </c>
      <c r="D52" s="187" t="s">
        <v>2553</v>
      </c>
      <c r="E52" s="187" t="s">
        <v>2816</v>
      </c>
      <c r="F52" s="173"/>
      <c r="G52" s="173">
        <v>148341.76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2.5" customHeight="1">
      <c r="A53" s="10" t="s">
        <v>2998</v>
      </c>
      <c r="B53" s="10" t="s">
        <v>67</v>
      </c>
      <c r="C53" s="152">
        <v>2022.0</v>
      </c>
      <c r="D53" s="187" t="s">
        <v>2573</v>
      </c>
      <c r="E53" s="187" t="s">
        <v>2816</v>
      </c>
      <c r="F53" s="173"/>
      <c r="G53" s="173">
        <v>6518.85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2.5" customHeight="1">
      <c r="A54" s="10" t="s">
        <v>3001</v>
      </c>
      <c r="B54" s="10" t="s">
        <v>67</v>
      </c>
      <c r="C54" s="152">
        <v>2022.0</v>
      </c>
      <c r="D54" s="187" t="s">
        <v>2593</v>
      </c>
      <c r="E54" s="187" t="s">
        <v>2816</v>
      </c>
      <c r="F54" s="173"/>
      <c r="G54" s="173">
        <v>8330.78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2.5" customHeight="1">
      <c r="A55" s="10" t="s">
        <v>3003</v>
      </c>
      <c r="B55" s="10" t="s">
        <v>67</v>
      </c>
      <c r="C55" s="152">
        <v>2022.0</v>
      </c>
      <c r="D55" s="187" t="s">
        <v>2616</v>
      </c>
      <c r="E55" s="187" t="s">
        <v>2816</v>
      </c>
      <c r="F55" s="173"/>
      <c r="G55" s="173">
        <v>4586.17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2.5" customHeight="1">
      <c r="A56" s="10" t="s">
        <v>3005</v>
      </c>
      <c r="B56" s="10" t="s">
        <v>67</v>
      </c>
      <c r="C56" s="152">
        <v>2022.0</v>
      </c>
      <c r="D56" s="187" t="s">
        <v>2742</v>
      </c>
      <c r="E56" s="187" t="s">
        <v>2816</v>
      </c>
      <c r="F56" s="173"/>
      <c r="G56" s="173">
        <v>4795.82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2.5" customHeight="1">
      <c r="A57" s="10" t="s">
        <v>3007</v>
      </c>
      <c r="B57" s="10" t="s">
        <v>67</v>
      </c>
      <c r="C57" s="152">
        <v>2022.0</v>
      </c>
      <c r="D57" s="187" t="s">
        <v>2496</v>
      </c>
      <c r="E57" s="187" t="s">
        <v>2816</v>
      </c>
      <c r="F57" s="173"/>
      <c r="G57" s="173">
        <v>11535.38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2.5" customHeight="1">
      <c r="A58" s="10" t="s">
        <v>3009</v>
      </c>
      <c r="B58" s="10" t="s">
        <v>67</v>
      </c>
      <c r="C58" s="152">
        <v>2023.0</v>
      </c>
      <c r="D58" s="187" t="s">
        <v>2495</v>
      </c>
      <c r="E58" s="187" t="s">
        <v>2816</v>
      </c>
      <c r="F58" s="173"/>
      <c r="G58" s="173">
        <v>13039.03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2.5" customHeight="1">
      <c r="A59" s="10" t="s">
        <v>3011</v>
      </c>
      <c r="B59" s="10" t="s">
        <v>67</v>
      </c>
      <c r="C59" s="152">
        <v>2023.0</v>
      </c>
      <c r="D59" s="187" t="s">
        <v>2834</v>
      </c>
      <c r="E59" s="187" t="s">
        <v>2816</v>
      </c>
      <c r="F59" s="173"/>
      <c r="G59" s="173">
        <v>8095.05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2.5" customHeight="1">
      <c r="A60" s="10" t="s">
        <v>3014</v>
      </c>
      <c r="B60" s="10" t="s">
        <v>67</v>
      </c>
      <c r="C60" s="152">
        <v>2023.0</v>
      </c>
      <c r="D60" s="187" t="s">
        <v>2585</v>
      </c>
      <c r="E60" s="187" t="s">
        <v>2816</v>
      </c>
      <c r="F60" s="173"/>
      <c r="G60" s="173">
        <v>132065.42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2.5" customHeight="1">
      <c r="A61" s="10" t="s">
        <v>3016</v>
      </c>
      <c r="B61" s="10" t="s">
        <v>67</v>
      </c>
      <c r="C61" s="152">
        <v>2023.0</v>
      </c>
      <c r="D61" s="187" t="s">
        <v>2594</v>
      </c>
      <c r="E61" s="187" t="s">
        <v>2816</v>
      </c>
      <c r="F61" s="173"/>
      <c r="G61" s="173">
        <v>1113.46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2.5" customHeight="1">
      <c r="A62" s="10" t="s">
        <v>3018</v>
      </c>
      <c r="B62" s="10" t="s">
        <v>67</v>
      </c>
      <c r="C62" s="152">
        <v>2023.0</v>
      </c>
      <c r="D62" s="187" t="s">
        <v>2739</v>
      </c>
      <c r="E62" s="187" t="s">
        <v>2816</v>
      </c>
      <c r="F62" s="173"/>
      <c r="G62" s="173">
        <v>30631.95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2.5" customHeight="1">
      <c r="A63" s="10" t="s">
        <v>3021</v>
      </c>
      <c r="B63" s="10" t="s">
        <v>67</v>
      </c>
      <c r="C63" s="152">
        <v>2023.0</v>
      </c>
      <c r="D63" s="187" t="s">
        <v>2553</v>
      </c>
      <c r="E63" s="187" t="s">
        <v>2816</v>
      </c>
      <c r="F63" s="173"/>
      <c r="G63" s="173">
        <v>154755.67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2.5" customHeight="1">
      <c r="A64" s="10" t="s">
        <v>3024</v>
      </c>
      <c r="B64" s="10" t="s">
        <v>67</v>
      </c>
      <c r="C64" s="152">
        <v>2023.0</v>
      </c>
      <c r="D64" s="187" t="s">
        <v>2573</v>
      </c>
      <c r="E64" s="187" t="s">
        <v>2816</v>
      </c>
      <c r="F64" s="173"/>
      <c r="G64" s="173">
        <v>57881.41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2.5" customHeight="1">
      <c r="A65" s="10" t="s">
        <v>3026</v>
      </c>
      <c r="B65" s="10" t="s">
        <v>67</v>
      </c>
      <c r="C65" s="152">
        <v>2023.0</v>
      </c>
      <c r="D65" s="187" t="s">
        <v>2593</v>
      </c>
      <c r="E65" s="187" t="s">
        <v>2816</v>
      </c>
      <c r="F65" s="173"/>
      <c r="G65" s="173">
        <v>58973.83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2.5" customHeight="1">
      <c r="A66" s="10" t="s">
        <v>3028</v>
      </c>
      <c r="B66" s="10" t="s">
        <v>67</v>
      </c>
      <c r="C66" s="152">
        <v>2023.0</v>
      </c>
      <c r="D66" s="187" t="s">
        <v>2616</v>
      </c>
      <c r="E66" s="187" t="s">
        <v>2816</v>
      </c>
      <c r="F66" s="173"/>
      <c r="G66" s="173">
        <v>11591.42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2.5" customHeight="1">
      <c r="A67" s="10" t="s">
        <v>3030</v>
      </c>
      <c r="B67" s="10" t="s">
        <v>67</v>
      </c>
      <c r="C67" s="152">
        <v>2023.0</v>
      </c>
      <c r="D67" s="187" t="s">
        <v>2742</v>
      </c>
      <c r="E67" s="187" t="s">
        <v>2816</v>
      </c>
      <c r="F67" s="173"/>
      <c r="G67" s="173">
        <v>21914.54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2.5" customHeight="1">
      <c r="A68" s="10" t="s">
        <v>3032</v>
      </c>
      <c r="B68" s="10" t="s">
        <v>67</v>
      </c>
      <c r="C68" s="152">
        <v>2024.0</v>
      </c>
      <c r="D68" s="187" t="s">
        <v>2834</v>
      </c>
      <c r="E68" s="187" t="s">
        <v>2816</v>
      </c>
      <c r="F68" s="173"/>
      <c r="G68" s="173">
        <v>21273.64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2.5" customHeight="1">
      <c r="A69" s="10" t="s">
        <v>3034</v>
      </c>
      <c r="B69" s="10" t="s">
        <v>133</v>
      </c>
      <c r="C69" s="152">
        <v>2018.0</v>
      </c>
      <c r="D69" s="187" t="s">
        <v>2541</v>
      </c>
      <c r="E69" s="187" t="s">
        <v>2816</v>
      </c>
      <c r="F69" s="173">
        <v>89098.16</v>
      </c>
      <c r="G69" s="173">
        <v>89098.16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2.5" customHeight="1">
      <c r="A70" s="10" t="s">
        <v>3036</v>
      </c>
      <c r="B70" s="10" t="s">
        <v>133</v>
      </c>
      <c r="C70" s="152">
        <v>2018.0</v>
      </c>
      <c r="D70" s="187" t="s">
        <v>2553</v>
      </c>
      <c r="E70" s="187" t="s">
        <v>2816</v>
      </c>
      <c r="F70" s="173">
        <v>22197.45</v>
      </c>
      <c r="G70" s="173">
        <v>22197.45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2.5" customHeight="1">
      <c r="A71" s="10" t="s">
        <v>3039</v>
      </c>
      <c r="B71" s="10" t="s">
        <v>133</v>
      </c>
      <c r="C71" s="152">
        <v>2018.0</v>
      </c>
      <c r="D71" s="187" t="s">
        <v>2573</v>
      </c>
      <c r="E71" s="187" t="s">
        <v>2816</v>
      </c>
      <c r="F71" s="173">
        <v>15160.58</v>
      </c>
      <c r="G71" s="173">
        <v>15160.58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2.5" customHeight="1">
      <c r="A72" s="10" t="s">
        <v>3041</v>
      </c>
      <c r="B72" s="10" t="s">
        <v>133</v>
      </c>
      <c r="C72" s="152">
        <v>2018.0</v>
      </c>
      <c r="D72" s="187" t="s">
        <v>2593</v>
      </c>
      <c r="E72" s="187" t="s">
        <v>2816</v>
      </c>
      <c r="F72" s="173">
        <v>168955.5</v>
      </c>
      <c r="G72" s="173">
        <v>168955.5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2.5" customHeight="1">
      <c r="A73" s="10" t="s">
        <v>3044</v>
      </c>
      <c r="B73" s="10" t="s">
        <v>133</v>
      </c>
      <c r="C73" s="152">
        <v>2018.0</v>
      </c>
      <c r="D73" s="187" t="s">
        <v>2616</v>
      </c>
      <c r="E73" s="187" t="s">
        <v>2816</v>
      </c>
      <c r="F73" s="173">
        <v>173824.47</v>
      </c>
      <c r="G73" s="173">
        <v>173824.47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2.5" customHeight="1">
      <c r="A74" s="10" t="s">
        <v>3046</v>
      </c>
      <c r="B74" s="10" t="s">
        <v>133</v>
      </c>
      <c r="C74" s="152">
        <v>2018.0</v>
      </c>
      <c r="D74" s="187" t="s">
        <v>2742</v>
      </c>
      <c r="E74" s="187" t="s">
        <v>2816</v>
      </c>
      <c r="F74" s="173">
        <v>81161.24</v>
      </c>
      <c r="G74" s="173">
        <v>81161.24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2.5" customHeight="1">
      <c r="A75" s="10" t="s">
        <v>3048</v>
      </c>
      <c r="B75" s="10" t="s">
        <v>133</v>
      </c>
      <c r="C75" s="152">
        <v>2018.0</v>
      </c>
      <c r="D75" s="187" t="s">
        <v>2496</v>
      </c>
      <c r="E75" s="187" t="s">
        <v>2816</v>
      </c>
      <c r="F75" s="173">
        <v>266761.57</v>
      </c>
      <c r="G75" s="173">
        <v>266761.57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2.5" customHeight="1">
      <c r="A76" s="10" t="s">
        <v>3051</v>
      </c>
      <c r="B76" s="10" t="s">
        <v>133</v>
      </c>
      <c r="C76" s="152">
        <v>2019.0</v>
      </c>
      <c r="D76" s="187" t="s">
        <v>2495</v>
      </c>
      <c r="E76" s="187" t="s">
        <v>2816</v>
      </c>
      <c r="F76" s="173">
        <v>247530.77</v>
      </c>
      <c r="G76" s="173">
        <v>247530.77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2.5" customHeight="1">
      <c r="A77" s="10" t="s">
        <v>3052</v>
      </c>
      <c r="B77" s="10" t="s">
        <v>133</v>
      </c>
      <c r="C77" s="152">
        <v>2019.0</v>
      </c>
      <c r="D77" s="187" t="s">
        <v>2834</v>
      </c>
      <c r="E77" s="187" t="s">
        <v>2816</v>
      </c>
      <c r="F77" s="173">
        <v>930304.74</v>
      </c>
      <c r="G77" s="173">
        <v>930304.74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2.5" customHeight="1">
      <c r="A78" s="10" t="s">
        <v>3055</v>
      </c>
      <c r="B78" s="10" t="s">
        <v>133</v>
      </c>
      <c r="C78" s="152">
        <v>2019.0</v>
      </c>
      <c r="D78" s="187" t="s">
        <v>2585</v>
      </c>
      <c r="E78" s="187" t="s">
        <v>2816</v>
      </c>
      <c r="F78" s="173">
        <v>188591.43</v>
      </c>
      <c r="G78" s="173">
        <v>188591.43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2.5" customHeight="1">
      <c r="A79" s="10" t="s">
        <v>3057</v>
      </c>
      <c r="B79" s="10" t="s">
        <v>133</v>
      </c>
      <c r="C79" s="152">
        <v>2019.0</v>
      </c>
      <c r="D79" s="187" t="s">
        <v>2594</v>
      </c>
      <c r="E79" s="187" t="s">
        <v>2816</v>
      </c>
      <c r="F79" s="173">
        <v>169348.92</v>
      </c>
      <c r="G79" s="173">
        <v>169348.92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2.5" customHeight="1">
      <c r="A80" s="10" t="s">
        <v>3059</v>
      </c>
      <c r="B80" s="10" t="s">
        <v>133</v>
      </c>
      <c r="C80" s="152">
        <v>2019.0</v>
      </c>
      <c r="D80" s="187" t="s">
        <v>2739</v>
      </c>
      <c r="E80" s="187" t="s">
        <v>2816</v>
      </c>
      <c r="F80" s="173">
        <v>1296530.76</v>
      </c>
      <c r="G80" s="173">
        <v>1296530.76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2.5" customHeight="1">
      <c r="A81" s="10" t="s">
        <v>3061</v>
      </c>
      <c r="B81" s="10" t="s">
        <v>133</v>
      </c>
      <c r="C81" s="152">
        <v>2019.0</v>
      </c>
      <c r="D81" s="187" t="s">
        <v>2541</v>
      </c>
      <c r="E81" s="187" t="s">
        <v>2816</v>
      </c>
      <c r="F81" s="173">
        <v>150841.15</v>
      </c>
      <c r="G81" s="173">
        <v>150841.15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2.5" customHeight="1">
      <c r="A82" s="10" t="s">
        <v>3063</v>
      </c>
      <c r="B82" s="10" t="s">
        <v>133</v>
      </c>
      <c r="C82" s="152">
        <v>2019.0</v>
      </c>
      <c r="D82" s="187" t="s">
        <v>2553</v>
      </c>
      <c r="E82" s="187" t="s">
        <v>2816</v>
      </c>
      <c r="F82" s="173">
        <v>213405.4</v>
      </c>
      <c r="G82" s="173">
        <v>213405.4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2.5" customHeight="1">
      <c r="A83" s="10" t="s">
        <v>3065</v>
      </c>
      <c r="B83" s="10" t="s">
        <v>133</v>
      </c>
      <c r="C83" s="152">
        <v>2019.0</v>
      </c>
      <c r="D83" s="187" t="s">
        <v>2573</v>
      </c>
      <c r="E83" s="187" t="s">
        <v>2816</v>
      </c>
      <c r="F83" s="173">
        <v>138596.33</v>
      </c>
      <c r="G83" s="173">
        <v>138596.33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2.5" customHeight="1">
      <c r="A84" s="10" t="s">
        <v>3067</v>
      </c>
      <c r="B84" s="10" t="s">
        <v>133</v>
      </c>
      <c r="C84" s="152">
        <v>2019.0</v>
      </c>
      <c r="D84" s="187" t="s">
        <v>2593</v>
      </c>
      <c r="E84" s="187" t="s">
        <v>2816</v>
      </c>
      <c r="F84" s="173">
        <v>178775.58</v>
      </c>
      <c r="G84" s="173">
        <v>178775.58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2.5" customHeight="1">
      <c r="A85" s="10" t="s">
        <v>3069</v>
      </c>
      <c r="B85" s="10" t="s">
        <v>133</v>
      </c>
      <c r="C85" s="152">
        <v>2019.0</v>
      </c>
      <c r="D85" s="187" t="s">
        <v>2616</v>
      </c>
      <c r="E85" s="187" t="s">
        <v>2816</v>
      </c>
      <c r="F85" s="173">
        <v>4335253.18</v>
      </c>
      <c r="G85" s="173">
        <v>4335253.18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2.5" customHeight="1">
      <c r="A86" s="10" t="s">
        <v>3071</v>
      </c>
      <c r="B86" s="10" t="s">
        <v>133</v>
      </c>
      <c r="C86" s="152">
        <v>2019.0</v>
      </c>
      <c r="D86" s="187" t="s">
        <v>2742</v>
      </c>
      <c r="E86" s="187" t="s">
        <v>2816</v>
      </c>
      <c r="F86" s="173">
        <v>187891.9</v>
      </c>
      <c r="G86" s="173">
        <v>187891.9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2.5" customHeight="1">
      <c r="A87" s="10" t="s">
        <v>3073</v>
      </c>
      <c r="B87" s="10" t="s">
        <v>133</v>
      </c>
      <c r="C87" s="152">
        <v>2019.0</v>
      </c>
      <c r="D87" s="187" t="s">
        <v>2496</v>
      </c>
      <c r="E87" s="187" t="s">
        <v>2816</v>
      </c>
      <c r="F87" s="173">
        <v>4429478.48</v>
      </c>
      <c r="G87" s="173">
        <v>4429478.48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2.5" customHeight="1">
      <c r="A88" s="10" t="s">
        <v>3075</v>
      </c>
      <c r="B88" s="10" t="s">
        <v>133</v>
      </c>
      <c r="C88" s="152">
        <v>2020.0</v>
      </c>
      <c r="D88" s="187" t="s">
        <v>2495</v>
      </c>
      <c r="E88" s="187" t="s">
        <v>2816</v>
      </c>
      <c r="F88" s="173">
        <v>326414.58</v>
      </c>
      <c r="G88" s="173">
        <v>326414.58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2.5" customHeight="1">
      <c r="A89" s="10" t="s">
        <v>3077</v>
      </c>
      <c r="B89" s="10" t="s">
        <v>133</v>
      </c>
      <c r="C89" s="152">
        <v>2020.0</v>
      </c>
      <c r="D89" s="187" t="s">
        <v>2834</v>
      </c>
      <c r="E89" s="187" t="s">
        <v>2816</v>
      </c>
      <c r="F89" s="173">
        <v>202637.7</v>
      </c>
      <c r="G89" s="173">
        <v>202637.7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2.5" customHeight="1">
      <c r="A90" s="10" t="s">
        <v>3079</v>
      </c>
      <c r="B90" s="10" t="s">
        <v>133</v>
      </c>
      <c r="C90" s="152">
        <v>2020.0</v>
      </c>
      <c r="D90" s="187" t="s">
        <v>2585</v>
      </c>
      <c r="E90" s="187" t="s">
        <v>2816</v>
      </c>
      <c r="F90" s="173">
        <v>122972.06</v>
      </c>
      <c r="G90" s="173">
        <v>122972.06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2.5" customHeight="1">
      <c r="A91" s="10" t="s">
        <v>3081</v>
      </c>
      <c r="B91" s="10" t="s">
        <v>133</v>
      </c>
      <c r="C91" s="152">
        <v>2020.0</v>
      </c>
      <c r="D91" s="187" t="s">
        <v>2594</v>
      </c>
      <c r="E91" s="187" t="s">
        <v>2816</v>
      </c>
      <c r="F91" s="173">
        <v>554930.5</v>
      </c>
      <c r="G91" s="173">
        <v>554930.5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2.5" customHeight="1">
      <c r="A92" s="10" t="s">
        <v>3084</v>
      </c>
      <c r="B92" s="10" t="s">
        <v>133</v>
      </c>
      <c r="C92" s="152">
        <v>2020.0</v>
      </c>
      <c r="D92" s="187" t="s">
        <v>2739</v>
      </c>
      <c r="E92" s="187" t="s">
        <v>2816</v>
      </c>
      <c r="F92" s="173">
        <v>320707.57</v>
      </c>
      <c r="G92" s="173">
        <v>320707.57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2.5" customHeight="1">
      <c r="A93" s="10" t="s">
        <v>3086</v>
      </c>
      <c r="B93" s="10" t="s">
        <v>133</v>
      </c>
      <c r="C93" s="152">
        <v>2020.0</v>
      </c>
      <c r="D93" s="187" t="s">
        <v>2541</v>
      </c>
      <c r="E93" s="187" t="s">
        <v>2816</v>
      </c>
      <c r="F93" s="173">
        <v>152840.83</v>
      </c>
      <c r="G93" s="173">
        <v>152840.83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2.5" customHeight="1">
      <c r="A94" s="10" t="s">
        <v>3089</v>
      </c>
      <c r="B94" s="10" t="s">
        <v>133</v>
      </c>
      <c r="C94" s="152">
        <v>2020.0</v>
      </c>
      <c r="D94" s="187" t="s">
        <v>2553</v>
      </c>
      <c r="E94" s="187" t="s">
        <v>2816</v>
      </c>
      <c r="F94" s="173">
        <v>170317.91</v>
      </c>
      <c r="G94" s="173">
        <v>170317.91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2.5" customHeight="1">
      <c r="A95" s="10" t="s">
        <v>3092</v>
      </c>
      <c r="B95" s="10" t="s">
        <v>133</v>
      </c>
      <c r="C95" s="152">
        <v>2020.0</v>
      </c>
      <c r="D95" s="187" t="s">
        <v>2573</v>
      </c>
      <c r="E95" s="187" t="s">
        <v>2816</v>
      </c>
      <c r="F95" s="173">
        <v>189008.75</v>
      </c>
      <c r="G95" s="173">
        <v>189008.75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2.5" customHeight="1">
      <c r="A96" s="10" t="s">
        <v>3094</v>
      </c>
      <c r="B96" s="10" t="s">
        <v>133</v>
      </c>
      <c r="C96" s="152">
        <v>2020.0</v>
      </c>
      <c r="D96" s="187" t="s">
        <v>2593</v>
      </c>
      <c r="E96" s="187" t="s">
        <v>2816</v>
      </c>
      <c r="F96" s="173">
        <v>186318.21</v>
      </c>
      <c r="G96" s="173">
        <v>186318.21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2.5" customHeight="1">
      <c r="A97" s="10" t="s">
        <v>3096</v>
      </c>
      <c r="B97" s="10" t="s">
        <v>133</v>
      </c>
      <c r="C97" s="152">
        <v>2020.0</v>
      </c>
      <c r="D97" s="187" t="s">
        <v>2616</v>
      </c>
      <c r="E97" s="187" t="s">
        <v>2816</v>
      </c>
      <c r="F97" s="173">
        <v>-64684.54</v>
      </c>
      <c r="G97" s="173">
        <v>-64684.54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2.5" customHeight="1">
      <c r="A98" s="10" t="s">
        <v>3098</v>
      </c>
      <c r="B98" s="10" t="s">
        <v>133</v>
      </c>
      <c r="C98" s="152">
        <v>2020.0</v>
      </c>
      <c r="D98" s="187" t="s">
        <v>2742</v>
      </c>
      <c r="E98" s="187" t="s">
        <v>2816</v>
      </c>
      <c r="F98" s="173">
        <v>195536.26</v>
      </c>
      <c r="G98" s="173">
        <v>195536.26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2.5" customHeight="1">
      <c r="A99" s="10" t="s">
        <v>3100</v>
      </c>
      <c r="B99" s="10" t="s">
        <v>133</v>
      </c>
      <c r="C99" s="152">
        <v>2020.0</v>
      </c>
      <c r="D99" s="187" t="s">
        <v>2496</v>
      </c>
      <c r="E99" s="187" t="s">
        <v>2816</v>
      </c>
      <c r="F99" s="173">
        <v>194185.4</v>
      </c>
      <c r="G99" s="173">
        <v>194185.4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2.5" customHeight="1">
      <c r="A100" s="10" t="s">
        <v>3102</v>
      </c>
      <c r="B100" s="10" t="s">
        <v>133</v>
      </c>
      <c r="C100" s="152">
        <v>2021.0</v>
      </c>
      <c r="D100" s="187" t="s">
        <v>2495</v>
      </c>
      <c r="E100" s="187" t="s">
        <v>2816</v>
      </c>
      <c r="F100" s="173">
        <v>116616.23</v>
      </c>
      <c r="G100" s="173">
        <v>116616.23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2.5" customHeight="1">
      <c r="A101" s="10" t="s">
        <v>3104</v>
      </c>
      <c r="B101" s="10" t="s">
        <v>133</v>
      </c>
      <c r="C101" s="152">
        <v>2021.0</v>
      </c>
      <c r="D101" s="187" t="s">
        <v>2834</v>
      </c>
      <c r="E101" s="187" t="s">
        <v>2816</v>
      </c>
      <c r="F101" s="173">
        <v>252104.68</v>
      </c>
      <c r="G101" s="173">
        <v>252104.68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2.5" customHeight="1">
      <c r="A102" s="10" t="s">
        <v>3107</v>
      </c>
      <c r="B102" s="10" t="s">
        <v>133</v>
      </c>
      <c r="C102" s="152">
        <v>2021.0</v>
      </c>
      <c r="D102" s="187" t="s">
        <v>2585</v>
      </c>
      <c r="E102" s="187" t="s">
        <v>2816</v>
      </c>
      <c r="F102" s="173">
        <v>766431.5</v>
      </c>
      <c r="G102" s="173">
        <v>766431.5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2.5" customHeight="1">
      <c r="A103" s="10" t="s">
        <v>3109</v>
      </c>
      <c r="B103" s="10" t="s">
        <v>133</v>
      </c>
      <c r="C103" s="152">
        <v>2021.0</v>
      </c>
      <c r="D103" s="187" t="s">
        <v>2594</v>
      </c>
      <c r="E103" s="187" t="s">
        <v>2816</v>
      </c>
      <c r="F103" s="173">
        <v>256480.46</v>
      </c>
      <c r="G103" s="173">
        <v>256480.46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2.5" customHeight="1">
      <c r="A104" s="10" t="s">
        <v>3111</v>
      </c>
      <c r="B104" s="10" t="s">
        <v>133</v>
      </c>
      <c r="C104" s="152">
        <v>2021.0</v>
      </c>
      <c r="D104" s="187" t="s">
        <v>2739</v>
      </c>
      <c r="E104" s="187" t="s">
        <v>2816</v>
      </c>
      <c r="F104" s="173">
        <v>334247.3</v>
      </c>
      <c r="G104" s="173">
        <v>334247.3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2.5" customHeight="1">
      <c r="A105" s="10" t="s">
        <v>3113</v>
      </c>
      <c r="B105" s="10" t="s">
        <v>133</v>
      </c>
      <c r="C105" s="152">
        <v>2021.0</v>
      </c>
      <c r="D105" s="187" t="s">
        <v>2541</v>
      </c>
      <c r="E105" s="187" t="s">
        <v>2816</v>
      </c>
      <c r="F105" s="173">
        <v>272232.38</v>
      </c>
      <c r="G105" s="173">
        <v>272232.38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2.5" customHeight="1">
      <c r="A106" s="10" t="s">
        <v>3115</v>
      </c>
      <c r="B106" s="10" t="s">
        <v>133</v>
      </c>
      <c r="C106" s="152">
        <v>2021.0</v>
      </c>
      <c r="D106" s="187" t="s">
        <v>2553</v>
      </c>
      <c r="E106" s="187" t="s">
        <v>2816</v>
      </c>
      <c r="F106" s="173">
        <v>268562.99</v>
      </c>
      <c r="G106" s="173">
        <v>268562.99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2.5" customHeight="1">
      <c r="A107" s="10" t="s">
        <v>3117</v>
      </c>
      <c r="B107" s="10" t="s">
        <v>133</v>
      </c>
      <c r="C107" s="152">
        <v>2021.0</v>
      </c>
      <c r="D107" s="187" t="s">
        <v>2573</v>
      </c>
      <c r="E107" s="187" t="s">
        <v>2816</v>
      </c>
      <c r="F107" s="173">
        <v>272255.47</v>
      </c>
      <c r="G107" s="173">
        <v>272255.47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2.5" customHeight="1">
      <c r="A108" s="10" t="s">
        <v>3119</v>
      </c>
      <c r="B108" s="10" t="s">
        <v>133</v>
      </c>
      <c r="C108" s="152">
        <v>2021.0</v>
      </c>
      <c r="D108" s="187" t="s">
        <v>2593</v>
      </c>
      <c r="E108" s="187" t="s">
        <v>2816</v>
      </c>
      <c r="F108" s="173">
        <v>243261.44</v>
      </c>
      <c r="G108" s="173">
        <v>243261.44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2.5" customHeight="1">
      <c r="A109" s="10" t="s">
        <v>3121</v>
      </c>
      <c r="B109" s="10" t="s">
        <v>133</v>
      </c>
      <c r="C109" s="152">
        <v>2021.0</v>
      </c>
      <c r="D109" s="187" t="s">
        <v>2616</v>
      </c>
      <c r="E109" s="187" t="s">
        <v>2816</v>
      </c>
      <c r="F109" s="173">
        <v>163728.14</v>
      </c>
      <c r="G109" s="173">
        <v>163728.14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2.5" customHeight="1">
      <c r="A110" s="10" t="s">
        <v>3123</v>
      </c>
      <c r="B110" s="10" t="s">
        <v>133</v>
      </c>
      <c r="C110" s="152">
        <v>2021.0</v>
      </c>
      <c r="D110" s="187" t="s">
        <v>2742</v>
      </c>
      <c r="E110" s="187" t="s">
        <v>2816</v>
      </c>
      <c r="F110" s="173">
        <v>242221.26</v>
      </c>
      <c r="G110" s="173">
        <v>242221.26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2.5" customHeight="1">
      <c r="A111" s="10" t="s">
        <v>3125</v>
      </c>
      <c r="B111" s="10" t="s">
        <v>133</v>
      </c>
      <c r="C111" s="152">
        <v>2021.0</v>
      </c>
      <c r="D111" s="187" t="s">
        <v>2496</v>
      </c>
      <c r="E111" s="187" t="s">
        <v>2816</v>
      </c>
      <c r="F111" s="173">
        <v>296241.5</v>
      </c>
      <c r="G111" s="173">
        <v>296241.5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2.5" customHeight="1">
      <c r="A112" s="10" t="s">
        <v>3127</v>
      </c>
      <c r="B112" s="10" t="s">
        <v>133</v>
      </c>
      <c r="C112" s="152">
        <v>2022.0</v>
      </c>
      <c r="D112" s="187" t="s">
        <v>2495</v>
      </c>
      <c r="E112" s="187" t="s">
        <v>2816</v>
      </c>
      <c r="F112" s="173">
        <v>295719.2</v>
      </c>
      <c r="G112" s="173">
        <v>295719.2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2.5" customHeight="1">
      <c r="A113" s="10" t="s">
        <v>3129</v>
      </c>
      <c r="B113" s="10" t="s">
        <v>133</v>
      </c>
      <c r="C113" s="152">
        <v>2022.0</v>
      </c>
      <c r="D113" s="187" t="s">
        <v>2834</v>
      </c>
      <c r="E113" s="187" t="s">
        <v>2816</v>
      </c>
      <c r="F113" s="173">
        <v>282873.22</v>
      </c>
      <c r="G113" s="173">
        <v>282873.22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2.5" customHeight="1">
      <c r="A114" s="10" t="s">
        <v>3132</v>
      </c>
      <c r="B114" s="10" t="s">
        <v>133</v>
      </c>
      <c r="C114" s="152">
        <v>2022.0</v>
      </c>
      <c r="D114" s="187" t="s">
        <v>2585</v>
      </c>
      <c r="E114" s="187" t="s">
        <v>2816</v>
      </c>
      <c r="F114" s="173">
        <v>65942.07</v>
      </c>
      <c r="G114" s="173">
        <v>65942.07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2.5" customHeight="1">
      <c r="A115" s="10" t="s">
        <v>3134</v>
      </c>
      <c r="B115" s="10" t="s">
        <v>133</v>
      </c>
      <c r="C115" s="152">
        <v>2022.0</v>
      </c>
      <c r="D115" s="187" t="s">
        <v>2594</v>
      </c>
      <c r="E115" s="187" t="s">
        <v>2816</v>
      </c>
      <c r="F115" s="173">
        <v>140110.63</v>
      </c>
      <c r="G115" s="173">
        <v>140110.63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2.5" customHeight="1">
      <c r="A116" s="10" t="s">
        <v>3136</v>
      </c>
      <c r="B116" s="10" t="s">
        <v>133</v>
      </c>
      <c r="C116" s="152">
        <v>2022.0</v>
      </c>
      <c r="D116" s="187" t="s">
        <v>2739</v>
      </c>
      <c r="E116" s="187" t="s">
        <v>2816</v>
      </c>
      <c r="F116" s="173">
        <v>858784.32</v>
      </c>
      <c r="G116" s="173">
        <v>858784.32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2.5" customHeight="1">
      <c r="A117" s="10" t="s">
        <v>3138</v>
      </c>
      <c r="B117" s="10" t="s">
        <v>133</v>
      </c>
      <c r="C117" s="152">
        <v>2022.0</v>
      </c>
      <c r="D117" s="187" t="s">
        <v>2541</v>
      </c>
      <c r="E117" s="187" t="s">
        <v>2816</v>
      </c>
      <c r="F117" s="173">
        <v>1908668.42</v>
      </c>
      <c r="G117" s="173">
        <v>1908668.42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2.5" customHeight="1">
      <c r="A118" s="10" t="s">
        <v>3141</v>
      </c>
      <c r="B118" s="10" t="s">
        <v>133</v>
      </c>
      <c r="C118" s="152">
        <v>2022.0</v>
      </c>
      <c r="D118" s="187" t="s">
        <v>2553</v>
      </c>
      <c r="E118" s="187" t="s">
        <v>2816</v>
      </c>
      <c r="F118" s="173">
        <v>3750223.98</v>
      </c>
      <c r="G118" s="173">
        <v>3750223.98</v>
      </c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2.5" customHeight="1">
      <c r="A119" s="10" t="s">
        <v>3143</v>
      </c>
      <c r="B119" s="10" t="s">
        <v>133</v>
      </c>
      <c r="C119" s="152">
        <v>2022.0</v>
      </c>
      <c r="D119" s="187" t="s">
        <v>2573</v>
      </c>
      <c r="E119" s="187" t="s">
        <v>2816</v>
      </c>
      <c r="F119" s="173">
        <v>447877.66</v>
      </c>
      <c r="G119" s="173">
        <v>447877.66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2.5" customHeight="1">
      <c r="A120" s="10" t="s">
        <v>3145</v>
      </c>
      <c r="B120" s="10" t="s">
        <v>133</v>
      </c>
      <c r="C120" s="152">
        <v>2022.0</v>
      </c>
      <c r="D120" s="187" t="s">
        <v>2593</v>
      </c>
      <c r="E120" s="187" t="s">
        <v>2816</v>
      </c>
      <c r="F120" s="173">
        <v>72710.57</v>
      </c>
      <c r="G120" s="173">
        <v>72710.57</v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2.5" customHeight="1">
      <c r="A121" s="10" t="s">
        <v>3147</v>
      </c>
      <c r="B121" s="10" t="s">
        <v>133</v>
      </c>
      <c r="C121" s="152">
        <v>2022.0</v>
      </c>
      <c r="D121" s="187" t="s">
        <v>2616</v>
      </c>
      <c r="E121" s="187" t="s">
        <v>2816</v>
      </c>
      <c r="F121" s="173">
        <v>212351.67</v>
      </c>
      <c r="G121" s="173">
        <v>212351.67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2.5" customHeight="1">
      <c r="A122" s="10" t="s">
        <v>3149</v>
      </c>
      <c r="B122" s="10" t="s">
        <v>133</v>
      </c>
      <c r="C122" s="152">
        <v>2022.0</v>
      </c>
      <c r="D122" s="187" t="s">
        <v>2742</v>
      </c>
      <c r="E122" s="187" t="s">
        <v>2816</v>
      </c>
      <c r="F122" s="173">
        <v>413532.26</v>
      </c>
      <c r="G122" s="173">
        <v>413532.26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2.5" customHeight="1">
      <c r="A123" s="10" t="s">
        <v>3151</v>
      </c>
      <c r="B123" s="10" t="s">
        <v>133</v>
      </c>
      <c r="C123" s="152">
        <v>2022.0</v>
      </c>
      <c r="D123" s="187" t="s">
        <v>2496</v>
      </c>
      <c r="E123" s="187" t="s">
        <v>2816</v>
      </c>
      <c r="F123" s="173">
        <v>177865.8</v>
      </c>
      <c r="G123" s="173">
        <v>177865.8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2.5" customHeight="1">
      <c r="A124" s="10" t="s">
        <v>3153</v>
      </c>
      <c r="B124" s="10" t="s">
        <v>133</v>
      </c>
      <c r="C124" s="152">
        <v>2023.0</v>
      </c>
      <c r="D124" s="187" t="s">
        <v>2495</v>
      </c>
      <c r="E124" s="187" t="s">
        <v>2816</v>
      </c>
      <c r="F124" s="173">
        <v>272868.98</v>
      </c>
      <c r="G124" s="173">
        <v>272868.98</v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2.5" customHeight="1">
      <c r="A125" s="10" t="s">
        <v>3155</v>
      </c>
      <c r="B125" s="10" t="s">
        <v>133</v>
      </c>
      <c r="C125" s="152">
        <v>2023.0</v>
      </c>
      <c r="D125" s="187" t="s">
        <v>2834</v>
      </c>
      <c r="E125" s="187" t="s">
        <v>2816</v>
      </c>
      <c r="F125" s="173">
        <v>218482.37</v>
      </c>
      <c r="G125" s="173">
        <v>218482.37</v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2.5" customHeight="1">
      <c r="A126" s="10" t="s">
        <v>3157</v>
      </c>
      <c r="B126" s="10" t="s">
        <v>133</v>
      </c>
      <c r="C126" s="152">
        <v>2023.0</v>
      </c>
      <c r="D126" s="187" t="s">
        <v>2585</v>
      </c>
      <c r="E126" s="187" t="s">
        <v>2816</v>
      </c>
      <c r="F126" s="173">
        <v>281471.7</v>
      </c>
      <c r="G126" s="173">
        <v>281471.7</v>
      </c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2.5" customHeight="1">
      <c r="A127" s="10" t="s">
        <v>3160</v>
      </c>
      <c r="B127" s="10" t="s">
        <v>133</v>
      </c>
      <c r="C127" s="152">
        <v>2023.0</v>
      </c>
      <c r="D127" s="187" t="s">
        <v>2594</v>
      </c>
      <c r="E127" s="187" t="s">
        <v>2816</v>
      </c>
      <c r="F127" s="173">
        <v>192899.22</v>
      </c>
      <c r="G127" s="173">
        <v>192899.22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22.5" customHeight="1">
      <c r="A128" s="10" t="s">
        <v>3162</v>
      </c>
      <c r="B128" s="10" t="s">
        <v>133</v>
      </c>
      <c r="C128" s="152">
        <v>2023.0</v>
      </c>
      <c r="D128" s="187" t="s">
        <v>2739</v>
      </c>
      <c r="E128" s="187" t="s">
        <v>2816</v>
      </c>
      <c r="F128" s="173">
        <v>214404.12</v>
      </c>
      <c r="G128" s="173">
        <v>214404.12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2.5" customHeight="1">
      <c r="A129" s="10" t="s">
        <v>3164</v>
      </c>
      <c r="B129" s="10" t="s">
        <v>133</v>
      </c>
      <c r="C129" s="152">
        <v>2023.0</v>
      </c>
      <c r="D129" s="187" t="s">
        <v>2541</v>
      </c>
      <c r="E129" s="187" t="s">
        <v>2816</v>
      </c>
      <c r="F129" s="173">
        <v>39619.11</v>
      </c>
      <c r="G129" s="173">
        <v>39619.11</v>
      </c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2.5" customHeight="1">
      <c r="A130" s="10" t="s">
        <v>3166</v>
      </c>
      <c r="B130" s="10" t="s">
        <v>133</v>
      </c>
      <c r="C130" s="152">
        <v>2023.0</v>
      </c>
      <c r="D130" s="187" t="s">
        <v>2553</v>
      </c>
      <c r="E130" s="187" t="s">
        <v>2816</v>
      </c>
      <c r="F130" s="173">
        <v>72565.92</v>
      </c>
      <c r="G130" s="173">
        <v>72565.92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2.5" customHeight="1">
      <c r="A131" s="10" t="s">
        <v>3168</v>
      </c>
      <c r="B131" s="10" t="s">
        <v>133</v>
      </c>
      <c r="C131" s="152">
        <v>2023.0</v>
      </c>
      <c r="D131" s="187" t="s">
        <v>2573</v>
      </c>
      <c r="E131" s="187" t="s">
        <v>2816</v>
      </c>
      <c r="F131" s="173">
        <v>120963.75</v>
      </c>
      <c r="G131" s="173">
        <v>120963.75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2.5" customHeight="1">
      <c r="A132" s="10" t="s">
        <v>3170</v>
      </c>
      <c r="B132" s="10" t="s">
        <v>133</v>
      </c>
      <c r="C132" s="152">
        <v>2023.0</v>
      </c>
      <c r="D132" s="187" t="s">
        <v>2593</v>
      </c>
      <c r="E132" s="187" t="s">
        <v>2816</v>
      </c>
      <c r="F132" s="173">
        <v>124839.99</v>
      </c>
      <c r="G132" s="173">
        <v>124839.99</v>
      </c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2.5" customHeight="1">
      <c r="A133" s="10" t="s">
        <v>3172</v>
      </c>
      <c r="B133" s="10" t="s">
        <v>133</v>
      </c>
      <c r="C133" s="152">
        <v>2023.0</v>
      </c>
      <c r="D133" s="187" t="s">
        <v>2616</v>
      </c>
      <c r="E133" s="187" t="s">
        <v>2816</v>
      </c>
      <c r="F133" s="173">
        <v>83885.95</v>
      </c>
      <c r="G133" s="173">
        <v>83885.95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22.5" customHeight="1">
      <c r="A134" s="10" t="s">
        <v>3174</v>
      </c>
      <c r="B134" s="10" t="s">
        <v>133</v>
      </c>
      <c r="C134" s="152">
        <v>2023.0</v>
      </c>
      <c r="D134" s="187" t="s">
        <v>2742</v>
      </c>
      <c r="E134" s="187" t="s">
        <v>2816</v>
      </c>
      <c r="F134" s="173">
        <v>79228.51</v>
      </c>
      <c r="G134" s="173">
        <v>79228.51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22.5" customHeight="1">
      <c r="A135" s="10" t="s">
        <v>3176</v>
      </c>
      <c r="B135" s="10" t="s">
        <v>133</v>
      </c>
      <c r="C135" s="152">
        <v>2023.0</v>
      </c>
      <c r="D135" s="187" t="s">
        <v>2496</v>
      </c>
      <c r="E135" s="187" t="s">
        <v>2816</v>
      </c>
      <c r="F135" s="173">
        <v>58467.28</v>
      </c>
      <c r="G135" s="173">
        <v>58467.28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22.5" customHeight="1">
      <c r="A136" s="10" t="s">
        <v>3178</v>
      </c>
      <c r="B136" s="10" t="s">
        <v>133</v>
      </c>
      <c r="C136" s="152">
        <v>2024.0</v>
      </c>
      <c r="D136" s="187" t="s">
        <v>2495</v>
      </c>
      <c r="E136" s="187" t="s">
        <v>2816</v>
      </c>
      <c r="F136" s="173">
        <v>240605.28</v>
      </c>
      <c r="G136" s="173">
        <v>240605.28</v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22.5" customHeight="1">
      <c r="A137" s="10" t="s">
        <v>3180</v>
      </c>
      <c r="B137" s="10" t="s">
        <v>133</v>
      </c>
      <c r="C137" s="152">
        <v>2024.0</v>
      </c>
      <c r="D137" s="187" t="s">
        <v>2834</v>
      </c>
      <c r="E137" s="187" t="s">
        <v>2816</v>
      </c>
      <c r="F137" s="173">
        <v>72155.98</v>
      </c>
      <c r="G137" s="173">
        <v>72155.98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22.5" customHeight="1">
      <c r="A138" s="10" t="s">
        <v>3182</v>
      </c>
      <c r="B138" s="10" t="s">
        <v>133</v>
      </c>
      <c r="C138" s="152">
        <v>2024.0</v>
      </c>
      <c r="D138" s="187" t="s">
        <v>2585</v>
      </c>
      <c r="E138" s="187" t="s">
        <v>2816</v>
      </c>
      <c r="F138" s="173">
        <v>64280.43</v>
      </c>
      <c r="G138" s="173">
        <v>64280.43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22.5" customHeight="1">
      <c r="A139" s="10" t="s">
        <v>3184</v>
      </c>
      <c r="B139" s="10" t="s">
        <v>133</v>
      </c>
      <c r="C139" s="152">
        <v>2024.0</v>
      </c>
      <c r="D139" s="187" t="s">
        <v>2594</v>
      </c>
      <c r="E139" s="187" t="s">
        <v>2816</v>
      </c>
      <c r="F139" s="173">
        <v>7425.0</v>
      </c>
      <c r="G139" s="173">
        <v>7425.0</v>
      </c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22.5" customHeight="1">
      <c r="A140" s="10" t="s">
        <v>3186</v>
      </c>
      <c r="B140" s="10" t="s">
        <v>103</v>
      </c>
      <c r="C140" s="152">
        <v>2018.0</v>
      </c>
      <c r="D140" s="187" t="s">
        <v>2553</v>
      </c>
      <c r="E140" s="187" t="s">
        <v>2816</v>
      </c>
      <c r="F140" s="173"/>
      <c r="G140" s="173">
        <v>488350.34</v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22.5" customHeight="1">
      <c r="A141" s="10" t="s">
        <v>3188</v>
      </c>
      <c r="B141" s="10" t="s">
        <v>103</v>
      </c>
      <c r="C141" s="152">
        <v>2018.0</v>
      </c>
      <c r="D141" s="187" t="s">
        <v>2573</v>
      </c>
      <c r="E141" s="187" t="s">
        <v>2816</v>
      </c>
      <c r="F141" s="173"/>
      <c r="G141" s="173">
        <v>1125242.3</v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22.5" customHeight="1">
      <c r="A142" s="10" t="s">
        <v>3190</v>
      </c>
      <c r="B142" s="10" t="s">
        <v>103</v>
      </c>
      <c r="C142" s="152">
        <v>2018.0</v>
      </c>
      <c r="D142" s="187" t="s">
        <v>2616</v>
      </c>
      <c r="E142" s="187" t="s">
        <v>2816</v>
      </c>
      <c r="F142" s="173"/>
      <c r="G142" s="173">
        <v>3.03044131E7</v>
      </c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22.5" customHeight="1">
      <c r="A143" s="10" t="s">
        <v>3192</v>
      </c>
      <c r="B143" s="10" t="s">
        <v>103</v>
      </c>
      <c r="C143" s="152">
        <v>2018.0</v>
      </c>
      <c r="D143" s="187" t="s">
        <v>2742</v>
      </c>
      <c r="E143" s="187" t="s">
        <v>2816</v>
      </c>
      <c r="F143" s="173"/>
      <c r="G143" s="173">
        <v>390954.93</v>
      </c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22.5" customHeight="1">
      <c r="A144" s="10" t="s">
        <v>3194</v>
      </c>
      <c r="B144" s="10" t="s">
        <v>103</v>
      </c>
      <c r="C144" s="152">
        <v>2019.0</v>
      </c>
      <c r="D144" s="187" t="s">
        <v>2495</v>
      </c>
      <c r="E144" s="187" t="s">
        <v>2816</v>
      </c>
      <c r="F144" s="173"/>
      <c r="G144" s="173">
        <v>619101.17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22.5" customHeight="1">
      <c r="A145" s="10" t="s">
        <v>3197</v>
      </c>
      <c r="B145" s="10" t="s">
        <v>103</v>
      </c>
      <c r="C145" s="152">
        <v>2019.0</v>
      </c>
      <c r="D145" s="187" t="s">
        <v>2834</v>
      </c>
      <c r="E145" s="187" t="s">
        <v>2816</v>
      </c>
      <c r="F145" s="173"/>
      <c r="G145" s="173">
        <v>2000000.0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22.5" customHeight="1">
      <c r="A146" s="10" t="s">
        <v>3199</v>
      </c>
      <c r="B146" s="10" t="s">
        <v>103</v>
      </c>
      <c r="C146" s="152">
        <v>2019.0</v>
      </c>
      <c r="D146" s="187" t="s">
        <v>2739</v>
      </c>
      <c r="E146" s="187" t="s">
        <v>2816</v>
      </c>
      <c r="F146" s="173"/>
      <c r="G146" s="173">
        <v>1461004.73</v>
      </c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22.5" customHeight="1">
      <c r="A147" s="10" t="s">
        <v>3200</v>
      </c>
      <c r="B147" s="10" t="s">
        <v>103</v>
      </c>
      <c r="C147" s="152">
        <v>2019.0</v>
      </c>
      <c r="D147" s="187" t="s">
        <v>2541</v>
      </c>
      <c r="E147" s="187" t="s">
        <v>2816</v>
      </c>
      <c r="F147" s="173"/>
      <c r="G147" s="173">
        <v>350226.29</v>
      </c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22.5" customHeight="1">
      <c r="A148" s="10" t="s">
        <v>3203</v>
      </c>
      <c r="B148" s="10" t="s">
        <v>103</v>
      </c>
      <c r="C148" s="152">
        <v>2019.0</v>
      </c>
      <c r="D148" s="187" t="s">
        <v>2553</v>
      </c>
      <c r="E148" s="187" t="s">
        <v>2816</v>
      </c>
      <c r="F148" s="173"/>
      <c r="G148" s="173">
        <v>621159.2</v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22.5" customHeight="1">
      <c r="A149" s="10" t="s">
        <v>3205</v>
      </c>
      <c r="B149" s="10" t="s">
        <v>103</v>
      </c>
      <c r="C149" s="152">
        <v>2019.0</v>
      </c>
      <c r="D149" s="187" t="s">
        <v>2573</v>
      </c>
      <c r="E149" s="187" t="s">
        <v>2816</v>
      </c>
      <c r="F149" s="173"/>
      <c r="G149" s="173">
        <v>378565.15</v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22.5" customHeight="1">
      <c r="A150" s="10" t="s">
        <v>3207</v>
      </c>
      <c r="B150" s="10" t="s">
        <v>103</v>
      </c>
      <c r="C150" s="152">
        <v>2019.0</v>
      </c>
      <c r="D150" s="187" t="s">
        <v>2593</v>
      </c>
      <c r="E150" s="187" t="s">
        <v>2816</v>
      </c>
      <c r="F150" s="173"/>
      <c r="G150" s="173">
        <v>440864.44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22.5" customHeight="1">
      <c r="A151" s="10" t="s">
        <v>3209</v>
      </c>
      <c r="B151" s="10" t="s">
        <v>103</v>
      </c>
      <c r="C151" s="152">
        <v>2019.0</v>
      </c>
      <c r="D151" s="187" t="s">
        <v>2616</v>
      </c>
      <c r="E151" s="187" t="s">
        <v>2816</v>
      </c>
      <c r="F151" s="173"/>
      <c r="G151" s="173">
        <v>560476.85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22.5" customHeight="1">
      <c r="A152" s="10" t="s">
        <v>3211</v>
      </c>
      <c r="B152" s="10" t="s">
        <v>103</v>
      </c>
      <c r="C152" s="152">
        <v>2019.0</v>
      </c>
      <c r="D152" s="187" t="s">
        <v>2742</v>
      </c>
      <c r="E152" s="187" t="s">
        <v>2816</v>
      </c>
      <c r="F152" s="173"/>
      <c r="G152" s="173">
        <v>367207.48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22.5" customHeight="1">
      <c r="A153" s="10" t="s">
        <v>3213</v>
      </c>
      <c r="B153" s="10" t="s">
        <v>103</v>
      </c>
      <c r="C153" s="152">
        <v>2019.0</v>
      </c>
      <c r="D153" s="187" t="s">
        <v>2496</v>
      </c>
      <c r="E153" s="187" t="s">
        <v>2816</v>
      </c>
      <c r="F153" s="173"/>
      <c r="G153" s="173">
        <v>3795089.89</v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22.5" customHeight="1">
      <c r="A154" s="10" t="s">
        <v>3215</v>
      </c>
      <c r="B154" s="10" t="s">
        <v>103</v>
      </c>
      <c r="C154" s="152">
        <v>2020.0</v>
      </c>
      <c r="D154" s="187" t="s">
        <v>2495</v>
      </c>
      <c r="E154" s="187" t="s">
        <v>2816</v>
      </c>
      <c r="F154" s="173"/>
      <c r="G154" s="173">
        <v>1553745.18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22.5" customHeight="1">
      <c r="A155" s="10" t="s">
        <v>3217</v>
      </c>
      <c r="B155" s="10" t="s">
        <v>103</v>
      </c>
      <c r="C155" s="152">
        <v>2020.0</v>
      </c>
      <c r="D155" s="187" t="s">
        <v>2585</v>
      </c>
      <c r="E155" s="187" t="s">
        <v>2816</v>
      </c>
      <c r="F155" s="173"/>
      <c r="G155" s="173">
        <v>1393705.32</v>
      </c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22.5" customHeight="1">
      <c r="A156" s="10" t="s">
        <v>3219</v>
      </c>
      <c r="B156" s="10" t="s">
        <v>103</v>
      </c>
      <c r="C156" s="152">
        <v>2020.0</v>
      </c>
      <c r="D156" s="187" t="s">
        <v>2594</v>
      </c>
      <c r="E156" s="187" t="s">
        <v>2816</v>
      </c>
      <c r="F156" s="173"/>
      <c r="G156" s="173">
        <v>1036910.14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22.5" customHeight="1">
      <c r="A157" s="10" t="s">
        <v>3221</v>
      </c>
      <c r="B157" s="10" t="s">
        <v>103</v>
      </c>
      <c r="C157" s="152">
        <v>2020.0</v>
      </c>
      <c r="D157" s="187" t="s">
        <v>2553</v>
      </c>
      <c r="E157" s="187" t="s">
        <v>2816</v>
      </c>
      <c r="F157" s="173"/>
      <c r="G157" s="173">
        <v>1414166.67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22.5" customHeight="1">
      <c r="A158" s="10" t="s">
        <v>3223</v>
      </c>
      <c r="B158" s="10" t="s">
        <v>103</v>
      </c>
      <c r="C158" s="152">
        <v>2021.0</v>
      </c>
      <c r="D158" s="187" t="s">
        <v>2495</v>
      </c>
      <c r="E158" s="187" t="s">
        <v>2816</v>
      </c>
      <c r="F158" s="173"/>
      <c r="G158" s="173">
        <v>5288335.08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22.5" customHeight="1">
      <c r="A159" s="10" t="s">
        <v>3225</v>
      </c>
      <c r="B159" s="10" t="s">
        <v>103</v>
      </c>
      <c r="C159" s="152">
        <v>2021.0</v>
      </c>
      <c r="D159" s="187" t="s">
        <v>2834</v>
      </c>
      <c r="E159" s="187" t="s">
        <v>2816</v>
      </c>
      <c r="F159" s="173"/>
      <c r="G159" s="173">
        <v>915030.71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22.5" customHeight="1">
      <c r="A160" s="10" t="s">
        <v>3227</v>
      </c>
      <c r="B160" s="10" t="s">
        <v>103</v>
      </c>
      <c r="C160" s="152">
        <v>2021.0</v>
      </c>
      <c r="D160" s="187" t="s">
        <v>2585</v>
      </c>
      <c r="E160" s="187" t="s">
        <v>2816</v>
      </c>
      <c r="F160" s="173"/>
      <c r="G160" s="173">
        <v>196839.15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22.5" customHeight="1">
      <c r="A161" s="10" t="s">
        <v>3229</v>
      </c>
      <c r="B161" s="10" t="s">
        <v>103</v>
      </c>
      <c r="C161" s="152">
        <v>2021.0</v>
      </c>
      <c r="D161" s="187" t="s">
        <v>2594</v>
      </c>
      <c r="E161" s="187" t="s">
        <v>2816</v>
      </c>
      <c r="F161" s="173"/>
      <c r="G161" s="173">
        <v>482695.94</v>
      </c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22.5" customHeight="1">
      <c r="A162" s="10" t="s">
        <v>3231</v>
      </c>
      <c r="B162" s="10" t="s">
        <v>103</v>
      </c>
      <c r="C162" s="152">
        <v>2021.0</v>
      </c>
      <c r="D162" s="187" t="s">
        <v>2739</v>
      </c>
      <c r="E162" s="187" t="s">
        <v>2816</v>
      </c>
      <c r="F162" s="173"/>
      <c r="G162" s="173">
        <v>1027857.51</v>
      </c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22.5" customHeight="1">
      <c r="A163" s="10" t="s">
        <v>3233</v>
      </c>
      <c r="B163" s="10" t="s">
        <v>103</v>
      </c>
      <c r="C163" s="152">
        <v>2021.0</v>
      </c>
      <c r="D163" s="187" t="s">
        <v>2541</v>
      </c>
      <c r="E163" s="187" t="s">
        <v>2816</v>
      </c>
      <c r="F163" s="173"/>
      <c r="G163" s="173">
        <v>4101335.83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22.5" customHeight="1">
      <c r="A164" s="10" t="s">
        <v>3235</v>
      </c>
      <c r="B164" s="10" t="s">
        <v>103</v>
      </c>
      <c r="C164" s="152">
        <v>2021.0</v>
      </c>
      <c r="D164" s="187" t="s">
        <v>2553</v>
      </c>
      <c r="E164" s="187" t="s">
        <v>2816</v>
      </c>
      <c r="F164" s="173"/>
      <c r="G164" s="173">
        <v>593804.59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22.5" customHeight="1">
      <c r="A165" s="10" t="s">
        <v>3237</v>
      </c>
      <c r="B165" s="10" t="s">
        <v>103</v>
      </c>
      <c r="C165" s="152">
        <v>2021.0</v>
      </c>
      <c r="D165" s="187" t="s">
        <v>2573</v>
      </c>
      <c r="E165" s="187" t="s">
        <v>2816</v>
      </c>
      <c r="F165" s="173"/>
      <c r="G165" s="173">
        <v>2117214.32</v>
      </c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22.5" customHeight="1">
      <c r="A166" s="10" t="s">
        <v>3239</v>
      </c>
      <c r="B166" s="10" t="s">
        <v>103</v>
      </c>
      <c r="C166" s="152">
        <v>2021.0</v>
      </c>
      <c r="D166" s="187" t="s">
        <v>2593</v>
      </c>
      <c r="E166" s="187" t="s">
        <v>2816</v>
      </c>
      <c r="F166" s="173"/>
      <c r="G166" s="173">
        <v>59249.65</v>
      </c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22.5" customHeight="1">
      <c r="A167" s="10" t="s">
        <v>3241</v>
      </c>
      <c r="B167" s="10" t="s">
        <v>103</v>
      </c>
      <c r="C167" s="152">
        <v>2021.0</v>
      </c>
      <c r="D167" s="187" t="s">
        <v>2616</v>
      </c>
      <c r="E167" s="187" t="s">
        <v>2816</v>
      </c>
      <c r="F167" s="173"/>
      <c r="G167" s="173">
        <v>150791.44</v>
      </c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22.5" customHeight="1">
      <c r="A168" s="10" t="s">
        <v>3243</v>
      </c>
      <c r="B168" s="10" t="s">
        <v>103</v>
      </c>
      <c r="C168" s="152">
        <v>2021.0</v>
      </c>
      <c r="D168" s="187" t="s">
        <v>2742</v>
      </c>
      <c r="E168" s="187" t="s">
        <v>2816</v>
      </c>
      <c r="F168" s="173"/>
      <c r="G168" s="173">
        <v>237263.65</v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22.5" customHeight="1">
      <c r="A169" s="10" t="s">
        <v>3245</v>
      </c>
      <c r="B169" s="10" t="s">
        <v>103</v>
      </c>
      <c r="C169" s="152">
        <v>2021.0</v>
      </c>
      <c r="D169" s="187" t="s">
        <v>2496</v>
      </c>
      <c r="E169" s="187" t="s">
        <v>2816</v>
      </c>
      <c r="F169" s="173"/>
      <c r="G169" s="173">
        <v>3703926.39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22.5" customHeight="1">
      <c r="A170" s="10" t="s">
        <v>3247</v>
      </c>
      <c r="B170" s="10" t="s">
        <v>103</v>
      </c>
      <c r="C170" s="152">
        <v>2022.0</v>
      </c>
      <c r="D170" s="187" t="s">
        <v>2495</v>
      </c>
      <c r="E170" s="187" t="s">
        <v>2816</v>
      </c>
      <c r="F170" s="173"/>
      <c r="G170" s="173">
        <v>351523.97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22.5" customHeight="1">
      <c r="A171" s="10" t="s">
        <v>3249</v>
      </c>
      <c r="B171" s="10" t="s">
        <v>103</v>
      </c>
      <c r="C171" s="152">
        <v>2022.0</v>
      </c>
      <c r="D171" s="187" t="s">
        <v>2834</v>
      </c>
      <c r="E171" s="187" t="s">
        <v>2816</v>
      </c>
      <c r="F171" s="173"/>
      <c r="G171" s="173">
        <v>442371.84</v>
      </c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22.5" customHeight="1">
      <c r="A172" s="10" t="s">
        <v>3251</v>
      </c>
      <c r="B172" s="10" t="s">
        <v>103</v>
      </c>
      <c r="C172" s="152">
        <v>2022.0</v>
      </c>
      <c r="D172" s="187" t="s">
        <v>2585</v>
      </c>
      <c r="E172" s="187" t="s">
        <v>2816</v>
      </c>
      <c r="F172" s="173"/>
      <c r="G172" s="173">
        <v>310707.09</v>
      </c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22.5" customHeight="1">
      <c r="A173" s="10" t="s">
        <v>3254</v>
      </c>
      <c r="B173" s="10" t="s">
        <v>103</v>
      </c>
      <c r="C173" s="152">
        <v>2022.0</v>
      </c>
      <c r="D173" s="187" t="s">
        <v>2594</v>
      </c>
      <c r="E173" s="187" t="s">
        <v>2816</v>
      </c>
      <c r="F173" s="173"/>
      <c r="G173" s="173">
        <v>481104.28</v>
      </c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22.5" customHeight="1">
      <c r="A174" s="10" t="s">
        <v>3256</v>
      </c>
      <c r="B174" s="10" t="s">
        <v>103</v>
      </c>
      <c r="C174" s="152">
        <v>2022.0</v>
      </c>
      <c r="D174" s="187" t="s">
        <v>2739</v>
      </c>
      <c r="E174" s="187" t="s">
        <v>2816</v>
      </c>
      <c r="F174" s="173"/>
      <c r="G174" s="173">
        <v>338968.63</v>
      </c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22.5" customHeight="1">
      <c r="A175" s="10" t="s">
        <v>3258</v>
      </c>
      <c r="B175" s="10" t="s">
        <v>103</v>
      </c>
      <c r="C175" s="152">
        <v>2022.0</v>
      </c>
      <c r="D175" s="187" t="s">
        <v>2541</v>
      </c>
      <c r="E175" s="187" t="s">
        <v>2816</v>
      </c>
      <c r="F175" s="173"/>
      <c r="G175" s="173">
        <v>224423.54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22.5" customHeight="1">
      <c r="A176" s="10" t="s">
        <v>3260</v>
      </c>
      <c r="B176" s="10" t="s">
        <v>103</v>
      </c>
      <c r="C176" s="152">
        <v>2022.0</v>
      </c>
      <c r="D176" s="187" t="s">
        <v>2553</v>
      </c>
      <c r="E176" s="187" t="s">
        <v>2816</v>
      </c>
      <c r="F176" s="173"/>
      <c r="G176" s="173">
        <v>270272.04</v>
      </c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22.5" customHeight="1">
      <c r="A177" s="10" t="s">
        <v>3262</v>
      </c>
      <c r="B177" s="10" t="s">
        <v>103</v>
      </c>
      <c r="C177" s="152">
        <v>2022.0</v>
      </c>
      <c r="D177" s="187" t="s">
        <v>2573</v>
      </c>
      <c r="E177" s="187" t="s">
        <v>2816</v>
      </c>
      <c r="F177" s="173"/>
      <c r="G177" s="173">
        <v>168092.58</v>
      </c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22.5" customHeight="1">
      <c r="A178" s="10" t="s">
        <v>3264</v>
      </c>
      <c r="B178" s="10" t="s">
        <v>103</v>
      </c>
      <c r="C178" s="152">
        <v>2022.0</v>
      </c>
      <c r="D178" s="187" t="s">
        <v>2593</v>
      </c>
      <c r="E178" s="187" t="s">
        <v>2816</v>
      </c>
      <c r="F178" s="173"/>
      <c r="G178" s="173">
        <v>26546.96</v>
      </c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22.5" customHeight="1">
      <c r="A179" s="10" t="s">
        <v>3266</v>
      </c>
      <c r="B179" s="10" t="s">
        <v>103</v>
      </c>
      <c r="C179" s="152">
        <v>2022.0</v>
      </c>
      <c r="D179" s="187" t="s">
        <v>2616</v>
      </c>
      <c r="E179" s="187" t="s">
        <v>2816</v>
      </c>
      <c r="F179" s="173"/>
      <c r="G179" s="173">
        <v>214120.74</v>
      </c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22.5" customHeight="1">
      <c r="A180" s="10" t="s">
        <v>3268</v>
      </c>
      <c r="B180" s="10" t="s">
        <v>103</v>
      </c>
      <c r="C180" s="152">
        <v>2022.0</v>
      </c>
      <c r="D180" s="187" t="s">
        <v>2742</v>
      </c>
      <c r="E180" s="187" t="s">
        <v>2816</v>
      </c>
      <c r="F180" s="173"/>
      <c r="G180" s="173">
        <v>8975.7</v>
      </c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22.5" customHeight="1">
      <c r="A181" s="10" t="s">
        <v>3270</v>
      </c>
      <c r="B181" s="10" t="s">
        <v>103</v>
      </c>
      <c r="C181" s="152">
        <v>2022.0</v>
      </c>
      <c r="D181" s="187" t="s">
        <v>2496</v>
      </c>
      <c r="E181" s="187" t="s">
        <v>2816</v>
      </c>
      <c r="F181" s="173"/>
      <c r="G181" s="173">
        <v>890230.42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22.5" customHeight="1">
      <c r="A182" s="10" t="s">
        <v>3272</v>
      </c>
      <c r="B182" s="10" t="s">
        <v>103</v>
      </c>
      <c r="C182" s="152">
        <v>2023.0</v>
      </c>
      <c r="D182" s="187" t="s">
        <v>2495</v>
      </c>
      <c r="E182" s="187" t="s">
        <v>2816</v>
      </c>
      <c r="F182" s="173"/>
      <c r="G182" s="173">
        <v>386139.69</v>
      </c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22.5" customHeight="1">
      <c r="A183" s="10" t="s">
        <v>3274</v>
      </c>
      <c r="B183" s="10" t="s">
        <v>103</v>
      </c>
      <c r="C183" s="152">
        <v>2023.0</v>
      </c>
      <c r="D183" s="187" t="s">
        <v>2834</v>
      </c>
      <c r="E183" s="187" t="s">
        <v>2816</v>
      </c>
      <c r="F183" s="173"/>
      <c r="G183" s="173">
        <v>410142.98</v>
      </c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22.5" customHeight="1">
      <c r="A184" s="10" t="s">
        <v>3276</v>
      </c>
      <c r="B184" s="10" t="s">
        <v>103</v>
      </c>
      <c r="C184" s="152">
        <v>2023.0</v>
      </c>
      <c r="D184" s="187" t="s">
        <v>2585</v>
      </c>
      <c r="E184" s="187" t="s">
        <v>2816</v>
      </c>
      <c r="F184" s="173"/>
      <c r="G184" s="173">
        <v>20676.12</v>
      </c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22.5" customHeight="1">
      <c r="A185" s="10" t="s">
        <v>3278</v>
      </c>
      <c r="B185" s="10" t="s">
        <v>103</v>
      </c>
      <c r="C185" s="152">
        <v>2023.0</v>
      </c>
      <c r="D185" s="187" t="s">
        <v>2594</v>
      </c>
      <c r="E185" s="187" t="s">
        <v>2816</v>
      </c>
      <c r="F185" s="173"/>
      <c r="G185" s="173">
        <v>184568.79</v>
      </c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22.5" customHeight="1">
      <c r="A186" s="10" t="s">
        <v>3280</v>
      </c>
      <c r="B186" s="10" t="s">
        <v>103</v>
      </c>
      <c r="C186" s="152">
        <v>2023.0</v>
      </c>
      <c r="D186" s="187" t="s">
        <v>2739</v>
      </c>
      <c r="E186" s="187" t="s">
        <v>2816</v>
      </c>
      <c r="F186" s="173"/>
      <c r="G186" s="173">
        <v>565744.95</v>
      </c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22.5" customHeight="1">
      <c r="A187" s="10" t="s">
        <v>3282</v>
      </c>
      <c r="B187" s="10" t="s">
        <v>103</v>
      </c>
      <c r="C187" s="152">
        <v>2023.0</v>
      </c>
      <c r="D187" s="187" t="s">
        <v>2541</v>
      </c>
      <c r="E187" s="187" t="s">
        <v>2816</v>
      </c>
      <c r="F187" s="173"/>
      <c r="G187" s="173">
        <v>273323.47</v>
      </c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22.5" customHeight="1">
      <c r="A188" s="10" t="s">
        <v>3284</v>
      </c>
      <c r="B188" s="10" t="s">
        <v>103</v>
      </c>
      <c r="C188" s="152">
        <v>2023.0</v>
      </c>
      <c r="D188" s="187" t="s">
        <v>2553</v>
      </c>
      <c r="E188" s="187" t="s">
        <v>2816</v>
      </c>
      <c r="F188" s="173"/>
      <c r="G188" s="173">
        <v>264240.55</v>
      </c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22.5" customHeight="1">
      <c r="A189" s="10" t="s">
        <v>3286</v>
      </c>
      <c r="B189" s="10" t="s">
        <v>103</v>
      </c>
      <c r="C189" s="152">
        <v>2023.0</v>
      </c>
      <c r="D189" s="187" t="s">
        <v>2573</v>
      </c>
      <c r="E189" s="187" t="s">
        <v>2816</v>
      </c>
      <c r="F189" s="173"/>
      <c r="G189" s="173">
        <v>38361.07</v>
      </c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22.5" customHeight="1">
      <c r="A190" s="10" t="s">
        <v>3289</v>
      </c>
      <c r="B190" s="10" t="s">
        <v>103</v>
      </c>
      <c r="C190" s="152">
        <v>2023.0</v>
      </c>
      <c r="D190" s="187" t="s">
        <v>2593</v>
      </c>
      <c r="E190" s="187" t="s">
        <v>2816</v>
      </c>
      <c r="F190" s="173"/>
      <c r="G190" s="173">
        <v>74165.64</v>
      </c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22.5" customHeight="1">
      <c r="A191" s="10" t="s">
        <v>3291</v>
      </c>
      <c r="B191" s="10" t="s">
        <v>103</v>
      </c>
      <c r="C191" s="152">
        <v>2023.0</v>
      </c>
      <c r="D191" s="187" t="s">
        <v>2616</v>
      </c>
      <c r="E191" s="187" t="s">
        <v>2816</v>
      </c>
      <c r="F191" s="173"/>
      <c r="G191" s="173">
        <v>419580.53</v>
      </c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22.5" customHeight="1">
      <c r="A192" s="10" t="s">
        <v>3294</v>
      </c>
      <c r="B192" s="10" t="s">
        <v>103</v>
      </c>
      <c r="C192" s="152">
        <v>2023.0</v>
      </c>
      <c r="D192" s="187" t="s">
        <v>2496</v>
      </c>
      <c r="E192" s="187" t="s">
        <v>2816</v>
      </c>
      <c r="F192" s="173"/>
      <c r="G192" s="173">
        <v>279751.29</v>
      </c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22.5" customHeight="1">
      <c r="A193" s="10" t="s">
        <v>3296</v>
      </c>
      <c r="B193" s="10" t="s">
        <v>103</v>
      </c>
      <c r="C193" s="152">
        <v>2024.0</v>
      </c>
      <c r="D193" s="187" t="s">
        <v>2495</v>
      </c>
      <c r="E193" s="187" t="s">
        <v>2816</v>
      </c>
      <c r="F193" s="173"/>
      <c r="G193" s="173">
        <v>297658.09</v>
      </c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22.5" customHeight="1">
      <c r="A194" s="10" t="s">
        <v>3299</v>
      </c>
      <c r="B194" s="10" t="s">
        <v>103</v>
      </c>
      <c r="C194" s="152">
        <v>2024.0</v>
      </c>
      <c r="D194" s="187" t="s">
        <v>2585</v>
      </c>
      <c r="E194" s="187" t="s">
        <v>2816</v>
      </c>
      <c r="F194" s="173"/>
      <c r="G194" s="173">
        <v>187464.14</v>
      </c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22.5" customHeight="1">
      <c r="A195" s="10" t="s">
        <v>3301</v>
      </c>
      <c r="B195" s="10" t="s">
        <v>103</v>
      </c>
      <c r="C195" s="152">
        <v>2024.0</v>
      </c>
      <c r="D195" s="187" t="s">
        <v>2594</v>
      </c>
      <c r="E195" s="187" t="s">
        <v>2816</v>
      </c>
      <c r="F195" s="173"/>
      <c r="G195" s="173">
        <v>270862.83</v>
      </c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22.5" customHeight="1">
      <c r="A196" s="10" t="s">
        <v>3303</v>
      </c>
      <c r="B196" s="10" t="s">
        <v>103</v>
      </c>
      <c r="C196" s="152">
        <v>2024.0</v>
      </c>
      <c r="D196" s="187" t="s">
        <v>2739</v>
      </c>
      <c r="E196" s="187" t="s">
        <v>2816</v>
      </c>
      <c r="F196" s="173"/>
      <c r="G196" s="173">
        <v>110250.04</v>
      </c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22.5" customHeight="1">
      <c r="A197" s="10" t="s">
        <v>3306</v>
      </c>
      <c r="B197" s="10" t="s">
        <v>103</v>
      </c>
      <c r="C197" s="152">
        <v>2024.0</v>
      </c>
      <c r="D197" s="187" t="s">
        <v>2541</v>
      </c>
      <c r="E197" s="187" t="s">
        <v>2816</v>
      </c>
      <c r="F197" s="173"/>
      <c r="G197" s="173">
        <v>1460124.09</v>
      </c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22.5" customHeight="1">
      <c r="A198" s="10" t="s">
        <v>3308</v>
      </c>
      <c r="B198" s="10" t="s">
        <v>142</v>
      </c>
      <c r="C198" s="152">
        <v>2018.0</v>
      </c>
      <c r="D198" s="187" t="s">
        <v>2553</v>
      </c>
      <c r="E198" s="187" t="s">
        <v>2816</v>
      </c>
      <c r="F198" s="173"/>
      <c r="G198" s="173">
        <v>32871.71</v>
      </c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22.5" customHeight="1">
      <c r="A199" s="10" t="s">
        <v>3310</v>
      </c>
      <c r="B199" s="10" t="s">
        <v>142</v>
      </c>
      <c r="C199" s="152">
        <v>2018.0</v>
      </c>
      <c r="D199" s="187" t="s">
        <v>2593</v>
      </c>
      <c r="E199" s="187" t="s">
        <v>2816</v>
      </c>
      <c r="F199" s="173"/>
      <c r="G199" s="173">
        <v>21.79</v>
      </c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22.5" customHeight="1">
      <c r="A200" s="10" t="s">
        <v>3313</v>
      </c>
      <c r="B200" s="10" t="s">
        <v>142</v>
      </c>
      <c r="C200" s="152">
        <v>2018.0</v>
      </c>
      <c r="D200" s="187" t="s">
        <v>2616</v>
      </c>
      <c r="E200" s="187" t="s">
        <v>2816</v>
      </c>
      <c r="F200" s="173"/>
      <c r="G200" s="173">
        <v>163500.0</v>
      </c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22.5" customHeight="1">
      <c r="A201" s="10" t="s">
        <v>3315</v>
      </c>
      <c r="B201" s="10" t="s">
        <v>142</v>
      </c>
      <c r="C201" s="152">
        <v>2018.0</v>
      </c>
      <c r="D201" s="187" t="s">
        <v>2742</v>
      </c>
      <c r="E201" s="187" t="s">
        <v>2816</v>
      </c>
      <c r="F201" s="173"/>
      <c r="G201" s="173">
        <v>695677.48</v>
      </c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22.5" customHeight="1">
      <c r="A202" s="10" t="s">
        <v>3318</v>
      </c>
      <c r="B202" s="10" t="s">
        <v>142</v>
      </c>
      <c r="C202" s="152">
        <v>2018.0</v>
      </c>
      <c r="D202" s="187" t="s">
        <v>2496</v>
      </c>
      <c r="E202" s="187" t="s">
        <v>2816</v>
      </c>
      <c r="F202" s="173"/>
      <c r="G202" s="173">
        <v>237288.67</v>
      </c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22.5" customHeight="1">
      <c r="A203" s="10" t="s">
        <v>3320</v>
      </c>
      <c r="B203" s="10" t="s">
        <v>142</v>
      </c>
      <c r="C203" s="152">
        <v>2019.0</v>
      </c>
      <c r="D203" s="187" t="s">
        <v>2495</v>
      </c>
      <c r="E203" s="187" t="s">
        <v>2816</v>
      </c>
      <c r="F203" s="173"/>
      <c r="G203" s="173">
        <v>165029.65</v>
      </c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22.5" customHeight="1">
      <c r="A204" s="10" t="s">
        <v>3322</v>
      </c>
      <c r="B204" s="10" t="s">
        <v>142</v>
      </c>
      <c r="C204" s="152">
        <v>2019.0</v>
      </c>
      <c r="D204" s="187" t="s">
        <v>2834</v>
      </c>
      <c r="E204" s="187" t="s">
        <v>2816</v>
      </c>
      <c r="F204" s="173"/>
      <c r="G204" s="173">
        <v>68392.98</v>
      </c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22.5" customHeight="1">
      <c r="A205" s="10" t="s">
        <v>3325</v>
      </c>
      <c r="B205" s="10" t="s">
        <v>142</v>
      </c>
      <c r="C205" s="152">
        <v>2019.0</v>
      </c>
      <c r="D205" s="187" t="s">
        <v>2585</v>
      </c>
      <c r="E205" s="187" t="s">
        <v>2816</v>
      </c>
      <c r="F205" s="173"/>
      <c r="G205" s="173">
        <v>42957.84</v>
      </c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22.5" customHeight="1">
      <c r="A206" s="10" t="s">
        <v>3328</v>
      </c>
      <c r="B206" s="10" t="s">
        <v>142</v>
      </c>
      <c r="C206" s="152">
        <v>2019.0</v>
      </c>
      <c r="D206" s="187" t="s">
        <v>2594</v>
      </c>
      <c r="E206" s="187" t="s">
        <v>2816</v>
      </c>
      <c r="F206" s="173"/>
      <c r="G206" s="173">
        <v>18546.29</v>
      </c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22.5" customHeight="1">
      <c r="A207" s="10" t="s">
        <v>3330</v>
      </c>
      <c r="B207" s="10" t="s">
        <v>142</v>
      </c>
      <c r="C207" s="152">
        <v>2019.0</v>
      </c>
      <c r="D207" s="187" t="s">
        <v>2553</v>
      </c>
      <c r="E207" s="187" t="s">
        <v>2816</v>
      </c>
      <c r="F207" s="173"/>
      <c r="G207" s="173">
        <v>207067.28</v>
      </c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22.5" customHeight="1">
      <c r="A208" s="10" t="s">
        <v>3332</v>
      </c>
      <c r="B208" s="10" t="s">
        <v>142</v>
      </c>
      <c r="C208" s="152">
        <v>2019.0</v>
      </c>
      <c r="D208" s="187" t="s">
        <v>2573</v>
      </c>
      <c r="E208" s="187" t="s">
        <v>2816</v>
      </c>
      <c r="F208" s="173"/>
      <c r="G208" s="173">
        <v>68399.6</v>
      </c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22.5" customHeight="1">
      <c r="A209" s="10" t="s">
        <v>3334</v>
      </c>
      <c r="B209" s="10" t="s">
        <v>142</v>
      </c>
      <c r="C209" s="152">
        <v>2019.0</v>
      </c>
      <c r="D209" s="187" t="s">
        <v>2742</v>
      </c>
      <c r="E209" s="187" t="s">
        <v>2816</v>
      </c>
      <c r="F209" s="173"/>
      <c r="G209" s="173">
        <v>189682.05</v>
      </c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22.5" customHeight="1">
      <c r="A210" s="10" t="s">
        <v>3336</v>
      </c>
      <c r="B210" s="10" t="s">
        <v>142</v>
      </c>
      <c r="C210" s="152">
        <v>2019.0</v>
      </c>
      <c r="D210" s="187" t="s">
        <v>2496</v>
      </c>
      <c r="E210" s="187" t="s">
        <v>2816</v>
      </c>
      <c r="F210" s="173"/>
      <c r="G210" s="173">
        <v>111243.51</v>
      </c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22.5" customHeight="1">
      <c r="A211" s="10" t="s">
        <v>3339</v>
      </c>
      <c r="B211" s="10" t="s">
        <v>142</v>
      </c>
      <c r="C211" s="152">
        <v>2020.0</v>
      </c>
      <c r="D211" s="187" t="s">
        <v>2495</v>
      </c>
      <c r="E211" s="187" t="s">
        <v>2816</v>
      </c>
      <c r="F211" s="173"/>
      <c r="G211" s="173">
        <v>76677.46</v>
      </c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22.5" customHeight="1">
      <c r="A212" s="10" t="s">
        <v>3341</v>
      </c>
      <c r="B212" s="10" t="s">
        <v>142</v>
      </c>
      <c r="C212" s="152">
        <v>2020.0</v>
      </c>
      <c r="D212" s="187" t="s">
        <v>2834</v>
      </c>
      <c r="E212" s="187" t="s">
        <v>2816</v>
      </c>
      <c r="F212" s="173"/>
      <c r="G212" s="173">
        <v>12500.0</v>
      </c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22.5" customHeight="1">
      <c r="A213" s="10" t="s">
        <v>3343</v>
      </c>
      <c r="B213" s="10" t="s">
        <v>142</v>
      </c>
      <c r="C213" s="152">
        <v>2020.0</v>
      </c>
      <c r="D213" s="187" t="s">
        <v>2585</v>
      </c>
      <c r="E213" s="187" t="s">
        <v>2816</v>
      </c>
      <c r="F213" s="173"/>
      <c r="G213" s="173">
        <v>20258.21</v>
      </c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22.5" customHeight="1">
      <c r="A214" s="10" t="s">
        <v>3345</v>
      </c>
      <c r="B214" s="10" t="s">
        <v>142</v>
      </c>
      <c r="C214" s="152">
        <v>2020.0</v>
      </c>
      <c r="D214" s="187" t="s">
        <v>2739</v>
      </c>
      <c r="E214" s="187" t="s">
        <v>2816</v>
      </c>
      <c r="F214" s="173"/>
      <c r="G214" s="173">
        <v>10856.11</v>
      </c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22.5" customHeight="1">
      <c r="A215" s="10" t="s">
        <v>3347</v>
      </c>
      <c r="B215" s="10" t="s">
        <v>142</v>
      </c>
      <c r="C215" s="152">
        <v>2020.0</v>
      </c>
      <c r="D215" s="187" t="s">
        <v>2541</v>
      </c>
      <c r="E215" s="187" t="s">
        <v>2816</v>
      </c>
      <c r="F215" s="173"/>
      <c r="G215" s="173">
        <v>2711.81</v>
      </c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22.5" customHeight="1">
      <c r="A216" s="10" t="s">
        <v>3349</v>
      </c>
      <c r="B216" s="10" t="s">
        <v>142</v>
      </c>
      <c r="C216" s="152">
        <v>2020.0</v>
      </c>
      <c r="D216" s="187" t="s">
        <v>2553</v>
      </c>
      <c r="E216" s="187" t="s">
        <v>2816</v>
      </c>
      <c r="F216" s="173"/>
      <c r="G216" s="173">
        <v>34117.1</v>
      </c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22.5" customHeight="1">
      <c r="A217" s="10" t="s">
        <v>3351</v>
      </c>
      <c r="B217" s="10" t="s">
        <v>142</v>
      </c>
      <c r="C217" s="152">
        <v>2020.0</v>
      </c>
      <c r="D217" s="187" t="s">
        <v>2496</v>
      </c>
      <c r="E217" s="187" t="s">
        <v>2816</v>
      </c>
      <c r="F217" s="173"/>
      <c r="G217" s="173">
        <v>71499.55</v>
      </c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22.5" customHeight="1">
      <c r="A218" s="10" t="s">
        <v>3353</v>
      </c>
      <c r="B218" s="10" t="s">
        <v>142</v>
      </c>
      <c r="C218" s="152">
        <v>2021.0</v>
      </c>
      <c r="D218" s="187" t="s">
        <v>2495</v>
      </c>
      <c r="E218" s="187" t="s">
        <v>2816</v>
      </c>
      <c r="F218" s="173"/>
      <c r="G218" s="173">
        <v>3912.77</v>
      </c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22.5" customHeight="1">
      <c r="A219" s="10" t="s">
        <v>3355</v>
      </c>
      <c r="B219" s="10" t="s">
        <v>142</v>
      </c>
      <c r="C219" s="152">
        <v>2021.0</v>
      </c>
      <c r="D219" s="187" t="s">
        <v>2834</v>
      </c>
      <c r="E219" s="187" t="s">
        <v>2816</v>
      </c>
      <c r="F219" s="173"/>
      <c r="G219" s="173">
        <v>264464.96</v>
      </c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22.5" customHeight="1">
      <c r="A220" s="10" t="s">
        <v>3357</v>
      </c>
      <c r="B220" s="10" t="s">
        <v>142</v>
      </c>
      <c r="C220" s="152">
        <v>2021.0</v>
      </c>
      <c r="D220" s="187" t="s">
        <v>2585</v>
      </c>
      <c r="E220" s="187" t="s">
        <v>2816</v>
      </c>
      <c r="F220" s="173"/>
      <c r="G220" s="173">
        <v>14931.98</v>
      </c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22.5" customHeight="1">
      <c r="A221" s="10" t="s">
        <v>3359</v>
      </c>
      <c r="B221" s="10" t="s">
        <v>142</v>
      </c>
      <c r="C221" s="152">
        <v>2021.0</v>
      </c>
      <c r="D221" s="187" t="s">
        <v>2594</v>
      </c>
      <c r="E221" s="187" t="s">
        <v>2816</v>
      </c>
      <c r="F221" s="173"/>
      <c r="G221" s="173">
        <v>37461.38</v>
      </c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22.5" customHeight="1">
      <c r="A222" s="10" t="s">
        <v>3361</v>
      </c>
      <c r="B222" s="10" t="s">
        <v>142</v>
      </c>
      <c r="C222" s="152">
        <v>2021.0</v>
      </c>
      <c r="D222" s="187" t="s">
        <v>2739</v>
      </c>
      <c r="E222" s="187" t="s">
        <v>2816</v>
      </c>
      <c r="F222" s="173"/>
      <c r="G222" s="173">
        <v>44118.08</v>
      </c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22.5" customHeight="1">
      <c r="A223" s="10" t="s">
        <v>3363</v>
      </c>
      <c r="B223" s="10" t="s">
        <v>142</v>
      </c>
      <c r="C223" s="152">
        <v>2021.0</v>
      </c>
      <c r="D223" s="187" t="s">
        <v>2541</v>
      </c>
      <c r="E223" s="187" t="s">
        <v>2816</v>
      </c>
      <c r="F223" s="173"/>
      <c r="G223" s="173">
        <v>46658.07</v>
      </c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22.5" customHeight="1">
      <c r="A224" s="10" t="s">
        <v>3365</v>
      </c>
      <c r="B224" s="10" t="s">
        <v>142</v>
      </c>
      <c r="C224" s="152">
        <v>2021.0</v>
      </c>
      <c r="D224" s="187" t="s">
        <v>2553</v>
      </c>
      <c r="E224" s="187" t="s">
        <v>2816</v>
      </c>
      <c r="F224" s="173"/>
      <c r="G224" s="173">
        <v>98967.48</v>
      </c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22.5" customHeight="1">
      <c r="A225" s="10" t="s">
        <v>3368</v>
      </c>
      <c r="B225" s="10" t="s">
        <v>142</v>
      </c>
      <c r="C225" s="152">
        <v>2021.0</v>
      </c>
      <c r="D225" s="187" t="s">
        <v>2573</v>
      </c>
      <c r="E225" s="187" t="s">
        <v>2816</v>
      </c>
      <c r="F225" s="173"/>
      <c r="G225" s="173">
        <v>238324.56</v>
      </c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22.5" customHeight="1">
      <c r="A226" s="10" t="s">
        <v>3369</v>
      </c>
      <c r="B226" s="10" t="s">
        <v>142</v>
      </c>
      <c r="C226" s="152">
        <v>2021.0</v>
      </c>
      <c r="D226" s="187" t="s">
        <v>2593</v>
      </c>
      <c r="E226" s="187" t="s">
        <v>2816</v>
      </c>
      <c r="F226" s="173"/>
      <c r="G226" s="173">
        <v>13240.62</v>
      </c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22.5" customHeight="1">
      <c r="A227" s="10" t="s">
        <v>3371</v>
      </c>
      <c r="B227" s="10" t="s">
        <v>142</v>
      </c>
      <c r="C227" s="152">
        <v>2021.0</v>
      </c>
      <c r="D227" s="187" t="s">
        <v>2616</v>
      </c>
      <c r="E227" s="187" t="s">
        <v>2816</v>
      </c>
      <c r="F227" s="173"/>
      <c r="G227" s="173">
        <v>1545.55</v>
      </c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22.5" customHeight="1">
      <c r="A228" s="10" t="s">
        <v>3373</v>
      </c>
      <c r="B228" s="10" t="s">
        <v>142</v>
      </c>
      <c r="C228" s="152">
        <v>2021.0</v>
      </c>
      <c r="D228" s="187" t="s">
        <v>2742</v>
      </c>
      <c r="E228" s="187" t="s">
        <v>2816</v>
      </c>
      <c r="F228" s="173"/>
      <c r="G228" s="173">
        <v>3545.55</v>
      </c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22.5" customHeight="1">
      <c r="A229" s="10" t="s">
        <v>3375</v>
      </c>
      <c r="B229" s="10" t="s">
        <v>142</v>
      </c>
      <c r="C229" s="152">
        <v>2021.0</v>
      </c>
      <c r="D229" s="187" t="s">
        <v>2496</v>
      </c>
      <c r="E229" s="187" t="s">
        <v>2816</v>
      </c>
      <c r="F229" s="173"/>
      <c r="G229" s="173">
        <v>11245.34</v>
      </c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22.5" customHeight="1">
      <c r="A230" s="10" t="s">
        <v>3378</v>
      </c>
      <c r="B230" s="10" t="s">
        <v>142</v>
      </c>
      <c r="C230" s="152">
        <v>2022.0</v>
      </c>
      <c r="D230" s="187" t="s">
        <v>2495</v>
      </c>
      <c r="E230" s="187" t="s">
        <v>2816</v>
      </c>
      <c r="F230" s="173"/>
      <c r="G230" s="173">
        <v>163819.48</v>
      </c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22.5" customHeight="1">
      <c r="A231" s="10" t="s">
        <v>3380</v>
      </c>
      <c r="B231" s="10" t="s">
        <v>142</v>
      </c>
      <c r="C231" s="152">
        <v>2022.0</v>
      </c>
      <c r="D231" s="187" t="s">
        <v>2834</v>
      </c>
      <c r="E231" s="187" t="s">
        <v>2816</v>
      </c>
      <c r="F231" s="173"/>
      <c r="G231" s="173">
        <v>2281.43</v>
      </c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22.5" customHeight="1">
      <c r="A232" s="10" t="s">
        <v>3382</v>
      </c>
      <c r="B232" s="10" t="s">
        <v>169</v>
      </c>
      <c r="C232" s="152">
        <v>2018.0</v>
      </c>
      <c r="D232" s="187" t="s">
        <v>2616</v>
      </c>
      <c r="E232" s="187" t="s">
        <v>2816</v>
      </c>
      <c r="F232" s="173"/>
      <c r="G232" s="173">
        <v>541025.31</v>
      </c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22.5" customHeight="1">
      <c r="A233" s="10" t="s">
        <v>3384</v>
      </c>
      <c r="B233" s="10" t="s">
        <v>169</v>
      </c>
      <c r="C233" s="152">
        <v>2020.0</v>
      </c>
      <c r="D233" s="187" t="s">
        <v>2495</v>
      </c>
      <c r="E233" s="187" t="s">
        <v>2816</v>
      </c>
      <c r="F233" s="173"/>
      <c r="G233" s="173">
        <v>3138763.23</v>
      </c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22.5" customHeight="1">
      <c r="A234" s="10" t="s">
        <v>3386</v>
      </c>
      <c r="B234" s="10" t="s">
        <v>169</v>
      </c>
      <c r="C234" s="152">
        <v>2022.0</v>
      </c>
      <c r="D234" s="187" t="s">
        <v>2541</v>
      </c>
      <c r="E234" s="187" t="s">
        <v>2816</v>
      </c>
      <c r="F234" s="173"/>
      <c r="G234" s="173">
        <v>3051.37</v>
      </c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22.5" customHeight="1">
      <c r="A235" s="10" t="s">
        <v>3388</v>
      </c>
      <c r="B235" s="10" t="s">
        <v>188</v>
      </c>
      <c r="C235" s="152">
        <v>2018.0</v>
      </c>
      <c r="D235" s="187" t="s">
        <v>2593</v>
      </c>
      <c r="E235" s="187" t="s">
        <v>2816</v>
      </c>
      <c r="F235" s="173">
        <v>16098.97</v>
      </c>
      <c r="G235" s="173">
        <v>16098.97</v>
      </c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22.5" customHeight="1">
      <c r="A236" s="10" t="s">
        <v>3390</v>
      </c>
      <c r="B236" s="10" t="s">
        <v>188</v>
      </c>
      <c r="C236" s="152">
        <v>2018.0</v>
      </c>
      <c r="D236" s="187" t="s">
        <v>2616</v>
      </c>
      <c r="E236" s="187" t="s">
        <v>2816</v>
      </c>
      <c r="F236" s="173">
        <v>163500.0</v>
      </c>
      <c r="G236" s="173">
        <v>163500.0</v>
      </c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22.5" customHeight="1">
      <c r="A237" s="10" t="s">
        <v>3392</v>
      </c>
      <c r="B237" s="10" t="s">
        <v>188</v>
      </c>
      <c r="C237" s="152">
        <v>2018.0</v>
      </c>
      <c r="D237" s="187" t="s">
        <v>2496</v>
      </c>
      <c r="E237" s="187" t="s">
        <v>2816</v>
      </c>
      <c r="F237" s="173">
        <v>225683.93</v>
      </c>
      <c r="G237" s="173">
        <v>225683.93</v>
      </c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22.5" customHeight="1">
      <c r="A238" s="10" t="s">
        <v>3394</v>
      </c>
      <c r="B238" s="10" t="s">
        <v>188</v>
      </c>
      <c r="C238" s="152">
        <v>2019.0</v>
      </c>
      <c r="D238" s="187" t="s">
        <v>2495</v>
      </c>
      <c r="E238" s="187" t="s">
        <v>2816</v>
      </c>
      <c r="F238" s="173">
        <v>255811.15</v>
      </c>
      <c r="G238" s="173">
        <v>255811.15</v>
      </c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22.5" customHeight="1">
      <c r="A239" s="10" t="s">
        <v>3396</v>
      </c>
      <c r="B239" s="10" t="s">
        <v>188</v>
      </c>
      <c r="C239" s="152">
        <v>2019.0</v>
      </c>
      <c r="D239" s="187" t="s">
        <v>2594</v>
      </c>
      <c r="E239" s="187" t="s">
        <v>2816</v>
      </c>
      <c r="F239" s="173">
        <v>280264.39</v>
      </c>
      <c r="G239" s="173">
        <v>280264.39</v>
      </c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22.5" customHeight="1">
      <c r="A240" s="10" t="s">
        <v>3398</v>
      </c>
      <c r="B240" s="10" t="s">
        <v>188</v>
      </c>
      <c r="C240" s="152">
        <v>2019.0</v>
      </c>
      <c r="D240" s="187" t="s">
        <v>2573</v>
      </c>
      <c r="E240" s="187" t="s">
        <v>2816</v>
      </c>
      <c r="F240" s="173">
        <v>367549.97</v>
      </c>
      <c r="G240" s="173">
        <v>367549.97</v>
      </c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22.5" customHeight="1">
      <c r="A241" s="10" t="s">
        <v>3400</v>
      </c>
      <c r="B241" s="10" t="s">
        <v>188</v>
      </c>
      <c r="C241" s="152">
        <v>2019.0</v>
      </c>
      <c r="D241" s="187" t="s">
        <v>2496</v>
      </c>
      <c r="E241" s="187" t="s">
        <v>2816</v>
      </c>
      <c r="F241" s="173">
        <v>411862.98</v>
      </c>
      <c r="G241" s="173">
        <v>411862.98</v>
      </c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22.5" customHeight="1">
      <c r="A242" s="10" t="s">
        <v>3402</v>
      </c>
      <c r="B242" s="10" t="s">
        <v>188</v>
      </c>
      <c r="C242" s="152">
        <v>2020.0</v>
      </c>
      <c r="D242" s="187" t="s">
        <v>2495</v>
      </c>
      <c r="E242" s="187" t="s">
        <v>2816</v>
      </c>
      <c r="F242" s="173">
        <v>47783.58</v>
      </c>
      <c r="G242" s="173">
        <v>47783.58</v>
      </c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22.5" customHeight="1">
      <c r="A243" s="10" t="s">
        <v>3404</v>
      </c>
      <c r="B243" s="10" t="s">
        <v>188</v>
      </c>
      <c r="C243" s="152">
        <v>2020.0</v>
      </c>
      <c r="D243" s="187" t="s">
        <v>2585</v>
      </c>
      <c r="E243" s="187" t="s">
        <v>2816</v>
      </c>
      <c r="F243" s="173">
        <v>144439.07</v>
      </c>
      <c r="G243" s="173">
        <v>144439.07</v>
      </c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22.5" customHeight="1">
      <c r="A244" s="10" t="s">
        <v>3406</v>
      </c>
      <c r="B244" s="10" t="s">
        <v>188</v>
      </c>
      <c r="C244" s="152">
        <v>2020.0</v>
      </c>
      <c r="D244" s="187" t="s">
        <v>2594</v>
      </c>
      <c r="E244" s="187" t="s">
        <v>2816</v>
      </c>
      <c r="F244" s="173">
        <v>3108.46</v>
      </c>
      <c r="G244" s="173">
        <v>3108.46</v>
      </c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22.5" customHeight="1">
      <c r="A245" s="10" t="s">
        <v>3408</v>
      </c>
      <c r="B245" s="10" t="s">
        <v>188</v>
      </c>
      <c r="C245" s="152">
        <v>2020.0</v>
      </c>
      <c r="D245" s="187" t="s">
        <v>2739</v>
      </c>
      <c r="E245" s="187" t="s">
        <v>2816</v>
      </c>
      <c r="F245" s="173">
        <v>5282.58</v>
      </c>
      <c r="G245" s="173">
        <v>5282.58</v>
      </c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22.5" customHeight="1">
      <c r="A246" s="10" t="s">
        <v>3410</v>
      </c>
      <c r="B246" s="10" t="s">
        <v>188</v>
      </c>
      <c r="C246" s="152">
        <v>2020.0</v>
      </c>
      <c r="D246" s="187" t="s">
        <v>2541</v>
      </c>
      <c r="E246" s="187" t="s">
        <v>2816</v>
      </c>
      <c r="F246" s="173">
        <v>2711.81</v>
      </c>
      <c r="G246" s="173">
        <v>2711.81</v>
      </c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22.5" customHeight="1">
      <c r="A247" s="10" t="s">
        <v>3412</v>
      </c>
      <c r="B247" s="10" t="s">
        <v>188</v>
      </c>
      <c r="C247" s="152">
        <v>2020.0</v>
      </c>
      <c r="D247" s="187" t="s">
        <v>2553</v>
      </c>
      <c r="E247" s="187" t="s">
        <v>2816</v>
      </c>
      <c r="F247" s="173">
        <v>22744.73</v>
      </c>
      <c r="G247" s="173">
        <v>22744.73</v>
      </c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22.5" customHeight="1">
      <c r="A248" s="10" t="s">
        <v>3414</v>
      </c>
      <c r="B248" s="10" t="s">
        <v>188</v>
      </c>
      <c r="C248" s="152">
        <v>2020.0</v>
      </c>
      <c r="D248" s="187" t="s">
        <v>2573</v>
      </c>
      <c r="E248" s="187" t="s">
        <v>2816</v>
      </c>
      <c r="F248" s="173">
        <v>47943.44</v>
      </c>
      <c r="G248" s="173">
        <v>47943.44</v>
      </c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22.5" customHeight="1">
      <c r="A249" s="10" t="s">
        <v>3416</v>
      </c>
      <c r="B249" s="10" t="s">
        <v>188</v>
      </c>
      <c r="C249" s="152">
        <v>2020.0</v>
      </c>
      <c r="D249" s="187" t="s">
        <v>2593</v>
      </c>
      <c r="E249" s="187" t="s">
        <v>2816</v>
      </c>
      <c r="F249" s="173">
        <v>60920.78</v>
      </c>
      <c r="G249" s="173">
        <v>60920.78</v>
      </c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22.5" customHeight="1">
      <c r="A250" s="10" t="s">
        <v>3418</v>
      </c>
      <c r="B250" s="10" t="s">
        <v>188</v>
      </c>
      <c r="C250" s="152">
        <v>2020.0</v>
      </c>
      <c r="D250" s="187" t="s">
        <v>2616</v>
      </c>
      <c r="E250" s="187" t="s">
        <v>2816</v>
      </c>
      <c r="F250" s="173">
        <v>30393.29</v>
      </c>
      <c r="G250" s="173">
        <v>30393.29</v>
      </c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22.5" customHeight="1">
      <c r="A251" s="10" t="s">
        <v>3420</v>
      </c>
      <c r="B251" s="10" t="s">
        <v>188</v>
      </c>
      <c r="C251" s="152">
        <v>2020.0</v>
      </c>
      <c r="D251" s="187" t="s">
        <v>2742</v>
      </c>
      <c r="E251" s="187" t="s">
        <v>2816</v>
      </c>
      <c r="F251" s="173">
        <v>41140.67</v>
      </c>
      <c r="G251" s="173">
        <v>41140.67</v>
      </c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22.5" customHeight="1">
      <c r="A252" s="10" t="s">
        <v>3422</v>
      </c>
      <c r="B252" s="10" t="s">
        <v>188</v>
      </c>
      <c r="C252" s="152">
        <v>2020.0</v>
      </c>
      <c r="D252" s="187" t="s">
        <v>2496</v>
      </c>
      <c r="E252" s="187" t="s">
        <v>2816</v>
      </c>
      <c r="F252" s="173">
        <v>88802.93</v>
      </c>
      <c r="G252" s="173">
        <v>88802.93</v>
      </c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22.5" customHeight="1">
      <c r="A253" s="10" t="s">
        <v>3424</v>
      </c>
      <c r="B253" s="10" t="s">
        <v>188</v>
      </c>
      <c r="C253" s="152">
        <v>2021.0</v>
      </c>
      <c r="D253" s="187" t="s">
        <v>2495</v>
      </c>
      <c r="E253" s="187" t="s">
        <v>2816</v>
      </c>
      <c r="F253" s="173">
        <v>2608.51</v>
      </c>
      <c r="G253" s="173">
        <v>2608.51</v>
      </c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22.5" customHeight="1">
      <c r="A254" s="10" t="s">
        <v>3426</v>
      </c>
      <c r="B254" s="10" t="s">
        <v>188</v>
      </c>
      <c r="C254" s="152">
        <v>2021.0</v>
      </c>
      <c r="D254" s="187" t="s">
        <v>2834</v>
      </c>
      <c r="E254" s="187" t="s">
        <v>2816</v>
      </c>
      <c r="F254" s="173">
        <v>147753.44</v>
      </c>
      <c r="G254" s="173">
        <v>147753.44</v>
      </c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22.5" customHeight="1">
      <c r="A255" s="10" t="s">
        <v>3428</v>
      </c>
      <c r="B255" s="10" t="s">
        <v>188</v>
      </c>
      <c r="C255" s="152">
        <v>2021.0</v>
      </c>
      <c r="D255" s="187" t="s">
        <v>2585</v>
      </c>
      <c r="E255" s="187" t="s">
        <v>2816</v>
      </c>
      <c r="F255" s="173">
        <v>9176.07</v>
      </c>
      <c r="G255" s="173">
        <v>9176.07</v>
      </c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22.5" customHeight="1">
      <c r="A256" s="10" t="s">
        <v>3430</v>
      </c>
      <c r="B256" s="10" t="s">
        <v>188</v>
      </c>
      <c r="C256" s="152">
        <v>2021.0</v>
      </c>
      <c r="D256" s="187" t="s">
        <v>2594</v>
      </c>
      <c r="E256" s="187" t="s">
        <v>2816</v>
      </c>
      <c r="F256" s="173">
        <v>96494.24</v>
      </c>
      <c r="G256" s="173">
        <v>96494.24</v>
      </c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22.5" customHeight="1">
      <c r="A257" s="10" t="s">
        <v>3432</v>
      </c>
      <c r="B257" s="10" t="s">
        <v>188</v>
      </c>
      <c r="C257" s="152">
        <v>2021.0</v>
      </c>
      <c r="D257" s="187" t="s">
        <v>2739</v>
      </c>
      <c r="E257" s="187" t="s">
        <v>2816</v>
      </c>
      <c r="F257" s="173">
        <v>34661.69</v>
      </c>
      <c r="G257" s="173">
        <v>34661.69</v>
      </c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22.5" customHeight="1">
      <c r="A258" s="10" t="s">
        <v>3434</v>
      </c>
      <c r="B258" s="10" t="s">
        <v>188</v>
      </c>
      <c r="C258" s="152">
        <v>2021.0</v>
      </c>
      <c r="D258" s="187" t="s">
        <v>2541</v>
      </c>
      <c r="E258" s="187" t="s">
        <v>2816</v>
      </c>
      <c r="F258" s="173">
        <v>38266.81</v>
      </c>
      <c r="G258" s="173">
        <v>38266.81</v>
      </c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22.5" customHeight="1">
      <c r="A259" s="10" t="s">
        <v>3436</v>
      </c>
      <c r="B259" s="10" t="s">
        <v>188</v>
      </c>
      <c r="C259" s="152">
        <v>2021.0</v>
      </c>
      <c r="D259" s="187" t="s">
        <v>2553</v>
      </c>
      <c r="E259" s="187" t="s">
        <v>2816</v>
      </c>
      <c r="F259" s="173">
        <v>93875.61</v>
      </c>
      <c r="G259" s="173">
        <v>93875.61</v>
      </c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22.5" customHeight="1">
      <c r="A260" s="10" t="s">
        <v>3438</v>
      </c>
      <c r="B260" s="10" t="s">
        <v>188</v>
      </c>
      <c r="C260" s="152">
        <v>2021.0</v>
      </c>
      <c r="D260" s="187" t="s">
        <v>2573</v>
      </c>
      <c r="E260" s="187" t="s">
        <v>2816</v>
      </c>
      <c r="F260" s="173">
        <v>238986.49</v>
      </c>
      <c r="G260" s="173">
        <v>238986.49</v>
      </c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22.5" customHeight="1">
      <c r="A261" s="10" t="s">
        <v>3440</v>
      </c>
      <c r="B261" s="10" t="s">
        <v>188</v>
      </c>
      <c r="C261" s="152">
        <v>2021.0</v>
      </c>
      <c r="D261" s="187" t="s">
        <v>2593</v>
      </c>
      <c r="E261" s="187" t="s">
        <v>2816</v>
      </c>
      <c r="F261" s="173">
        <v>14857.8</v>
      </c>
      <c r="G261" s="173">
        <v>14857.8</v>
      </c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22.5" customHeight="1">
      <c r="A262" s="10" t="s">
        <v>3443</v>
      </c>
      <c r="B262" s="10" t="s">
        <v>188</v>
      </c>
      <c r="C262" s="152">
        <v>2021.0</v>
      </c>
      <c r="D262" s="187" t="s">
        <v>2616</v>
      </c>
      <c r="E262" s="187" t="s">
        <v>2816</v>
      </c>
      <c r="F262" s="173">
        <v>1545.55</v>
      </c>
      <c r="G262" s="173">
        <v>1545.55</v>
      </c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22.5" customHeight="1">
      <c r="A263" s="10" t="s">
        <v>3445</v>
      </c>
      <c r="B263" s="10" t="s">
        <v>188</v>
      </c>
      <c r="C263" s="152">
        <v>2021.0</v>
      </c>
      <c r="D263" s="187" t="s">
        <v>2742</v>
      </c>
      <c r="E263" s="187" t="s">
        <v>2816</v>
      </c>
      <c r="F263" s="173">
        <v>3545.55</v>
      </c>
      <c r="G263" s="173">
        <v>3545.55</v>
      </c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22.5" customHeight="1">
      <c r="A264" s="10" t="s">
        <v>3447</v>
      </c>
      <c r="B264" s="10" t="s">
        <v>188</v>
      </c>
      <c r="C264" s="152">
        <v>2021.0</v>
      </c>
      <c r="D264" s="187" t="s">
        <v>2496</v>
      </c>
      <c r="E264" s="187" t="s">
        <v>2816</v>
      </c>
      <c r="F264" s="173">
        <v>10151.82</v>
      </c>
      <c r="G264" s="173">
        <v>10151.82</v>
      </c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22.5" customHeight="1">
      <c r="A265" s="10" t="s">
        <v>3449</v>
      </c>
      <c r="B265" s="10" t="s">
        <v>188</v>
      </c>
      <c r="C265" s="152">
        <v>2022.0</v>
      </c>
      <c r="D265" s="187" t="s">
        <v>2495</v>
      </c>
      <c r="E265" s="187" t="s">
        <v>2816</v>
      </c>
      <c r="F265" s="173">
        <v>159467.21</v>
      </c>
      <c r="G265" s="173">
        <v>159467.21</v>
      </c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22.5" customHeight="1">
      <c r="A266" s="10" t="s">
        <v>3451</v>
      </c>
      <c r="B266" s="10" t="s">
        <v>188</v>
      </c>
      <c r="C266" s="152">
        <v>2022.0</v>
      </c>
      <c r="D266" s="187" t="s">
        <v>2834</v>
      </c>
      <c r="E266" s="187" t="s">
        <v>2816</v>
      </c>
      <c r="F266" s="173">
        <v>2280.6</v>
      </c>
      <c r="G266" s="173">
        <v>2280.6</v>
      </c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22.5" customHeight="1">
      <c r="A267" s="10" t="s">
        <v>3453</v>
      </c>
      <c r="B267" s="10" t="s">
        <v>188</v>
      </c>
      <c r="C267" s="152">
        <v>2022.0</v>
      </c>
      <c r="D267" s="187" t="s">
        <v>2585</v>
      </c>
      <c r="E267" s="187" t="s">
        <v>2816</v>
      </c>
      <c r="F267" s="173">
        <v>4206.67</v>
      </c>
      <c r="G267" s="173">
        <v>4206.67</v>
      </c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22.5" customHeight="1">
      <c r="A268" s="10" t="s">
        <v>3454</v>
      </c>
      <c r="B268" s="10" t="s">
        <v>188</v>
      </c>
      <c r="C268" s="152">
        <v>2022.0</v>
      </c>
      <c r="D268" s="187" t="s">
        <v>2594</v>
      </c>
      <c r="E268" s="187" t="s">
        <v>2816</v>
      </c>
      <c r="F268" s="173">
        <v>6037.7</v>
      </c>
      <c r="G268" s="173">
        <v>6037.7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22.5" customHeight="1">
      <c r="A269" s="10" t="s">
        <v>3456</v>
      </c>
      <c r="B269" s="10" t="s">
        <v>188</v>
      </c>
      <c r="C269" s="152">
        <v>2022.0</v>
      </c>
      <c r="D269" s="187" t="s">
        <v>2739</v>
      </c>
      <c r="E269" s="187" t="s">
        <v>2816</v>
      </c>
      <c r="F269" s="173">
        <v>1924.2</v>
      </c>
      <c r="G269" s="173">
        <v>1924.2</v>
      </c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22.5" customHeight="1">
      <c r="A270" s="10" t="s">
        <v>3458</v>
      </c>
      <c r="B270" s="10" t="s">
        <v>188</v>
      </c>
      <c r="C270" s="152">
        <v>2022.0</v>
      </c>
      <c r="D270" s="187" t="s">
        <v>2541</v>
      </c>
      <c r="E270" s="187" t="s">
        <v>2816</v>
      </c>
      <c r="F270" s="173">
        <v>2692.14</v>
      </c>
      <c r="G270" s="173">
        <v>2692.14</v>
      </c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22.5" customHeight="1">
      <c r="A271" s="10" t="s">
        <v>3460</v>
      </c>
      <c r="B271" s="10" t="s">
        <v>188</v>
      </c>
      <c r="C271" s="152">
        <v>2022.0</v>
      </c>
      <c r="D271" s="187" t="s">
        <v>2553</v>
      </c>
      <c r="E271" s="187" t="s">
        <v>2816</v>
      </c>
      <c r="F271" s="173">
        <v>240472.29</v>
      </c>
      <c r="G271" s="173">
        <v>240472.29</v>
      </c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22.5" customHeight="1">
      <c r="A272" s="10" t="s">
        <v>3463</v>
      </c>
      <c r="B272" s="10" t="s">
        <v>188</v>
      </c>
      <c r="C272" s="152">
        <v>2022.0</v>
      </c>
      <c r="D272" s="187" t="s">
        <v>2573</v>
      </c>
      <c r="E272" s="187" t="s">
        <v>2816</v>
      </c>
      <c r="F272" s="173">
        <v>4738.8</v>
      </c>
      <c r="G272" s="173">
        <v>4738.8</v>
      </c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22.5" customHeight="1">
      <c r="A273" s="10" t="s">
        <v>3465</v>
      </c>
      <c r="B273" s="10" t="s">
        <v>188</v>
      </c>
      <c r="C273" s="152">
        <v>2022.0</v>
      </c>
      <c r="D273" s="187" t="s">
        <v>2593</v>
      </c>
      <c r="E273" s="187" t="s">
        <v>2816</v>
      </c>
      <c r="F273" s="173">
        <v>41817.61</v>
      </c>
      <c r="G273" s="173">
        <v>41817.61</v>
      </c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22.5" customHeight="1">
      <c r="A274" s="10" t="s">
        <v>3467</v>
      </c>
      <c r="B274" s="10" t="s">
        <v>188</v>
      </c>
      <c r="C274" s="152">
        <v>2022.0</v>
      </c>
      <c r="D274" s="187" t="s">
        <v>2616</v>
      </c>
      <c r="E274" s="187" t="s">
        <v>2816</v>
      </c>
      <c r="F274" s="173">
        <v>4464.78</v>
      </c>
      <c r="G274" s="173">
        <v>4464.78</v>
      </c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22.5" customHeight="1">
      <c r="A275" s="10" t="s">
        <v>3469</v>
      </c>
      <c r="B275" s="10" t="s">
        <v>188</v>
      </c>
      <c r="C275" s="152">
        <v>2022.0</v>
      </c>
      <c r="D275" s="187" t="s">
        <v>2742</v>
      </c>
      <c r="E275" s="187" t="s">
        <v>2816</v>
      </c>
      <c r="F275" s="173">
        <v>4555.4</v>
      </c>
      <c r="G275" s="173">
        <v>4555.4</v>
      </c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22.5" customHeight="1">
      <c r="A276" s="10" t="s">
        <v>3471</v>
      </c>
      <c r="B276" s="10" t="s">
        <v>188</v>
      </c>
      <c r="C276" s="152">
        <v>2022.0</v>
      </c>
      <c r="D276" s="187" t="s">
        <v>2496</v>
      </c>
      <c r="E276" s="187" t="s">
        <v>2816</v>
      </c>
      <c r="F276" s="173">
        <v>9312.55</v>
      </c>
      <c r="G276" s="173">
        <v>9312.55</v>
      </c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22.5" customHeight="1">
      <c r="A277" s="10" t="s">
        <v>3473</v>
      </c>
      <c r="B277" s="10" t="s">
        <v>188</v>
      </c>
      <c r="C277" s="152">
        <v>2023.0</v>
      </c>
      <c r="D277" s="187" t="s">
        <v>2495</v>
      </c>
      <c r="E277" s="187" t="s">
        <v>2816</v>
      </c>
      <c r="F277" s="173">
        <v>13555.49</v>
      </c>
      <c r="G277" s="173">
        <v>13555.49</v>
      </c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22.5" customHeight="1">
      <c r="A278" s="10" t="s">
        <v>3475</v>
      </c>
      <c r="B278" s="10" t="s">
        <v>188</v>
      </c>
      <c r="C278" s="152">
        <v>2023.0</v>
      </c>
      <c r="D278" s="187" t="s">
        <v>2834</v>
      </c>
      <c r="E278" s="187" t="s">
        <v>2816</v>
      </c>
      <c r="F278" s="173">
        <v>146462.07</v>
      </c>
      <c r="G278" s="173">
        <v>146462.07</v>
      </c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22.5" customHeight="1">
      <c r="A279" s="10" t="s">
        <v>3477</v>
      </c>
      <c r="B279" s="10" t="s">
        <v>188</v>
      </c>
      <c r="C279" s="152">
        <v>2023.0</v>
      </c>
      <c r="D279" s="187" t="s">
        <v>2585</v>
      </c>
      <c r="E279" s="187" t="s">
        <v>2816</v>
      </c>
      <c r="F279" s="173">
        <v>49952.63</v>
      </c>
      <c r="G279" s="173">
        <v>49952.63</v>
      </c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22.5" customHeight="1">
      <c r="A280" s="10" t="s">
        <v>3479</v>
      </c>
      <c r="B280" s="10" t="s">
        <v>188</v>
      </c>
      <c r="C280" s="152">
        <v>2023.0</v>
      </c>
      <c r="D280" s="187" t="s">
        <v>2594</v>
      </c>
      <c r="E280" s="187" t="s">
        <v>2816</v>
      </c>
      <c r="F280" s="173">
        <v>1113.46</v>
      </c>
      <c r="G280" s="173">
        <v>1113.46</v>
      </c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22.5" customHeight="1">
      <c r="A281" s="10" t="s">
        <v>3481</v>
      </c>
      <c r="B281" s="10" t="s">
        <v>188</v>
      </c>
      <c r="C281" s="152">
        <v>2023.0</v>
      </c>
      <c r="D281" s="187" t="s">
        <v>2739</v>
      </c>
      <c r="E281" s="187" t="s">
        <v>2816</v>
      </c>
      <c r="F281" s="173">
        <v>48346.09</v>
      </c>
      <c r="G281" s="173">
        <v>48346.09</v>
      </c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22.5" customHeight="1">
      <c r="A282" s="10" t="s">
        <v>3483</v>
      </c>
      <c r="B282" s="10" t="s">
        <v>188</v>
      </c>
      <c r="C282" s="152">
        <v>2023.0</v>
      </c>
      <c r="D282" s="187" t="s">
        <v>2553</v>
      </c>
      <c r="E282" s="187" t="s">
        <v>2816</v>
      </c>
      <c r="F282" s="173">
        <v>301452.53</v>
      </c>
      <c r="G282" s="173">
        <v>301452.53</v>
      </c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22.5" customHeight="1">
      <c r="A283" s="10" t="s">
        <v>3485</v>
      </c>
      <c r="B283" s="10" t="s">
        <v>188</v>
      </c>
      <c r="C283" s="152">
        <v>2023.0</v>
      </c>
      <c r="D283" s="187" t="s">
        <v>2573</v>
      </c>
      <c r="E283" s="187" t="s">
        <v>2816</v>
      </c>
      <c r="F283" s="173">
        <v>12938.42</v>
      </c>
      <c r="G283" s="173">
        <v>12938.42</v>
      </c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22.5" customHeight="1">
      <c r="A284" s="10" t="s">
        <v>3487</v>
      </c>
      <c r="B284" s="10" t="s">
        <v>188</v>
      </c>
      <c r="C284" s="152">
        <v>2023.0</v>
      </c>
      <c r="D284" s="187" t="s">
        <v>2593</v>
      </c>
      <c r="E284" s="187" t="s">
        <v>2816</v>
      </c>
      <c r="F284" s="173">
        <v>51493.59</v>
      </c>
      <c r="G284" s="173">
        <v>51493.59</v>
      </c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22.5" customHeight="1">
      <c r="A285" s="10" t="s">
        <v>3489</v>
      </c>
      <c r="B285" s="10" t="s">
        <v>188</v>
      </c>
      <c r="C285" s="152">
        <v>2023.0</v>
      </c>
      <c r="D285" s="187" t="s">
        <v>2616</v>
      </c>
      <c r="E285" s="187" t="s">
        <v>2816</v>
      </c>
      <c r="F285" s="173">
        <v>10197.58</v>
      </c>
      <c r="G285" s="173">
        <v>10197.58</v>
      </c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22.5" customHeight="1">
      <c r="A286" s="10" t="s">
        <v>3491</v>
      </c>
      <c r="B286" s="10" t="s">
        <v>188</v>
      </c>
      <c r="C286" s="152">
        <v>2023.0</v>
      </c>
      <c r="D286" s="187" t="s">
        <v>2742</v>
      </c>
      <c r="E286" s="187" t="s">
        <v>2816</v>
      </c>
      <c r="F286" s="173">
        <v>142747.13</v>
      </c>
      <c r="G286" s="173">
        <v>142747.13</v>
      </c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22.5" customHeight="1">
      <c r="A287" s="10" t="s">
        <v>3493</v>
      </c>
      <c r="B287" s="10" t="s">
        <v>188</v>
      </c>
      <c r="C287" s="152">
        <v>2024.0</v>
      </c>
      <c r="D287" s="187" t="s">
        <v>2834</v>
      </c>
      <c r="E287" s="187" t="s">
        <v>2816</v>
      </c>
      <c r="F287" s="173">
        <v>16584.54</v>
      </c>
      <c r="G287" s="173">
        <v>16584.54</v>
      </c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22.5" customHeight="1">
      <c r="A288" s="10" t="s">
        <v>3495</v>
      </c>
      <c r="B288" s="10" t="s">
        <v>207</v>
      </c>
      <c r="C288" s="152"/>
      <c r="D288" s="205"/>
      <c r="E288" s="187" t="s">
        <v>2816</v>
      </c>
      <c r="F288" s="173">
        <v>1.055333566E8</v>
      </c>
      <c r="G288" s="173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22.5" customHeight="1">
      <c r="A289" s="10" t="s">
        <v>3497</v>
      </c>
      <c r="B289" s="10" t="s">
        <v>216</v>
      </c>
      <c r="C289" s="152">
        <v>2017.0</v>
      </c>
      <c r="D289" s="187" t="s">
        <v>2585</v>
      </c>
      <c r="E289" s="187" t="s">
        <v>2816</v>
      </c>
      <c r="F289" s="173"/>
      <c r="G289" s="173">
        <v>4578.62</v>
      </c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22.5" customHeight="1">
      <c r="A290" s="10" t="s">
        <v>3499</v>
      </c>
      <c r="B290" s="10" t="s">
        <v>216</v>
      </c>
      <c r="C290" s="152">
        <v>2017.0</v>
      </c>
      <c r="D290" s="187" t="s">
        <v>2594</v>
      </c>
      <c r="E290" s="187" t="s">
        <v>2816</v>
      </c>
      <c r="F290" s="173"/>
      <c r="G290" s="173">
        <v>255264.9</v>
      </c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22.5" customHeight="1">
      <c r="A291" s="10" t="s">
        <v>3501</v>
      </c>
      <c r="B291" s="10" t="s">
        <v>216</v>
      </c>
      <c r="C291" s="152">
        <v>2017.0</v>
      </c>
      <c r="D291" s="187" t="s">
        <v>2739</v>
      </c>
      <c r="E291" s="187" t="s">
        <v>2816</v>
      </c>
      <c r="F291" s="173"/>
      <c r="G291" s="173">
        <v>271472.21</v>
      </c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22.5" customHeight="1">
      <c r="A292" s="10" t="s">
        <v>3503</v>
      </c>
      <c r="B292" s="10" t="s">
        <v>216</v>
      </c>
      <c r="C292" s="152">
        <v>2017.0</v>
      </c>
      <c r="D292" s="187" t="s">
        <v>2541</v>
      </c>
      <c r="E292" s="187" t="s">
        <v>2816</v>
      </c>
      <c r="F292" s="173"/>
      <c r="G292" s="173">
        <v>277247.65</v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22.5" customHeight="1">
      <c r="A293" s="10" t="s">
        <v>3505</v>
      </c>
      <c r="B293" s="10" t="s">
        <v>216</v>
      </c>
      <c r="C293" s="152">
        <v>2017.0</v>
      </c>
      <c r="D293" s="187" t="s">
        <v>2553</v>
      </c>
      <c r="E293" s="187" t="s">
        <v>2816</v>
      </c>
      <c r="F293" s="173"/>
      <c r="G293" s="173">
        <v>687898.18</v>
      </c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22.5" customHeight="1">
      <c r="A294" s="10" t="s">
        <v>3507</v>
      </c>
      <c r="B294" s="10" t="s">
        <v>216</v>
      </c>
      <c r="C294" s="152">
        <v>2017.0</v>
      </c>
      <c r="D294" s="187" t="s">
        <v>2573</v>
      </c>
      <c r="E294" s="187" t="s">
        <v>2816</v>
      </c>
      <c r="F294" s="173"/>
      <c r="G294" s="173">
        <v>552684.95</v>
      </c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22.5" customHeight="1">
      <c r="A295" s="10" t="s">
        <v>3509</v>
      </c>
      <c r="B295" s="10" t="s">
        <v>216</v>
      </c>
      <c r="C295" s="152">
        <v>2017.0</v>
      </c>
      <c r="D295" s="187" t="s">
        <v>2593</v>
      </c>
      <c r="E295" s="187" t="s">
        <v>2816</v>
      </c>
      <c r="F295" s="173"/>
      <c r="G295" s="173">
        <v>801832.73</v>
      </c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22.5" customHeight="1">
      <c r="A296" s="10" t="s">
        <v>3511</v>
      </c>
      <c r="B296" s="10" t="s">
        <v>216</v>
      </c>
      <c r="C296" s="152">
        <v>2017.0</v>
      </c>
      <c r="D296" s="187" t="s">
        <v>2616</v>
      </c>
      <c r="E296" s="187" t="s">
        <v>2816</v>
      </c>
      <c r="F296" s="173"/>
      <c r="G296" s="173">
        <v>262665.31</v>
      </c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22.5" customHeight="1">
      <c r="A297" s="10" t="s">
        <v>3513</v>
      </c>
      <c r="B297" s="10" t="s">
        <v>216</v>
      </c>
      <c r="C297" s="152">
        <v>2017.0</v>
      </c>
      <c r="D297" s="187" t="s">
        <v>2742</v>
      </c>
      <c r="E297" s="187" t="s">
        <v>2816</v>
      </c>
      <c r="F297" s="173"/>
      <c r="G297" s="173">
        <v>459937.79</v>
      </c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22.5" customHeight="1">
      <c r="A298" s="10" t="s">
        <v>3515</v>
      </c>
      <c r="B298" s="10" t="s">
        <v>216</v>
      </c>
      <c r="C298" s="152">
        <v>2017.0</v>
      </c>
      <c r="D298" s="187" t="s">
        <v>2496</v>
      </c>
      <c r="E298" s="187" t="s">
        <v>2816</v>
      </c>
      <c r="F298" s="173"/>
      <c r="G298" s="173">
        <v>257270.94</v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22.5" customHeight="1">
      <c r="A299" s="10" t="s">
        <v>3517</v>
      </c>
      <c r="B299" s="10" t="s">
        <v>216</v>
      </c>
      <c r="C299" s="152">
        <v>2018.0</v>
      </c>
      <c r="D299" s="187" t="s">
        <v>2495</v>
      </c>
      <c r="E299" s="187" t="s">
        <v>2816</v>
      </c>
      <c r="F299" s="173"/>
      <c r="G299" s="173">
        <v>252520.01</v>
      </c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22.5" customHeight="1">
      <c r="A300" s="10" t="s">
        <v>3519</v>
      </c>
      <c r="B300" s="10" t="s">
        <v>216</v>
      </c>
      <c r="C300" s="152">
        <v>2018.0</v>
      </c>
      <c r="D300" s="187" t="s">
        <v>2834</v>
      </c>
      <c r="E300" s="187" t="s">
        <v>2816</v>
      </c>
      <c r="F300" s="173"/>
      <c r="G300" s="173">
        <v>271625.78</v>
      </c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22.5" customHeight="1">
      <c r="A301" s="10" t="s">
        <v>3521</v>
      </c>
      <c r="B301" s="10" t="s">
        <v>216</v>
      </c>
      <c r="C301" s="152">
        <v>2018.0</v>
      </c>
      <c r="D301" s="187" t="s">
        <v>2585</v>
      </c>
      <c r="E301" s="187" t="s">
        <v>2816</v>
      </c>
      <c r="F301" s="173"/>
      <c r="G301" s="173">
        <v>272100.49</v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22.5" customHeight="1">
      <c r="A302" s="10" t="s">
        <v>3523</v>
      </c>
      <c r="B302" s="10" t="s">
        <v>216</v>
      </c>
      <c r="C302" s="152">
        <v>2018.0</v>
      </c>
      <c r="D302" s="187" t="s">
        <v>2594</v>
      </c>
      <c r="E302" s="187" t="s">
        <v>2816</v>
      </c>
      <c r="F302" s="173"/>
      <c r="G302" s="173">
        <v>274056.39</v>
      </c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22.5" customHeight="1">
      <c r="A303" s="10" t="s">
        <v>3525</v>
      </c>
      <c r="B303" s="10" t="s">
        <v>216</v>
      </c>
      <c r="C303" s="152">
        <v>2018.0</v>
      </c>
      <c r="D303" s="187" t="s">
        <v>2739</v>
      </c>
      <c r="E303" s="187" t="s">
        <v>2816</v>
      </c>
      <c r="F303" s="173"/>
      <c r="G303" s="173">
        <v>1109775.09</v>
      </c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22.5" customHeight="1">
      <c r="A304" s="10" t="s">
        <v>3527</v>
      </c>
      <c r="B304" s="10" t="s">
        <v>216</v>
      </c>
      <c r="C304" s="152">
        <v>2018.0</v>
      </c>
      <c r="D304" s="187" t="s">
        <v>2541</v>
      </c>
      <c r="E304" s="187" t="s">
        <v>2816</v>
      </c>
      <c r="F304" s="173"/>
      <c r="G304" s="173">
        <v>250251.41</v>
      </c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22.5" customHeight="1">
      <c r="A305" s="10" t="s">
        <v>3529</v>
      </c>
      <c r="B305" s="10" t="s">
        <v>216</v>
      </c>
      <c r="C305" s="152">
        <v>2018.0</v>
      </c>
      <c r="D305" s="187" t="s">
        <v>2553</v>
      </c>
      <c r="E305" s="187" t="s">
        <v>2816</v>
      </c>
      <c r="F305" s="173"/>
      <c r="G305" s="173">
        <v>920887.09</v>
      </c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22.5" customHeight="1">
      <c r="A306" s="10" t="s">
        <v>3531</v>
      </c>
      <c r="B306" s="10" t="s">
        <v>216</v>
      </c>
      <c r="C306" s="152">
        <v>2018.0</v>
      </c>
      <c r="D306" s="187" t="s">
        <v>2573</v>
      </c>
      <c r="E306" s="187" t="s">
        <v>2816</v>
      </c>
      <c r="F306" s="173"/>
      <c r="G306" s="173">
        <v>262999.77</v>
      </c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22.5" customHeight="1">
      <c r="A307" s="10" t="s">
        <v>3533</v>
      </c>
      <c r="B307" s="10" t="s">
        <v>216</v>
      </c>
      <c r="C307" s="152">
        <v>2018.0</v>
      </c>
      <c r="D307" s="187" t="s">
        <v>2593</v>
      </c>
      <c r="E307" s="187" t="s">
        <v>2816</v>
      </c>
      <c r="F307" s="173"/>
      <c r="G307" s="173">
        <v>710526.81</v>
      </c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22.5" customHeight="1">
      <c r="A308" s="10" t="s">
        <v>3535</v>
      </c>
      <c r="B308" s="10" t="s">
        <v>216</v>
      </c>
      <c r="C308" s="152">
        <v>2018.0</v>
      </c>
      <c r="D308" s="187" t="s">
        <v>2742</v>
      </c>
      <c r="E308" s="187" t="s">
        <v>2816</v>
      </c>
      <c r="F308" s="173"/>
      <c r="G308" s="173">
        <v>525838.5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22.5" customHeight="1">
      <c r="A309" s="10" t="s">
        <v>3537</v>
      </c>
      <c r="B309" s="10" t="s">
        <v>216</v>
      </c>
      <c r="C309" s="152">
        <v>2018.0</v>
      </c>
      <c r="D309" s="187" t="s">
        <v>2496</v>
      </c>
      <c r="E309" s="187" t="s">
        <v>2816</v>
      </c>
      <c r="F309" s="173"/>
      <c r="G309" s="173">
        <v>566114.03</v>
      </c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22.5" customHeight="1">
      <c r="A310" s="10" t="s">
        <v>3539</v>
      </c>
      <c r="B310" s="10" t="s">
        <v>216</v>
      </c>
      <c r="C310" s="152">
        <v>2019.0</v>
      </c>
      <c r="D310" s="187" t="s">
        <v>2834</v>
      </c>
      <c r="E310" s="187" t="s">
        <v>2816</v>
      </c>
      <c r="F310" s="173"/>
      <c r="G310" s="173">
        <v>1757072.93</v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22.5" customHeight="1">
      <c r="A311" s="10" t="s">
        <v>3541</v>
      </c>
      <c r="B311" s="10" t="s">
        <v>216</v>
      </c>
      <c r="C311" s="152">
        <v>2019.0</v>
      </c>
      <c r="D311" s="187" t="s">
        <v>2594</v>
      </c>
      <c r="E311" s="187" t="s">
        <v>2816</v>
      </c>
      <c r="F311" s="173"/>
      <c r="G311" s="173">
        <v>568008.26</v>
      </c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22.5" customHeight="1">
      <c r="A312" s="10" t="s">
        <v>3543</v>
      </c>
      <c r="B312" s="10" t="s">
        <v>216</v>
      </c>
      <c r="C312" s="152">
        <v>2019.0</v>
      </c>
      <c r="D312" s="187" t="s">
        <v>2739</v>
      </c>
      <c r="E312" s="187" t="s">
        <v>2816</v>
      </c>
      <c r="F312" s="173"/>
      <c r="G312" s="173">
        <v>852682.91</v>
      </c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22.5" customHeight="1">
      <c r="A313" s="10" t="s">
        <v>3546</v>
      </c>
      <c r="B313" s="10" t="s">
        <v>216</v>
      </c>
      <c r="C313" s="152">
        <v>2019.0</v>
      </c>
      <c r="D313" s="187" t="s">
        <v>2541</v>
      </c>
      <c r="E313" s="187" t="s">
        <v>2816</v>
      </c>
      <c r="F313" s="173"/>
      <c r="G313" s="173">
        <v>475553.15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22.5" customHeight="1">
      <c r="A314" s="10" t="s">
        <v>3548</v>
      </c>
      <c r="B314" s="10" t="s">
        <v>216</v>
      </c>
      <c r="C314" s="152">
        <v>2019.0</v>
      </c>
      <c r="D314" s="187" t="s">
        <v>2553</v>
      </c>
      <c r="E314" s="187" t="s">
        <v>2816</v>
      </c>
      <c r="F314" s="173"/>
      <c r="G314" s="173">
        <v>267457.88</v>
      </c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22.5" customHeight="1">
      <c r="A315" s="10" t="s">
        <v>3550</v>
      </c>
      <c r="B315" s="10" t="s">
        <v>216</v>
      </c>
      <c r="C315" s="152">
        <v>2019.0</v>
      </c>
      <c r="D315" s="187" t="s">
        <v>2573</v>
      </c>
      <c r="E315" s="187" t="s">
        <v>2816</v>
      </c>
      <c r="F315" s="173"/>
      <c r="G315" s="173">
        <v>560914.19</v>
      </c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22.5" customHeight="1">
      <c r="A316" s="10" t="s">
        <v>3552</v>
      </c>
      <c r="B316" s="10" t="s">
        <v>216</v>
      </c>
      <c r="C316" s="152">
        <v>2019.0</v>
      </c>
      <c r="D316" s="187" t="s">
        <v>2593</v>
      </c>
      <c r="E316" s="187" t="s">
        <v>2816</v>
      </c>
      <c r="F316" s="173"/>
      <c r="G316" s="173">
        <v>151385.59</v>
      </c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22.5" customHeight="1">
      <c r="A317" s="10" t="s">
        <v>3554</v>
      </c>
      <c r="B317" s="10" t="s">
        <v>216</v>
      </c>
      <c r="C317" s="152">
        <v>2019.0</v>
      </c>
      <c r="D317" s="187" t="s">
        <v>2616</v>
      </c>
      <c r="E317" s="187" t="s">
        <v>2816</v>
      </c>
      <c r="F317" s="173"/>
      <c r="G317" s="173">
        <v>31721.29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22.5" customHeight="1">
      <c r="A318" s="10" t="s">
        <v>3556</v>
      </c>
      <c r="B318" s="10" t="s">
        <v>216</v>
      </c>
      <c r="C318" s="152">
        <v>2019.0</v>
      </c>
      <c r="D318" s="187" t="s">
        <v>2742</v>
      </c>
      <c r="E318" s="187" t="s">
        <v>2816</v>
      </c>
      <c r="F318" s="173"/>
      <c r="G318" s="173">
        <v>42495.04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22.5" customHeight="1">
      <c r="A319" s="10" t="s">
        <v>3558</v>
      </c>
      <c r="B319" s="10" t="s">
        <v>216</v>
      </c>
      <c r="C319" s="152">
        <v>2019.0</v>
      </c>
      <c r="D319" s="187" t="s">
        <v>2496</v>
      </c>
      <c r="E319" s="187" t="s">
        <v>2816</v>
      </c>
      <c r="F319" s="173"/>
      <c r="G319" s="173">
        <v>1586164.11</v>
      </c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22.5" customHeight="1">
      <c r="A320" s="10" t="s">
        <v>3560</v>
      </c>
      <c r="B320" s="10" t="s">
        <v>216</v>
      </c>
      <c r="C320" s="152">
        <v>2020.0</v>
      </c>
      <c r="D320" s="187" t="s">
        <v>2495</v>
      </c>
      <c r="E320" s="187" t="s">
        <v>2816</v>
      </c>
      <c r="F320" s="173"/>
      <c r="G320" s="173">
        <v>159366.62</v>
      </c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22.5" customHeight="1">
      <c r="A321" s="10" t="s">
        <v>3562</v>
      </c>
      <c r="B321" s="10" t="s">
        <v>216</v>
      </c>
      <c r="C321" s="152">
        <v>2020.0</v>
      </c>
      <c r="D321" s="187" t="s">
        <v>2585</v>
      </c>
      <c r="E321" s="187" t="s">
        <v>2816</v>
      </c>
      <c r="F321" s="173"/>
      <c r="G321" s="173">
        <v>268202.35</v>
      </c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22.5" customHeight="1">
      <c r="A322" s="10" t="s">
        <v>3564</v>
      </c>
      <c r="B322" s="10" t="s">
        <v>216</v>
      </c>
      <c r="C322" s="152">
        <v>2020.0</v>
      </c>
      <c r="D322" s="187" t="s">
        <v>2594</v>
      </c>
      <c r="E322" s="187" t="s">
        <v>2816</v>
      </c>
      <c r="F322" s="173"/>
      <c r="G322" s="173">
        <v>138961.51</v>
      </c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22.5" customHeight="1">
      <c r="A323" s="10" t="s">
        <v>3566</v>
      </c>
      <c r="B323" s="10" t="s">
        <v>216</v>
      </c>
      <c r="C323" s="152">
        <v>2020.0</v>
      </c>
      <c r="D323" s="187" t="s">
        <v>2553</v>
      </c>
      <c r="E323" s="187" t="s">
        <v>2816</v>
      </c>
      <c r="F323" s="173"/>
      <c r="G323" s="173">
        <v>177260.17</v>
      </c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22.5" customHeight="1">
      <c r="A324" s="10" t="s">
        <v>3568</v>
      </c>
      <c r="B324" s="10" t="s">
        <v>216</v>
      </c>
      <c r="C324" s="152">
        <v>2021.0</v>
      </c>
      <c r="D324" s="187" t="s">
        <v>2495</v>
      </c>
      <c r="E324" s="187" t="s">
        <v>2816</v>
      </c>
      <c r="F324" s="173"/>
      <c r="G324" s="173">
        <v>103931.54</v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22.5" customHeight="1">
      <c r="A325" s="10" t="s">
        <v>3570</v>
      </c>
      <c r="B325" s="10" t="s">
        <v>216</v>
      </c>
      <c r="C325" s="152">
        <v>2021.0</v>
      </c>
      <c r="D325" s="187" t="s">
        <v>2834</v>
      </c>
      <c r="E325" s="187" t="s">
        <v>2816</v>
      </c>
      <c r="F325" s="173"/>
      <c r="G325" s="173">
        <v>75798.4</v>
      </c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22.5" customHeight="1">
      <c r="A326" s="10" t="s">
        <v>3572</v>
      </c>
      <c r="B326" s="10" t="s">
        <v>216</v>
      </c>
      <c r="C326" s="152">
        <v>2021.0</v>
      </c>
      <c r="D326" s="187" t="s">
        <v>2585</v>
      </c>
      <c r="E326" s="187" t="s">
        <v>2816</v>
      </c>
      <c r="F326" s="173"/>
      <c r="G326" s="173">
        <v>69725.88</v>
      </c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22.5" customHeight="1">
      <c r="A327" s="10" t="s">
        <v>3574</v>
      </c>
      <c r="B327" s="10" t="s">
        <v>216</v>
      </c>
      <c r="C327" s="152">
        <v>2021.0</v>
      </c>
      <c r="D327" s="187" t="s">
        <v>2594</v>
      </c>
      <c r="E327" s="187" t="s">
        <v>2816</v>
      </c>
      <c r="F327" s="173"/>
      <c r="G327" s="173">
        <v>113191.76</v>
      </c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22.5" customHeight="1">
      <c r="A328" s="10" t="s">
        <v>3576</v>
      </c>
      <c r="B328" s="10" t="s">
        <v>216</v>
      </c>
      <c r="C328" s="152">
        <v>2021.0</v>
      </c>
      <c r="D328" s="187" t="s">
        <v>2739</v>
      </c>
      <c r="E328" s="187" t="s">
        <v>2816</v>
      </c>
      <c r="F328" s="173"/>
      <c r="G328" s="173">
        <v>75609.41</v>
      </c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22.5" customHeight="1">
      <c r="A329" s="10" t="s">
        <v>3578</v>
      </c>
      <c r="B329" s="10" t="s">
        <v>216</v>
      </c>
      <c r="C329" s="152">
        <v>2021.0</v>
      </c>
      <c r="D329" s="187" t="s">
        <v>2541</v>
      </c>
      <c r="E329" s="187" t="s">
        <v>2816</v>
      </c>
      <c r="F329" s="173"/>
      <c r="G329" s="173">
        <v>5505.0</v>
      </c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22.5" customHeight="1">
      <c r="A330" s="10" t="s">
        <v>3581</v>
      </c>
      <c r="B330" s="10" t="s">
        <v>216</v>
      </c>
      <c r="C330" s="152">
        <v>2021.0</v>
      </c>
      <c r="D330" s="187" t="s">
        <v>2553</v>
      </c>
      <c r="E330" s="187" t="s">
        <v>2816</v>
      </c>
      <c r="F330" s="173"/>
      <c r="G330" s="173">
        <v>4499.0</v>
      </c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22.5" customHeight="1">
      <c r="A331" s="10" t="s">
        <v>3583</v>
      </c>
      <c r="B331" s="10" t="s">
        <v>216</v>
      </c>
      <c r="C331" s="152">
        <v>2021.0</v>
      </c>
      <c r="D331" s="187" t="s">
        <v>2573</v>
      </c>
      <c r="E331" s="187" t="s">
        <v>2816</v>
      </c>
      <c r="F331" s="173"/>
      <c r="G331" s="173">
        <v>715470.61</v>
      </c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22.5" customHeight="1">
      <c r="A332" s="10" t="s">
        <v>3585</v>
      </c>
      <c r="B332" s="10" t="s">
        <v>216</v>
      </c>
      <c r="C332" s="152">
        <v>2021.0</v>
      </c>
      <c r="D332" s="187" t="s">
        <v>2593</v>
      </c>
      <c r="E332" s="187" t="s">
        <v>2816</v>
      </c>
      <c r="F332" s="173"/>
      <c r="G332" s="173">
        <v>6948.75</v>
      </c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22.5" customHeight="1">
      <c r="A333" s="10" t="s">
        <v>3587</v>
      </c>
      <c r="B333" s="10" t="s">
        <v>216</v>
      </c>
      <c r="C333" s="152">
        <v>2021.0</v>
      </c>
      <c r="D333" s="187" t="s">
        <v>2616</v>
      </c>
      <c r="E333" s="187" t="s">
        <v>2816</v>
      </c>
      <c r="F333" s="173"/>
      <c r="G333" s="173">
        <v>7844.85</v>
      </c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22.5" customHeight="1">
      <c r="A334" s="10" t="s">
        <v>3589</v>
      </c>
      <c r="B334" s="10" t="s">
        <v>216</v>
      </c>
      <c r="C334" s="152">
        <v>2021.0</v>
      </c>
      <c r="D334" s="187" t="s">
        <v>2742</v>
      </c>
      <c r="E334" s="187" t="s">
        <v>2816</v>
      </c>
      <c r="F334" s="173"/>
      <c r="G334" s="173">
        <v>4314.94</v>
      </c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22.5" customHeight="1">
      <c r="A335" s="10" t="s">
        <v>3591</v>
      </c>
      <c r="B335" s="10" t="s">
        <v>216</v>
      </c>
      <c r="C335" s="152">
        <v>2021.0</v>
      </c>
      <c r="D335" s="187" t="s">
        <v>2496</v>
      </c>
      <c r="E335" s="187" t="s">
        <v>2816</v>
      </c>
      <c r="F335" s="173"/>
      <c r="G335" s="173">
        <v>378829.76</v>
      </c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22.5" customHeight="1">
      <c r="A336" s="10" t="s">
        <v>3593</v>
      </c>
      <c r="B336" s="10" t="s">
        <v>216</v>
      </c>
      <c r="C336" s="152">
        <v>2022.0</v>
      </c>
      <c r="D336" s="187" t="s">
        <v>2495</v>
      </c>
      <c r="E336" s="187" t="s">
        <v>2816</v>
      </c>
      <c r="F336" s="173"/>
      <c r="G336" s="173">
        <v>101733.19</v>
      </c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22.5" customHeight="1">
      <c r="A337" s="10" t="s">
        <v>3595</v>
      </c>
      <c r="B337" s="10" t="s">
        <v>216</v>
      </c>
      <c r="C337" s="152">
        <v>2022.0</v>
      </c>
      <c r="D337" s="187" t="s">
        <v>2834</v>
      </c>
      <c r="E337" s="187" t="s">
        <v>2816</v>
      </c>
      <c r="F337" s="173"/>
      <c r="G337" s="173">
        <v>52917.7</v>
      </c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22.5" customHeight="1">
      <c r="A338" s="10" t="s">
        <v>3597</v>
      </c>
      <c r="B338" s="10" t="s">
        <v>216</v>
      </c>
      <c r="C338" s="152">
        <v>2022.0</v>
      </c>
      <c r="D338" s="187" t="s">
        <v>2585</v>
      </c>
      <c r="E338" s="187" t="s">
        <v>2816</v>
      </c>
      <c r="F338" s="173"/>
      <c r="G338" s="173">
        <v>263299.7</v>
      </c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22.5" customHeight="1">
      <c r="A339" s="10" t="s">
        <v>3600</v>
      </c>
      <c r="B339" s="10" t="s">
        <v>216</v>
      </c>
      <c r="C339" s="152">
        <v>2022.0</v>
      </c>
      <c r="D339" s="187" t="s">
        <v>2594</v>
      </c>
      <c r="E339" s="187" t="s">
        <v>2816</v>
      </c>
      <c r="F339" s="173"/>
      <c r="G339" s="173">
        <v>137827.99</v>
      </c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22.5" customHeight="1">
      <c r="A340" s="10" t="s">
        <v>3602</v>
      </c>
      <c r="B340" s="10" t="s">
        <v>216</v>
      </c>
      <c r="C340" s="152">
        <v>2022.0</v>
      </c>
      <c r="D340" s="187" t="s">
        <v>2739</v>
      </c>
      <c r="E340" s="187" t="s">
        <v>2816</v>
      </c>
      <c r="F340" s="173"/>
      <c r="G340" s="173">
        <v>44997.11</v>
      </c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22.5" customHeight="1">
      <c r="A341" s="10" t="s">
        <v>3604</v>
      </c>
      <c r="B341" s="10" t="s">
        <v>216</v>
      </c>
      <c r="C341" s="152">
        <v>2022.0</v>
      </c>
      <c r="D341" s="187" t="s">
        <v>2541</v>
      </c>
      <c r="E341" s="187" t="s">
        <v>2816</v>
      </c>
      <c r="F341" s="173"/>
      <c r="G341" s="173">
        <v>58234.83</v>
      </c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22.5" customHeight="1">
      <c r="A342" s="10" t="s">
        <v>3606</v>
      </c>
      <c r="B342" s="10" t="s">
        <v>216</v>
      </c>
      <c r="C342" s="152">
        <v>2022.0</v>
      </c>
      <c r="D342" s="187" t="s">
        <v>2553</v>
      </c>
      <c r="E342" s="187" t="s">
        <v>2816</v>
      </c>
      <c r="F342" s="173"/>
      <c r="G342" s="173">
        <v>26520.7</v>
      </c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22.5" customHeight="1">
      <c r="A343" s="10" t="s">
        <v>3608</v>
      </c>
      <c r="B343" s="10" t="s">
        <v>216</v>
      </c>
      <c r="C343" s="152">
        <v>2022.0</v>
      </c>
      <c r="D343" s="187" t="s">
        <v>2573</v>
      </c>
      <c r="E343" s="187" t="s">
        <v>2816</v>
      </c>
      <c r="F343" s="173"/>
      <c r="G343" s="173">
        <v>28441.2</v>
      </c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22.5" customHeight="1">
      <c r="A344" s="10" t="s">
        <v>3610</v>
      </c>
      <c r="B344" s="10" t="s">
        <v>216</v>
      </c>
      <c r="C344" s="152">
        <v>2022.0</v>
      </c>
      <c r="D344" s="187" t="s">
        <v>2593</v>
      </c>
      <c r="E344" s="187" t="s">
        <v>2816</v>
      </c>
      <c r="F344" s="173"/>
      <c r="G344" s="173">
        <v>145124.76</v>
      </c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22.5" customHeight="1">
      <c r="A345" s="10" t="s">
        <v>3612</v>
      </c>
      <c r="B345" s="10" t="s">
        <v>216</v>
      </c>
      <c r="C345" s="152">
        <v>2022.0</v>
      </c>
      <c r="D345" s="187" t="s">
        <v>2616</v>
      </c>
      <c r="E345" s="187" t="s">
        <v>2816</v>
      </c>
      <c r="F345" s="173"/>
      <c r="G345" s="173">
        <v>3938.07</v>
      </c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22.5" customHeight="1">
      <c r="A346" s="10" t="s">
        <v>3614</v>
      </c>
      <c r="B346" s="10" t="s">
        <v>216</v>
      </c>
      <c r="C346" s="152">
        <v>2022.0</v>
      </c>
      <c r="D346" s="187" t="s">
        <v>2496</v>
      </c>
      <c r="E346" s="187" t="s">
        <v>2816</v>
      </c>
      <c r="F346" s="173"/>
      <c r="G346" s="173">
        <v>192909.47</v>
      </c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22.5" customHeight="1">
      <c r="A347" s="10" t="s">
        <v>3616</v>
      </c>
      <c r="B347" s="10" t="s">
        <v>216</v>
      </c>
      <c r="C347" s="152">
        <v>2023.0</v>
      </c>
      <c r="D347" s="187" t="s">
        <v>2495</v>
      </c>
      <c r="E347" s="187" t="s">
        <v>2816</v>
      </c>
      <c r="F347" s="173"/>
      <c r="G347" s="173">
        <v>16133.18</v>
      </c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22.5" customHeight="1">
      <c r="A348" s="10" t="s">
        <v>3618</v>
      </c>
      <c r="B348" s="10" t="s">
        <v>216</v>
      </c>
      <c r="C348" s="152">
        <v>2023.0</v>
      </c>
      <c r="D348" s="187" t="s">
        <v>2834</v>
      </c>
      <c r="E348" s="187" t="s">
        <v>2816</v>
      </c>
      <c r="F348" s="173"/>
      <c r="G348" s="173">
        <v>80564.76</v>
      </c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22.5" customHeight="1">
      <c r="A349" s="10" t="s">
        <v>3620</v>
      </c>
      <c r="B349" s="10" t="s">
        <v>216</v>
      </c>
      <c r="C349" s="152">
        <v>2023.0</v>
      </c>
      <c r="D349" s="187" t="s">
        <v>2585</v>
      </c>
      <c r="E349" s="187" t="s">
        <v>2816</v>
      </c>
      <c r="F349" s="173"/>
      <c r="G349" s="173">
        <v>12040.7</v>
      </c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22.5" customHeight="1">
      <c r="A350" s="10" t="s">
        <v>3622</v>
      </c>
      <c r="B350" s="10" t="s">
        <v>216</v>
      </c>
      <c r="C350" s="152">
        <v>2023.0</v>
      </c>
      <c r="D350" s="187" t="s">
        <v>2594</v>
      </c>
      <c r="E350" s="187" t="s">
        <v>2816</v>
      </c>
      <c r="F350" s="173">
        <v>50101.53</v>
      </c>
      <c r="G350" s="173">
        <v>50101.53</v>
      </c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22.5" customHeight="1">
      <c r="A351" s="10" t="s">
        <v>3624</v>
      </c>
      <c r="B351" s="10" t="s">
        <v>216</v>
      </c>
      <c r="C351" s="152">
        <v>2023.0</v>
      </c>
      <c r="D351" s="187" t="s">
        <v>2739</v>
      </c>
      <c r="E351" s="187" t="s">
        <v>2816</v>
      </c>
      <c r="F351" s="173">
        <v>4568.14</v>
      </c>
      <c r="G351" s="173">
        <v>4568.14</v>
      </c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22.5" customHeight="1">
      <c r="A352" s="10" t="s">
        <v>3626</v>
      </c>
      <c r="B352" s="10" t="s">
        <v>216</v>
      </c>
      <c r="C352" s="152">
        <v>2023.0</v>
      </c>
      <c r="D352" s="187" t="s">
        <v>2541</v>
      </c>
      <c r="E352" s="187" t="s">
        <v>2816</v>
      </c>
      <c r="F352" s="173">
        <v>166437.78</v>
      </c>
      <c r="G352" s="173">
        <v>166437.78</v>
      </c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22.5" customHeight="1">
      <c r="A353" s="10" t="s">
        <v>3628</v>
      </c>
      <c r="B353" s="10" t="s">
        <v>239</v>
      </c>
      <c r="C353" s="152">
        <v>2019.0</v>
      </c>
      <c r="D353" s="187" t="s">
        <v>2594</v>
      </c>
      <c r="E353" s="187" t="s">
        <v>2816</v>
      </c>
      <c r="F353" s="173">
        <v>100407.5</v>
      </c>
      <c r="G353" s="173">
        <v>100407.5</v>
      </c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22.5" customHeight="1">
      <c r="A354" s="10" t="s">
        <v>3630</v>
      </c>
      <c r="B354" s="10" t="s">
        <v>239</v>
      </c>
      <c r="C354" s="152">
        <v>2022.0</v>
      </c>
      <c r="D354" s="187" t="s">
        <v>2541</v>
      </c>
      <c r="E354" s="187" t="s">
        <v>2816</v>
      </c>
      <c r="F354" s="173">
        <v>871.72</v>
      </c>
      <c r="G354" s="173">
        <v>871.72</v>
      </c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22.5" customHeight="1">
      <c r="A355" s="10" t="s">
        <v>3632</v>
      </c>
      <c r="B355" s="10" t="s">
        <v>239</v>
      </c>
      <c r="C355" s="152">
        <v>2022.0</v>
      </c>
      <c r="D355" s="187" t="s">
        <v>2616</v>
      </c>
      <c r="E355" s="187" t="s">
        <v>2816</v>
      </c>
      <c r="F355" s="173">
        <v>472.09</v>
      </c>
      <c r="G355" s="173">
        <v>472.09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22.5" customHeight="1">
      <c r="A356" s="10" t="s">
        <v>3634</v>
      </c>
      <c r="B356" s="10" t="s">
        <v>239</v>
      </c>
      <c r="C356" s="152">
        <v>2022.0</v>
      </c>
      <c r="D356" s="187" t="s">
        <v>2742</v>
      </c>
      <c r="E356" s="187" t="s">
        <v>2816</v>
      </c>
      <c r="F356" s="173">
        <v>982.18</v>
      </c>
      <c r="G356" s="173">
        <v>982.18</v>
      </c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22.5" customHeight="1">
      <c r="A357" s="10" t="s">
        <v>3636</v>
      </c>
      <c r="B357" s="10" t="s">
        <v>239</v>
      </c>
      <c r="C357" s="152">
        <v>2022.0</v>
      </c>
      <c r="D357" s="187" t="s">
        <v>2496</v>
      </c>
      <c r="E357" s="187" t="s">
        <v>2816</v>
      </c>
      <c r="F357" s="173">
        <v>496.05</v>
      </c>
      <c r="G357" s="173">
        <v>496.05</v>
      </c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22.5" customHeight="1">
      <c r="A358" s="10" t="s">
        <v>3638</v>
      </c>
      <c r="B358" s="10" t="s">
        <v>239</v>
      </c>
      <c r="C358" s="152">
        <v>2023.0</v>
      </c>
      <c r="D358" s="187" t="s">
        <v>2495</v>
      </c>
      <c r="E358" s="187" t="s">
        <v>2816</v>
      </c>
      <c r="F358" s="173">
        <v>1081.08</v>
      </c>
      <c r="G358" s="173">
        <v>1081.08</v>
      </c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22.5" customHeight="1">
      <c r="A359" s="10" t="s">
        <v>3640</v>
      </c>
      <c r="B359" s="10" t="s">
        <v>239</v>
      </c>
      <c r="C359" s="152">
        <v>2023.0</v>
      </c>
      <c r="D359" s="187" t="s">
        <v>2585</v>
      </c>
      <c r="E359" s="187" t="s">
        <v>2816</v>
      </c>
      <c r="F359" s="173">
        <v>3946.5</v>
      </c>
      <c r="G359" s="173">
        <v>3946.5</v>
      </c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22.5" customHeight="1">
      <c r="A360" s="10" t="s">
        <v>3642</v>
      </c>
      <c r="B360" s="10" t="s">
        <v>239</v>
      </c>
      <c r="C360" s="152">
        <v>2023.0</v>
      </c>
      <c r="D360" s="187" t="s">
        <v>2594</v>
      </c>
      <c r="E360" s="187" t="s">
        <v>2816</v>
      </c>
      <c r="F360" s="173">
        <v>2319.76</v>
      </c>
      <c r="G360" s="173">
        <v>2319.76</v>
      </c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22.5" customHeight="1">
      <c r="A361" s="10" t="s">
        <v>3644</v>
      </c>
      <c r="B361" s="10" t="s">
        <v>239</v>
      </c>
      <c r="C361" s="152">
        <v>2023.0</v>
      </c>
      <c r="D361" s="187" t="s">
        <v>2739</v>
      </c>
      <c r="E361" s="187" t="s">
        <v>2816</v>
      </c>
      <c r="F361" s="173">
        <v>1740.03</v>
      </c>
      <c r="G361" s="173">
        <v>1740.03</v>
      </c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22.5" customHeight="1">
      <c r="A362" s="10" t="s">
        <v>3646</v>
      </c>
      <c r="B362" s="10" t="s">
        <v>239</v>
      </c>
      <c r="C362" s="152">
        <v>2023.0</v>
      </c>
      <c r="D362" s="187" t="s">
        <v>2541</v>
      </c>
      <c r="E362" s="187" t="s">
        <v>2816</v>
      </c>
      <c r="F362" s="173">
        <v>1784.37</v>
      </c>
      <c r="G362" s="173">
        <v>1784.37</v>
      </c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22.5" customHeight="1">
      <c r="A363" s="10" t="s">
        <v>3648</v>
      </c>
      <c r="B363" s="10" t="s">
        <v>239</v>
      </c>
      <c r="C363" s="152">
        <v>2023.0</v>
      </c>
      <c r="D363" s="187" t="s">
        <v>2553</v>
      </c>
      <c r="E363" s="187" t="s">
        <v>2816</v>
      </c>
      <c r="F363" s="173">
        <v>1226.72</v>
      </c>
      <c r="G363" s="173">
        <v>1226.72</v>
      </c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22.5" customHeight="1">
      <c r="A364" s="10" t="s">
        <v>3650</v>
      </c>
      <c r="B364" s="10" t="s">
        <v>245</v>
      </c>
      <c r="C364" s="152">
        <v>2018.0</v>
      </c>
      <c r="D364" s="187" t="s">
        <v>2573</v>
      </c>
      <c r="E364" s="187" t="s">
        <v>2816</v>
      </c>
      <c r="F364" s="173"/>
      <c r="G364" s="173">
        <v>96391.35</v>
      </c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22.5" customHeight="1">
      <c r="A365" s="10" t="s">
        <v>3652</v>
      </c>
      <c r="B365" s="10" t="s">
        <v>245</v>
      </c>
      <c r="C365" s="152">
        <v>2018.0</v>
      </c>
      <c r="D365" s="187" t="s">
        <v>2616</v>
      </c>
      <c r="E365" s="187" t="s">
        <v>2816</v>
      </c>
      <c r="F365" s="173"/>
      <c r="G365" s="173">
        <v>566883.84</v>
      </c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22.5" customHeight="1">
      <c r="A366" s="10" t="s">
        <v>3654</v>
      </c>
      <c r="B366" s="10" t="s">
        <v>245</v>
      </c>
      <c r="C366" s="152">
        <v>2020.0</v>
      </c>
      <c r="D366" s="187" t="s">
        <v>2495</v>
      </c>
      <c r="E366" s="187" t="s">
        <v>2816</v>
      </c>
      <c r="F366" s="173"/>
      <c r="G366" s="173">
        <v>4040049.04</v>
      </c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22.5" customHeight="1">
      <c r="A367" s="10" t="s">
        <v>3656</v>
      </c>
      <c r="B367" s="10" t="s">
        <v>245</v>
      </c>
      <c r="C367" s="152">
        <v>2022.0</v>
      </c>
      <c r="D367" s="187" t="s">
        <v>2541</v>
      </c>
      <c r="E367" s="187" t="s">
        <v>2816</v>
      </c>
      <c r="F367" s="173"/>
      <c r="G367" s="173">
        <v>2179.55</v>
      </c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22.5" customHeight="1">
      <c r="A368" s="10" t="s">
        <v>3658</v>
      </c>
      <c r="B368" s="10" t="s">
        <v>245</v>
      </c>
      <c r="C368" s="152">
        <v>2022.0</v>
      </c>
      <c r="D368" s="187" t="s">
        <v>2742</v>
      </c>
      <c r="E368" s="187" t="s">
        <v>2816</v>
      </c>
      <c r="F368" s="173"/>
      <c r="G368" s="173">
        <v>3437.63</v>
      </c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22.5" customHeight="1">
      <c r="A369" s="10" t="s">
        <v>3661</v>
      </c>
      <c r="B369" s="10" t="s">
        <v>245</v>
      </c>
      <c r="C369" s="152">
        <v>2022.0</v>
      </c>
      <c r="D369" s="187" t="s">
        <v>2496</v>
      </c>
      <c r="E369" s="187" t="s">
        <v>2816</v>
      </c>
      <c r="F369" s="173"/>
      <c r="G369" s="173">
        <v>3472.35</v>
      </c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22.5" customHeight="1">
      <c r="A370" s="10" t="s">
        <v>3663</v>
      </c>
      <c r="B370" s="10" t="s">
        <v>245</v>
      </c>
      <c r="C370" s="152">
        <v>2023.0</v>
      </c>
      <c r="D370" s="187" t="s">
        <v>2495</v>
      </c>
      <c r="E370" s="187" t="s">
        <v>2816</v>
      </c>
      <c r="F370" s="173"/>
      <c r="G370" s="173">
        <v>3785.88</v>
      </c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22.5" customHeight="1">
      <c r="A371" s="10" t="s">
        <v>3665</v>
      </c>
      <c r="B371" s="10" t="s">
        <v>268</v>
      </c>
      <c r="C371" s="152">
        <v>2018.0</v>
      </c>
      <c r="D371" s="187" t="s">
        <v>2553</v>
      </c>
      <c r="E371" s="187" t="s">
        <v>2816</v>
      </c>
      <c r="F371" s="173"/>
      <c r="G371" s="173">
        <v>4623.1</v>
      </c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22.5" customHeight="1">
      <c r="A372" s="10" t="s">
        <v>3667</v>
      </c>
      <c r="B372" s="10" t="s">
        <v>268</v>
      </c>
      <c r="C372" s="152">
        <v>2018.0</v>
      </c>
      <c r="D372" s="187" t="s">
        <v>2573</v>
      </c>
      <c r="E372" s="206" t="s">
        <v>2816</v>
      </c>
      <c r="F372" s="173"/>
      <c r="G372" s="173">
        <v>2130.99</v>
      </c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22.5" customHeight="1">
      <c r="A373" s="10" t="s">
        <v>3669</v>
      </c>
      <c r="B373" s="10" t="s">
        <v>268</v>
      </c>
      <c r="C373" s="152">
        <v>2018.0</v>
      </c>
      <c r="D373" s="187" t="s">
        <v>2593</v>
      </c>
      <c r="E373" s="206" t="s">
        <v>2816</v>
      </c>
      <c r="F373" s="173"/>
      <c r="G373" s="173">
        <v>27785.09</v>
      </c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22.5" customHeight="1">
      <c r="A374" s="10" t="s">
        <v>3671</v>
      </c>
      <c r="B374" s="10" t="s">
        <v>268</v>
      </c>
      <c r="C374" s="152">
        <v>2018.0</v>
      </c>
      <c r="D374" s="187" t="s">
        <v>2616</v>
      </c>
      <c r="E374" s="206" t="s">
        <v>2816</v>
      </c>
      <c r="F374" s="173"/>
      <c r="G374" s="173">
        <v>6349.76</v>
      </c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22.5" customHeight="1">
      <c r="A375" s="10" t="s">
        <v>3673</v>
      </c>
      <c r="B375" s="10" t="s">
        <v>268</v>
      </c>
      <c r="C375" s="152">
        <v>2018.0</v>
      </c>
      <c r="D375" s="187" t="s">
        <v>2742</v>
      </c>
      <c r="E375" s="206" t="s">
        <v>2816</v>
      </c>
      <c r="F375" s="173"/>
      <c r="G375" s="173">
        <v>34737.71</v>
      </c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22.5" customHeight="1">
      <c r="A376" s="10" t="s">
        <v>3676</v>
      </c>
      <c r="B376" s="10" t="s">
        <v>268</v>
      </c>
      <c r="C376" s="152">
        <v>2019.0</v>
      </c>
      <c r="D376" s="187" t="s">
        <v>2496</v>
      </c>
      <c r="E376" s="206" t="s">
        <v>2816</v>
      </c>
      <c r="F376" s="173"/>
      <c r="G376" s="173">
        <v>723861.59</v>
      </c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22.5" customHeight="1">
      <c r="A377" s="10" t="s">
        <v>3678</v>
      </c>
      <c r="B377" s="10" t="s">
        <v>268</v>
      </c>
      <c r="C377" s="152">
        <v>2019.0</v>
      </c>
      <c r="D377" s="187" t="s">
        <v>2495</v>
      </c>
      <c r="E377" s="206" t="s">
        <v>2816</v>
      </c>
      <c r="F377" s="173"/>
      <c r="G377" s="173">
        <v>128334.66</v>
      </c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22.5" customHeight="1">
      <c r="A378" s="10" t="s">
        <v>3680</v>
      </c>
      <c r="B378" s="10" t="s">
        <v>268</v>
      </c>
      <c r="C378" s="152">
        <v>2019.0</v>
      </c>
      <c r="D378" s="187" t="s">
        <v>2834</v>
      </c>
      <c r="E378" s="206" t="s">
        <v>2816</v>
      </c>
      <c r="F378" s="173"/>
      <c r="G378" s="173">
        <v>265050.2</v>
      </c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22.5" customHeight="1">
      <c r="A379" s="10" t="s">
        <v>3682</v>
      </c>
      <c r="B379" s="10" t="s">
        <v>268</v>
      </c>
      <c r="C379" s="152">
        <v>2019.0</v>
      </c>
      <c r="D379" s="187" t="s">
        <v>2585</v>
      </c>
      <c r="E379" s="206" t="s">
        <v>2816</v>
      </c>
      <c r="F379" s="173"/>
      <c r="G379" s="173">
        <v>293477.24</v>
      </c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22.5" customHeight="1">
      <c r="A380" s="10" t="s">
        <v>3683</v>
      </c>
      <c r="B380" s="10" t="s">
        <v>268</v>
      </c>
      <c r="C380" s="152">
        <v>2019.0</v>
      </c>
      <c r="D380" s="187" t="s">
        <v>2594</v>
      </c>
      <c r="E380" s="206" t="s">
        <v>2816</v>
      </c>
      <c r="F380" s="173"/>
      <c r="G380" s="173">
        <v>643575.2</v>
      </c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22.5" customHeight="1">
      <c r="A381" s="10" t="s">
        <v>3686</v>
      </c>
      <c r="B381" s="10" t="s">
        <v>268</v>
      </c>
      <c r="C381" s="152">
        <v>2019.0</v>
      </c>
      <c r="D381" s="187" t="s">
        <v>2739</v>
      </c>
      <c r="E381" s="206" t="s">
        <v>2816</v>
      </c>
      <c r="F381" s="173"/>
      <c r="G381" s="173">
        <v>719461.62</v>
      </c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22.5" customHeight="1">
      <c r="A382" s="10" t="s">
        <v>3688</v>
      </c>
      <c r="B382" s="10" t="s">
        <v>268</v>
      </c>
      <c r="C382" s="152">
        <v>2019.0</v>
      </c>
      <c r="D382" s="187" t="s">
        <v>2541</v>
      </c>
      <c r="E382" s="206" t="s">
        <v>2816</v>
      </c>
      <c r="F382" s="173"/>
      <c r="G382" s="173">
        <v>488300.82</v>
      </c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22.5" customHeight="1">
      <c r="A383" s="10" t="s">
        <v>3690</v>
      </c>
      <c r="B383" s="10" t="s">
        <v>268</v>
      </c>
      <c r="C383" s="152">
        <v>2020.0</v>
      </c>
      <c r="D383" s="187" t="s">
        <v>2495</v>
      </c>
      <c r="E383" s="206" t="s">
        <v>2816</v>
      </c>
      <c r="F383" s="173"/>
      <c r="G383" s="173">
        <v>193874.88</v>
      </c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22.5" customHeight="1">
      <c r="A384" s="10" t="s">
        <v>3692</v>
      </c>
      <c r="B384" s="10" t="s">
        <v>268</v>
      </c>
      <c r="C384" s="152">
        <v>2020.0</v>
      </c>
      <c r="D384" s="187" t="s">
        <v>2834</v>
      </c>
      <c r="E384" s="206" t="s">
        <v>2816</v>
      </c>
      <c r="F384" s="173"/>
      <c r="G384" s="173">
        <v>136684.93</v>
      </c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22.5" customHeight="1">
      <c r="A385" s="10" t="s">
        <v>3694</v>
      </c>
      <c r="B385" s="10" t="s">
        <v>268</v>
      </c>
      <c r="C385" s="152">
        <v>2020.0</v>
      </c>
      <c r="D385" s="187" t="s">
        <v>2585</v>
      </c>
      <c r="E385" s="206" t="s">
        <v>2816</v>
      </c>
      <c r="F385" s="173"/>
      <c r="G385" s="173">
        <v>930203.62</v>
      </c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22.5" customHeight="1">
      <c r="A386" s="10" t="s">
        <v>3696</v>
      </c>
      <c r="B386" s="10" t="s">
        <v>268</v>
      </c>
      <c r="C386" s="152">
        <v>2020.0</v>
      </c>
      <c r="D386" s="187" t="s">
        <v>2594</v>
      </c>
      <c r="E386" s="206" t="s">
        <v>2816</v>
      </c>
      <c r="F386" s="173"/>
      <c r="G386" s="173">
        <v>818382.94</v>
      </c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22.5" customHeight="1">
      <c r="A387" s="10" t="s">
        <v>3698</v>
      </c>
      <c r="B387" s="10" t="s">
        <v>268</v>
      </c>
      <c r="C387" s="152">
        <v>2020.0</v>
      </c>
      <c r="D387" s="187" t="s">
        <v>2739</v>
      </c>
      <c r="E387" s="206" t="s">
        <v>2816</v>
      </c>
      <c r="F387" s="173"/>
      <c r="G387" s="173">
        <v>110593.88</v>
      </c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22.5" customHeight="1">
      <c r="A388" s="10" t="s">
        <v>3700</v>
      </c>
      <c r="B388" s="10" t="s">
        <v>268</v>
      </c>
      <c r="C388" s="152">
        <v>2020.0</v>
      </c>
      <c r="D388" s="187" t="s">
        <v>2541</v>
      </c>
      <c r="E388" s="206" t="s">
        <v>2816</v>
      </c>
      <c r="F388" s="173"/>
      <c r="G388" s="173">
        <v>954324.65</v>
      </c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22.5" customHeight="1">
      <c r="A389" s="10" t="s">
        <v>3702</v>
      </c>
      <c r="B389" s="10" t="s">
        <v>268</v>
      </c>
      <c r="C389" s="152">
        <v>2020.0</v>
      </c>
      <c r="D389" s="187" t="s">
        <v>2553</v>
      </c>
      <c r="E389" s="206" t="s">
        <v>2816</v>
      </c>
      <c r="F389" s="173"/>
      <c r="G389" s="173">
        <v>548512.4</v>
      </c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22.5" customHeight="1">
      <c r="A390" s="10" t="s">
        <v>3704</v>
      </c>
      <c r="B390" s="10" t="s">
        <v>268</v>
      </c>
      <c r="C390" s="152">
        <v>2020.0</v>
      </c>
      <c r="D390" s="187" t="s">
        <v>2573</v>
      </c>
      <c r="E390" s="206" t="s">
        <v>2816</v>
      </c>
      <c r="F390" s="173"/>
      <c r="G390" s="173">
        <v>1228984.93</v>
      </c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22.5" customHeight="1">
      <c r="A391" s="10" t="s">
        <v>3706</v>
      </c>
      <c r="B391" s="10" t="s">
        <v>268</v>
      </c>
      <c r="C391" s="152">
        <v>2020.0</v>
      </c>
      <c r="D391" s="187" t="s">
        <v>2593</v>
      </c>
      <c r="E391" s="206" t="s">
        <v>2816</v>
      </c>
      <c r="F391" s="173"/>
      <c r="G391" s="173">
        <v>738295.96</v>
      </c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22.5" customHeight="1">
      <c r="A392" s="10" t="s">
        <v>3708</v>
      </c>
      <c r="B392" s="10" t="s">
        <v>268</v>
      </c>
      <c r="C392" s="152">
        <v>2020.0</v>
      </c>
      <c r="D392" s="187" t="s">
        <v>2616</v>
      </c>
      <c r="E392" s="206" t="s">
        <v>2816</v>
      </c>
      <c r="F392" s="173"/>
      <c r="G392" s="173">
        <v>223.89</v>
      </c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22.5" customHeight="1">
      <c r="A393" s="10" t="s">
        <v>3711</v>
      </c>
      <c r="B393" s="10" t="s">
        <v>268</v>
      </c>
      <c r="C393" s="152">
        <v>2020.0</v>
      </c>
      <c r="D393" s="187" t="s">
        <v>2742</v>
      </c>
      <c r="E393" s="206" t="s">
        <v>2816</v>
      </c>
      <c r="F393" s="173"/>
      <c r="G393" s="173">
        <v>2741160.47</v>
      </c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22.5" customHeight="1">
      <c r="A394" s="10" t="s">
        <v>3713</v>
      </c>
      <c r="B394" s="10" t="s">
        <v>268</v>
      </c>
      <c r="C394" s="152">
        <v>2020.0</v>
      </c>
      <c r="D394" s="187" t="s">
        <v>2496</v>
      </c>
      <c r="E394" s="206" t="s">
        <v>2816</v>
      </c>
      <c r="F394" s="173"/>
      <c r="G394" s="173">
        <v>1636346.91</v>
      </c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22.5" customHeight="1">
      <c r="A395" s="10" t="s">
        <v>3715</v>
      </c>
      <c r="B395" s="10" t="s">
        <v>268</v>
      </c>
      <c r="C395" s="152">
        <v>2021.0</v>
      </c>
      <c r="D395" s="187" t="s">
        <v>2495</v>
      </c>
      <c r="E395" s="206" t="s">
        <v>2816</v>
      </c>
      <c r="F395" s="173"/>
      <c r="G395" s="173">
        <v>353.6</v>
      </c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22.5" customHeight="1">
      <c r="A396" s="10" t="s">
        <v>3718</v>
      </c>
      <c r="B396" s="10" t="s">
        <v>268</v>
      </c>
      <c r="C396" s="152">
        <v>2021.0</v>
      </c>
      <c r="D396" s="187" t="s">
        <v>2834</v>
      </c>
      <c r="E396" s="206" t="s">
        <v>2816</v>
      </c>
      <c r="F396" s="173"/>
      <c r="G396" s="173">
        <v>531349.4</v>
      </c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22.5" customHeight="1">
      <c r="A397" s="10" t="s">
        <v>3720</v>
      </c>
      <c r="B397" s="10" t="s">
        <v>268</v>
      </c>
      <c r="C397" s="152">
        <v>2021.0</v>
      </c>
      <c r="D397" s="187" t="s">
        <v>2585</v>
      </c>
      <c r="E397" s="206" t="s">
        <v>2816</v>
      </c>
      <c r="F397" s="173"/>
      <c r="G397" s="173">
        <v>545.56</v>
      </c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22.5" customHeight="1">
      <c r="A398" s="10" t="s">
        <v>3722</v>
      </c>
      <c r="B398" s="10" t="s">
        <v>268</v>
      </c>
      <c r="C398" s="152">
        <v>2021.0</v>
      </c>
      <c r="D398" s="187" t="s">
        <v>2594</v>
      </c>
      <c r="E398" s="206" t="s">
        <v>2816</v>
      </c>
      <c r="F398" s="173"/>
      <c r="G398" s="173">
        <v>1839696.12</v>
      </c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22.5" customHeight="1">
      <c r="A399" s="10" t="s">
        <v>3724</v>
      </c>
      <c r="B399" s="10" t="s">
        <v>268</v>
      </c>
      <c r="C399" s="152">
        <v>2021.0</v>
      </c>
      <c r="D399" s="187" t="s">
        <v>2739</v>
      </c>
      <c r="E399" s="206" t="s">
        <v>2816</v>
      </c>
      <c r="F399" s="173"/>
      <c r="G399" s="173">
        <v>960216.76</v>
      </c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22.5" customHeight="1">
      <c r="A400" s="10" t="s">
        <v>3727</v>
      </c>
      <c r="B400" s="10" t="s">
        <v>268</v>
      </c>
      <c r="C400" s="152">
        <v>2021.0</v>
      </c>
      <c r="D400" s="187" t="s">
        <v>2541</v>
      </c>
      <c r="E400" s="206" t="s">
        <v>2816</v>
      </c>
      <c r="F400" s="173"/>
      <c r="G400" s="173">
        <v>135521.64</v>
      </c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22.5" customHeight="1">
      <c r="A401" s="10" t="s">
        <v>3729</v>
      </c>
      <c r="B401" s="10" t="s">
        <v>268</v>
      </c>
      <c r="C401" s="152">
        <v>2021.0</v>
      </c>
      <c r="D401" s="187" t="s">
        <v>2553</v>
      </c>
      <c r="E401" s="206" t="s">
        <v>2816</v>
      </c>
      <c r="F401" s="173"/>
      <c r="G401" s="173">
        <v>1636537.16</v>
      </c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22.5" customHeight="1">
      <c r="A402" s="10" t="s">
        <v>3731</v>
      </c>
      <c r="B402" s="10" t="s">
        <v>268</v>
      </c>
      <c r="C402" s="152">
        <v>2021.0</v>
      </c>
      <c r="D402" s="187" t="s">
        <v>2573</v>
      </c>
      <c r="E402" s="206" t="s">
        <v>2816</v>
      </c>
      <c r="F402" s="173"/>
      <c r="G402" s="173">
        <v>656877.79</v>
      </c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22.5" customHeight="1">
      <c r="A403" s="10" t="s">
        <v>3733</v>
      </c>
      <c r="B403" s="10" t="s">
        <v>268</v>
      </c>
      <c r="C403" s="152">
        <v>2021.0</v>
      </c>
      <c r="D403" s="187" t="s">
        <v>2593</v>
      </c>
      <c r="E403" s="206" t="s">
        <v>2816</v>
      </c>
      <c r="F403" s="173"/>
      <c r="G403" s="173">
        <v>293713.41</v>
      </c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22.5" customHeight="1">
      <c r="A404" s="10" t="s">
        <v>3736</v>
      </c>
      <c r="B404" s="10" t="s">
        <v>268</v>
      </c>
      <c r="C404" s="152">
        <v>2021.0</v>
      </c>
      <c r="D404" s="187" t="s">
        <v>2616</v>
      </c>
      <c r="E404" s="206" t="s">
        <v>2816</v>
      </c>
      <c r="F404" s="173"/>
      <c r="G404" s="173">
        <v>1868280.35</v>
      </c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22.5" customHeight="1">
      <c r="A405" s="10" t="s">
        <v>3738</v>
      </c>
      <c r="B405" s="10" t="s">
        <v>268</v>
      </c>
      <c r="C405" s="152">
        <v>2021.0</v>
      </c>
      <c r="D405" s="187" t="s">
        <v>2742</v>
      </c>
      <c r="E405" s="206" t="s">
        <v>2816</v>
      </c>
      <c r="F405" s="173"/>
      <c r="G405" s="173">
        <v>853686.7</v>
      </c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22.5" customHeight="1">
      <c r="A406" s="10" t="s">
        <v>3740</v>
      </c>
      <c r="B406" s="10" t="s">
        <v>268</v>
      </c>
      <c r="C406" s="152">
        <v>2021.0</v>
      </c>
      <c r="D406" s="187" t="s">
        <v>2496</v>
      </c>
      <c r="E406" s="206" t="s">
        <v>2816</v>
      </c>
      <c r="F406" s="173"/>
      <c r="G406" s="173">
        <v>2499550.14</v>
      </c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22.5" customHeight="1">
      <c r="A407" s="10" t="s">
        <v>3742</v>
      </c>
      <c r="B407" s="10" t="s">
        <v>268</v>
      </c>
      <c r="C407" s="152">
        <v>2022.0</v>
      </c>
      <c r="D407" s="187" t="s">
        <v>2495</v>
      </c>
      <c r="E407" s="206" t="s">
        <v>2816</v>
      </c>
      <c r="F407" s="173"/>
      <c r="G407" s="173">
        <v>527814.76</v>
      </c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22.5" customHeight="1">
      <c r="A408" s="10" t="s">
        <v>3744</v>
      </c>
      <c r="B408" s="10" t="s">
        <v>268</v>
      </c>
      <c r="C408" s="152">
        <v>2022.0</v>
      </c>
      <c r="D408" s="187" t="s">
        <v>2834</v>
      </c>
      <c r="E408" s="206" t="s">
        <v>2816</v>
      </c>
      <c r="F408" s="173"/>
      <c r="G408" s="173">
        <v>3385549.37</v>
      </c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22.5" customHeight="1">
      <c r="A409" s="10" t="s">
        <v>3746</v>
      </c>
      <c r="B409" s="10" t="s">
        <v>268</v>
      </c>
      <c r="C409" s="152">
        <v>2022.0</v>
      </c>
      <c r="D409" s="187" t="s">
        <v>2585</v>
      </c>
      <c r="E409" s="206" t="s">
        <v>2816</v>
      </c>
      <c r="F409" s="173"/>
      <c r="G409" s="173">
        <v>139808.62</v>
      </c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22.5" customHeight="1">
      <c r="A410" s="10" t="s">
        <v>3748</v>
      </c>
      <c r="B410" s="10" t="s">
        <v>268</v>
      </c>
      <c r="C410" s="152">
        <v>2022.0</v>
      </c>
      <c r="D410" s="187" t="s">
        <v>2594</v>
      </c>
      <c r="E410" s="206" t="s">
        <v>2816</v>
      </c>
      <c r="F410" s="173"/>
      <c r="G410" s="173">
        <v>1040490.43</v>
      </c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22.5" customHeight="1">
      <c r="A411" s="10" t="s">
        <v>3750</v>
      </c>
      <c r="B411" s="10" t="s">
        <v>268</v>
      </c>
      <c r="C411" s="152">
        <v>2022.0</v>
      </c>
      <c r="D411" s="187" t="s">
        <v>2739</v>
      </c>
      <c r="E411" s="206" t="s">
        <v>2816</v>
      </c>
      <c r="F411" s="173"/>
      <c r="G411" s="173">
        <v>1346698.86</v>
      </c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22.5" customHeight="1">
      <c r="A412" s="10" t="s">
        <v>3752</v>
      </c>
      <c r="B412" s="10" t="s">
        <v>268</v>
      </c>
      <c r="C412" s="152">
        <v>2022.0</v>
      </c>
      <c r="D412" s="187" t="s">
        <v>2541</v>
      </c>
      <c r="E412" s="206" t="s">
        <v>2816</v>
      </c>
      <c r="F412" s="173"/>
      <c r="G412" s="173">
        <v>670289.18</v>
      </c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22.5" customHeight="1">
      <c r="A413" s="10" t="s">
        <v>3754</v>
      </c>
      <c r="B413" s="10" t="s">
        <v>268</v>
      </c>
      <c r="C413" s="152">
        <v>2022.0</v>
      </c>
      <c r="D413" s="187" t="s">
        <v>2553</v>
      </c>
      <c r="E413" s="206" t="s">
        <v>2816</v>
      </c>
      <c r="F413" s="173"/>
      <c r="G413" s="173">
        <v>258970.39</v>
      </c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22.5" customHeight="1">
      <c r="A414" s="10" t="s">
        <v>3756</v>
      </c>
      <c r="B414" s="10" t="s">
        <v>268</v>
      </c>
      <c r="C414" s="152">
        <v>2022.0</v>
      </c>
      <c r="D414" s="187" t="s">
        <v>2573</v>
      </c>
      <c r="E414" s="206" t="s">
        <v>2816</v>
      </c>
      <c r="F414" s="173"/>
      <c r="G414" s="173">
        <v>1104196.2</v>
      </c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22.5" customHeight="1">
      <c r="A415" s="10" t="s">
        <v>3758</v>
      </c>
      <c r="B415" s="10" t="s">
        <v>268</v>
      </c>
      <c r="C415" s="152">
        <v>2022.0</v>
      </c>
      <c r="D415" s="187" t="s">
        <v>2593</v>
      </c>
      <c r="E415" s="206" t="s">
        <v>2816</v>
      </c>
      <c r="F415" s="173"/>
      <c r="G415" s="173">
        <v>544457.11</v>
      </c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22.5" customHeight="1">
      <c r="A416" s="10" t="s">
        <v>3760</v>
      </c>
      <c r="B416" s="10" t="s">
        <v>268</v>
      </c>
      <c r="C416" s="152">
        <v>2022.0</v>
      </c>
      <c r="D416" s="187" t="s">
        <v>2616</v>
      </c>
      <c r="E416" s="206" t="s">
        <v>2816</v>
      </c>
      <c r="F416" s="173"/>
      <c r="G416" s="173">
        <v>45052.25</v>
      </c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22.5" customHeight="1">
      <c r="A417" s="10" t="s">
        <v>3762</v>
      </c>
      <c r="B417" s="10" t="s">
        <v>268</v>
      </c>
      <c r="C417" s="152">
        <v>2022.0</v>
      </c>
      <c r="D417" s="187" t="s">
        <v>2742</v>
      </c>
      <c r="E417" s="206" t="s">
        <v>2816</v>
      </c>
      <c r="F417" s="173"/>
      <c r="G417" s="173">
        <v>1494833.23</v>
      </c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22.5" customHeight="1">
      <c r="A418" s="10" t="s">
        <v>3764</v>
      </c>
      <c r="B418" s="10" t="s">
        <v>268</v>
      </c>
      <c r="C418" s="152">
        <v>2022.0</v>
      </c>
      <c r="D418" s="187" t="s">
        <v>2496</v>
      </c>
      <c r="E418" s="206" t="s">
        <v>2816</v>
      </c>
      <c r="F418" s="173"/>
      <c r="G418" s="173">
        <v>1786403.92</v>
      </c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22.5" customHeight="1">
      <c r="A419" s="10" t="s">
        <v>3766</v>
      </c>
      <c r="B419" s="10" t="s">
        <v>268</v>
      </c>
      <c r="C419" s="152">
        <v>2023.0</v>
      </c>
      <c r="D419" s="187" t="s">
        <v>2495</v>
      </c>
      <c r="E419" s="206" t="s">
        <v>2816</v>
      </c>
      <c r="F419" s="173"/>
      <c r="G419" s="173">
        <v>109869.19</v>
      </c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22.5" customHeight="1">
      <c r="A420" s="10" t="s">
        <v>3768</v>
      </c>
      <c r="B420" s="10" t="s">
        <v>268</v>
      </c>
      <c r="C420" s="152">
        <v>2023.0</v>
      </c>
      <c r="D420" s="187" t="s">
        <v>2834</v>
      </c>
      <c r="E420" s="206" t="s">
        <v>2816</v>
      </c>
      <c r="F420" s="173"/>
      <c r="G420" s="173">
        <v>105990.15</v>
      </c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22.5" customHeight="1">
      <c r="A421" s="10" t="s">
        <v>3771</v>
      </c>
      <c r="B421" s="10" t="s">
        <v>268</v>
      </c>
      <c r="C421" s="152">
        <v>2023.0</v>
      </c>
      <c r="D421" s="187" t="s">
        <v>2585</v>
      </c>
      <c r="E421" s="206" t="s">
        <v>2816</v>
      </c>
      <c r="F421" s="173"/>
      <c r="G421" s="173">
        <v>771769.09</v>
      </c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22.5" customHeight="1">
      <c r="A422" s="10" t="s">
        <v>3773</v>
      </c>
      <c r="B422" s="10" t="s">
        <v>268</v>
      </c>
      <c r="C422" s="152">
        <v>2023.0</v>
      </c>
      <c r="D422" s="187" t="s">
        <v>2594</v>
      </c>
      <c r="E422" s="206" t="s">
        <v>2816</v>
      </c>
      <c r="F422" s="173"/>
      <c r="G422" s="173">
        <v>652159.68</v>
      </c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22.5" customHeight="1">
      <c r="A423" s="10" t="s">
        <v>3775</v>
      </c>
      <c r="B423" s="10" t="s">
        <v>268</v>
      </c>
      <c r="C423" s="152">
        <v>2023.0</v>
      </c>
      <c r="D423" s="187" t="s">
        <v>2739</v>
      </c>
      <c r="E423" s="206" t="s">
        <v>2816</v>
      </c>
      <c r="F423" s="173"/>
      <c r="G423" s="173">
        <v>1655554.21</v>
      </c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22.5" customHeight="1">
      <c r="A424" s="10" t="s">
        <v>3777</v>
      </c>
      <c r="B424" s="10" t="s">
        <v>268</v>
      </c>
      <c r="C424" s="152">
        <v>2023.0</v>
      </c>
      <c r="D424" s="187" t="s">
        <v>2541</v>
      </c>
      <c r="E424" s="206" t="s">
        <v>2816</v>
      </c>
      <c r="F424" s="173"/>
      <c r="G424" s="173">
        <v>2248344.86</v>
      </c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22.5" customHeight="1">
      <c r="A425" s="10" t="s">
        <v>3779</v>
      </c>
      <c r="B425" s="10" t="s">
        <v>268</v>
      </c>
      <c r="C425" s="152">
        <v>2023.0</v>
      </c>
      <c r="D425" s="187" t="s">
        <v>2553</v>
      </c>
      <c r="E425" s="206" t="s">
        <v>2816</v>
      </c>
      <c r="F425" s="173"/>
      <c r="G425" s="173">
        <v>959261.66</v>
      </c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22.5" customHeight="1">
      <c r="A426" s="10" t="s">
        <v>3781</v>
      </c>
      <c r="B426" s="10" t="s">
        <v>268</v>
      </c>
      <c r="C426" s="152">
        <v>2023.0</v>
      </c>
      <c r="D426" s="187" t="s">
        <v>2573</v>
      </c>
      <c r="E426" s="206" t="s">
        <v>2816</v>
      </c>
      <c r="F426" s="173"/>
      <c r="G426" s="173">
        <v>751398.06</v>
      </c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22.5" customHeight="1">
      <c r="A427" s="10" t="s">
        <v>3783</v>
      </c>
      <c r="B427" s="10" t="s">
        <v>268</v>
      </c>
      <c r="C427" s="152">
        <v>2023.0</v>
      </c>
      <c r="D427" s="187" t="s">
        <v>2593</v>
      </c>
      <c r="E427" s="206" t="s">
        <v>2816</v>
      </c>
      <c r="F427" s="173"/>
      <c r="G427" s="173">
        <v>1672342.16</v>
      </c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22.5" customHeight="1">
      <c r="A428" s="10" t="s">
        <v>3785</v>
      </c>
      <c r="B428" s="10" t="s">
        <v>268</v>
      </c>
      <c r="C428" s="152">
        <v>2023.0</v>
      </c>
      <c r="D428" s="187" t="s">
        <v>2616</v>
      </c>
      <c r="E428" s="206" t="s">
        <v>2816</v>
      </c>
      <c r="F428" s="173"/>
      <c r="G428" s="173">
        <v>7572345.16</v>
      </c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22.5" customHeight="1">
      <c r="A429" s="10" t="s">
        <v>3787</v>
      </c>
      <c r="B429" s="10" t="s">
        <v>268</v>
      </c>
      <c r="C429" s="152">
        <v>2023.0</v>
      </c>
      <c r="D429" s="187" t="s">
        <v>2742</v>
      </c>
      <c r="E429" s="206" t="s">
        <v>2816</v>
      </c>
      <c r="F429" s="173"/>
      <c r="G429" s="173">
        <v>4213281.53</v>
      </c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22.5" customHeight="1">
      <c r="A430" s="10" t="s">
        <v>3789</v>
      </c>
      <c r="B430" s="10" t="s">
        <v>268</v>
      </c>
      <c r="C430" s="152">
        <v>2023.0</v>
      </c>
      <c r="D430" s="187" t="s">
        <v>2496</v>
      </c>
      <c r="E430" s="206" t="s">
        <v>2816</v>
      </c>
      <c r="F430" s="173"/>
      <c r="G430" s="173">
        <v>1666.67</v>
      </c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22.5" customHeight="1">
      <c r="A431" s="10" t="s">
        <v>3791</v>
      </c>
      <c r="B431" s="10" t="s">
        <v>268</v>
      </c>
      <c r="C431" s="152">
        <v>2024.0</v>
      </c>
      <c r="D431" s="187" t="s">
        <v>2495</v>
      </c>
      <c r="E431" s="206" t="s">
        <v>2816</v>
      </c>
      <c r="F431" s="173"/>
      <c r="G431" s="173">
        <v>1.661116684E7</v>
      </c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22.5" customHeight="1">
      <c r="A432" s="10" t="s">
        <v>3793</v>
      </c>
      <c r="B432" s="10" t="s">
        <v>268</v>
      </c>
      <c r="C432" s="152">
        <v>2024.0</v>
      </c>
      <c r="D432" s="187" t="s">
        <v>2834</v>
      </c>
      <c r="E432" s="206" t="s">
        <v>2816</v>
      </c>
      <c r="F432" s="173"/>
      <c r="G432" s="173">
        <v>6954822.48</v>
      </c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22.5" customHeight="1">
      <c r="A433" s="10" t="s">
        <v>3795</v>
      </c>
      <c r="B433" s="10" t="s">
        <v>268</v>
      </c>
      <c r="C433" s="152">
        <v>2024.0</v>
      </c>
      <c r="D433" s="187" t="s">
        <v>2585</v>
      </c>
      <c r="E433" s="206" t="s">
        <v>2816</v>
      </c>
      <c r="F433" s="173"/>
      <c r="G433" s="173">
        <v>1.206996697E7</v>
      </c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22.5" customHeight="1">
      <c r="A434" s="10" t="s">
        <v>3798</v>
      </c>
      <c r="B434" s="10" t="s">
        <v>268</v>
      </c>
      <c r="C434" s="152">
        <v>2024.0</v>
      </c>
      <c r="D434" s="187" t="s">
        <v>2594</v>
      </c>
      <c r="E434" s="206" t="s">
        <v>2816</v>
      </c>
      <c r="F434" s="173"/>
      <c r="G434" s="173">
        <v>4518941.9</v>
      </c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22.5" customHeight="1">
      <c r="A435" s="10" t="s">
        <v>3800</v>
      </c>
      <c r="B435" s="10" t="s">
        <v>268</v>
      </c>
      <c r="C435" s="152">
        <v>2024.0</v>
      </c>
      <c r="D435" s="187" t="s">
        <v>2739</v>
      </c>
      <c r="E435" s="206" t="s">
        <v>2816</v>
      </c>
      <c r="F435" s="173"/>
      <c r="G435" s="173">
        <v>4245339.17</v>
      </c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22.5" customHeight="1">
      <c r="A436" s="10" t="s">
        <v>3802</v>
      </c>
      <c r="B436" s="10" t="s">
        <v>268</v>
      </c>
      <c r="C436" s="152">
        <v>2024.0</v>
      </c>
      <c r="D436" s="187" t="s">
        <v>2541</v>
      </c>
      <c r="E436" s="206" t="s">
        <v>2816</v>
      </c>
      <c r="F436" s="173"/>
      <c r="G436" s="173">
        <v>3651024.61</v>
      </c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22.5" customHeight="1">
      <c r="A437" s="10" t="s">
        <v>3804</v>
      </c>
      <c r="B437" s="10" t="s">
        <v>268</v>
      </c>
      <c r="C437" s="152">
        <v>2024.0</v>
      </c>
      <c r="D437" s="187" t="s">
        <v>2553</v>
      </c>
      <c r="E437" s="206" t="s">
        <v>2816</v>
      </c>
      <c r="F437" s="173"/>
      <c r="G437" s="173">
        <v>861689.13</v>
      </c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22.5" customHeight="1">
      <c r="A438" s="10" t="s">
        <v>3806</v>
      </c>
      <c r="B438" s="10" t="s">
        <v>268</v>
      </c>
      <c r="C438" s="152">
        <v>2024.0</v>
      </c>
      <c r="D438" s="187" t="s">
        <v>2573</v>
      </c>
      <c r="E438" s="206" t="s">
        <v>2816</v>
      </c>
      <c r="F438" s="173"/>
      <c r="G438" s="173">
        <v>70383.94</v>
      </c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22.5" customHeight="1">
      <c r="A439" s="10" t="s">
        <v>3808</v>
      </c>
      <c r="B439" s="10" t="s">
        <v>268</v>
      </c>
      <c r="C439" s="152">
        <v>2024.0</v>
      </c>
      <c r="D439" s="187" t="s">
        <v>2593</v>
      </c>
      <c r="E439" s="206" t="s">
        <v>2816</v>
      </c>
      <c r="F439" s="173"/>
      <c r="G439" s="173">
        <v>774675.15</v>
      </c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22.5" customHeight="1">
      <c r="A440" s="10" t="s">
        <v>3810</v>
      </c>
      <c r="B440" s="10" t="s">
        <v>268</v>
      </c>
      <c r="C440" s="152">
        <v>2024.0</v>
      </c>
      <c r="D440" s="187" t="s">
        <v>2616</v>
      </c>
      <c r="E440" s="206" t="s">
        <v>2816</v>
      </c>
      <c r="F440" s="173"/>
      <c r="G440" s="173">
        <v>1702.04</v>
      </c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22.5" customHeight="1">
      <c r="A441" s="10" t="s">
        <v>3813</v>
      </c>
      <c r="B441" s="10" t="s">
        <v>268</v>
      </c>
      <c r="C441" s="152">
        <v>2024.0</v>
      </c>
      <c r="D441" s="187" t="s">
        <v>2742</v>
      </c>
      <c r="E441" s="206" t="s">
        <v>2816</v>
      </c>
      <c r="F441" s="173"/>
      <c r="G441" s="173">
        <v>353465.04</v>
      </c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22.5" customHeight="1">
      <c r="A442" s="10" t="s">
        <v>3815</v>
      </c>
      <c r="B442" s="10" t="s">
        <v>268</v>
      </c>
      <c r="C442" s="152">
        <v>2024.0</v>
      </c>
      <c r="D442" s="187" t="s">
        <v>2496</v>
      </c>
      <c r="E442" s="206" t="s">
        <v>2816</v>
      </c>
      <c r="F442" s="173"/>
      <c r="G442" s="173">
        <v>2398983.52</v>
      </c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22.5" customHeight="1">
      <c r="A443" s="10" t="s">
        <v>3817</v>
      </c>
      <c r="B443" s="10" t="s">
        <v>268</v>
      </c>
      <c r="C443" s="152">
        <v>2025.0</v>
      </c>
      <c r="D443" s="187" t="s">
        <v>2495</v>
      </c>
      <c r="E443" s="206" t="s">
        <v>2816</v>
      </c>
      <c r="F443" s="173"/>
      <c r="G443" s="173">
        <v>3348033.19</v>
      </c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22.5" customHeight="1">
      <c r="A444" s="10" t="s">
        <v>3819</v>
      </c>
      <c r="B444" s="10" t="s">
        <v>292</v>
      </c>
      <c r="C444" s="152">
        <v>2018.0</v>
      </c>
      <c r="D444" s="187" t="s">
        <v>2593</v>
      </c>
      <c r="E444" s="187" t="s">
        <v>2816</v>
      </c>
      <c r="F444" s="173"/>
      <c r="G444" s="173">
        <v>168955.5</v>
      </c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22.5" customHeight="1">
      <c r="A445" s="10" t="s">
        <v>3821</v>
      </c>
      <c r="B445" s="10" t="s">
        <v>292</v>
      </c>
      <c r="C445" s="152">
        <v>2018.0</v>
      </c>
      <c r="D445" s="187" t="s">
        <v>2616</v>
      </c>
      <c r="E445" s="187" t="s">
        <v>2816</v>
      </c>
      <c r="F445" s="173"/>
      <c r="G445" s="173">
        <v>114621.61</v>
      </c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22.5" customHeight="1">
      <c r="A446" s="10" t="s">
        <v>3824</v>
      </c>
      <c r="B446" s="10" t="s">
        <v>292</v>
      </c>
      <c r="C446" s="152">
        <v>2018.0</v>
      </c>
      <c r="D446" s="187" t="s">
        <v>2742</v>
      </c>
      <c r="E446" s="187" t="s">
        <v>2816</v>
      </c>
      <c r="F446" s="173"/>
      <c r="G446" s="173">
        <v>68050.4</v>
      </c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22.5" customHeight="1">
      <c r="A447" s="10" t="s">
        <v>3826</v>
      </c>
      <c r="B447" s="10" t="s">
        <v>292</v>
      </c>
      <c r="C447" s="152">
        <v>2018.0</v>
      </c>
      <c r="D447" s="187" t="s">
        <v>2496</v>
      </c>
      <c r="E447" s="187" t="s">
        <v>2816</v>
      </c>
      <c r="F447" s="173"/>
      <c r="G447" s="173">
        <v>119661.73</v>
      </c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22.5" customHeight="1">
      <c r="A448" s="10" t="s">
        <v>3828</v>
      </c>
      <c r="B448" s="10" t="s">
        <v>292</v>
      </c>
      <c r="C448" s="152">
        <v>2019.0</v>
      </c>
      <c r="D448" s="187" t="s">
        <v>2495</v>
      </c>
      <c r="E448" s="187" t="s">
        <v>2816</v>
      </c>
      <c r="F448" s="173"/>
      <c r="G448" s="173">
        <v>94704.1</v>
      </c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22.5" customHeight="1">
      <c r="A449" s="10" t="s">
        <v>3830</v>
      </c>
      <c r="B449" s="10" t="s">
        <v>292</v>
      </c>
      <c r="C449" s="152">
        <v>2019.0</v>
      </c>
      <c r="D449" s="187" t="s">
        <v>2834</v>
      </c>
      <c r="E449" s="187" t="s">
        <v>2816</v>
      </c>
      <c r="F449" s="173"/>
      <c r="G449" s="173">
        <v>953343.27</v>
      </c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22.5" customHeight="1">
      <c r="A450" s="10" t="s">
        <v>3832</v>
      </c>
      <c r="B450" s="10" t="s">
        <v>292</v>
      </c>
      <c r="C450" s="152">
        <v>2019.0</v>
      </c>
      <c r="D450" s="187" t="s">
        <v>2585</v>
      </c>
      <c r="E450" s="187" t="s">
        <v>2816</v>
      </c>
      <c r="F450" s="173"/>
      <c r="G450" s="173">
        <v>222397.83</v>
      </c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22.5" customHeight="1">
      <c r="A451" s="10" t="s">
        <v>3834</v>
      </c>
      <c r="B451" s="10" t="s">
        <v>292</v>
      </c>
      <c r="C451" s="152">
        <v>2019.0</v>
      </c>
      <c r="D451" s="187" t="s">
        <v>2594</v>
      </c>
      <c r="E451" s="187" t="s">
        <v>2816</v>
      </c>
      <c r="F451" s="173"/>
      <c r="G451" s="173">
        <v>117606.87</v>
      </c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22.5" customHeight="1">
      <c r="A452" s="10" t="s">
        <v>3836</v>
      </c>
      <c r="B452" s="10" t="s">
        <v>292</v>
      </c>
      <c r="C452" s="152">
        <v>2019.0</v>
      </c>
      <c r="D452" s="187" t="s">
        <v>2739</v>
      </c>
      <c r="E452" s="187" t="s">
        <v>2816</v>
      </c>
      <c r="F452" s="173"/>
      <c r="G452" s="173">
        <v>230600.14</v>
      </c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22.5" customHeight="1">
      <c r="A453" s="10" t="s">
        <v>3839</v>
      </c>
      <c r="B453" s="10" t="s">
        <v>292</v>
      </c>
      <c r="C453" s="152">
        <v>2019.0</v>
      </c>
      <c r="D453" s="187" t="s">
        <v>2541</v>
      </c>
      <c r="E453" s="187" t="s">
        <v>2816</v>
      </c>
      <c r="F453" s="173"/>
      <c r="G453" s="173">
        <v>270021.83</v>
      </c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22.5" customHeight="1">
      <c r="A454" s="10" t="s">
        <v>3841</v>
      </c>
      <c r="B454" s="10" t="s">
        <v>292</v>
      </c>
      <c r="C454" s="152">
        <v>2019.0</v>
      </c>
      <c r="D454" s="187" t="s">
        <v>2553</v>
      </c>
      <c r="E454" s="187" t="s">
        <v>2816</v>
      </c>
      <c r="F454" s="173"/>
      <c r="G454" s="173">
        <v>133242.46</v>
      </c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22.5" customHeight="1">
      <c r="A455" s="10" t="s">
        <v>3843</v>
      </c>
      <c r="B455" s="10" t="s">
        <v>292</v>
      </c>
      <c r="C455" s="152">
        <v>2019.0</v>
      </c>
      <c r="D455" s="187" t="s">
        <v>2573</v>
      </c>
      <c r="E455" s="187" t="s">
        <v>2816</v>
      </c>
      <c r="F455" s="173"/>
      <c r="G455" s="173">
        <v>173815.75</v>
      </c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22.5" customHeight="1">
      <c r="A456" s="10" t="s">
        <v>3845</v>
      </c>
      <c r="B456" s="10" t="s">
        <v>292</v>
      </c>
      <c r="C456" s="152">
        <v>2019.0</v>
      </c>
      <c r="D456" s="187" t="s">
        <v>2593</v>
      </c>
      <c r="E456" s="187" t="s">
        <v>2816</v>
      </c>
      <c r="F456" s="173"/>
      <c r="G456" s="173">
        <v>187942.77</v>
      </c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22.5" customHeight="1">
      <c r="A457" s="10" t="s">
        <v>3847</v>
      </c>
      <c r="B457" s="10" t="s">
        <v>292</v>
      </c>
      <c r="C457" s="152">
        <v>2019.0</v>
      </c>
      <c r="D457" s="187" t="s">
        <v>2616</v>
      </c>
      <c r="E457" s="187" t="s">
        <v>2816</v>
      </c>
      <c r="F457" s="173"/>
      <c r="G457" s="173">
        <v>186159.95</v>
      </c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22.5" customHeight="1">
      <c r="A458" s="10" t="s">
        <v>3849</v>
      </c>
      <c r="B458" s="10" t="s">
        <v>292</v>
      </c>
      <c r="C458" s="152">
        <v>2019.0</v>
      </c>
      <c r="D458" s="187" t="s">
        <v>2742</v>
      </c>
      <c r="E458" s="187" t="s">
        <v>2816</v>
      </c>
      <c r="F458" s="173"/>
      <c r="G458" s="173">
        <v>259248.41</v>
      </c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22.5" customHeight="1">
      <c r="A459" s="10" t="s">
        <v>3852</v>
      </c>
      <c r="B459" s="10" t="s">
        <v>292</v>
      </c>
      <c r="C459" s="152">
        <v>2019.0</v>
      </c>
      <c r="D459" s="187" t="s">
        <v>2496</v>
      </c>
      <c r="E459" s="187" t="s">
        <v>2816</v>
      </c>
      <c r="F459" s="173"/>
      <c r="G459" s="173">
        <v>307900.49</v>
      </c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22.5" customHeight="1">
      <c r="A460" s="10" t="s">
        <v>3854</v>
      </c>
      <c r="B460" s="10" t="s">
        <v>292</v>
      </c>
      <c r="C460" s="152">
        <v>2020.0</v>
      </c>
      <c r="D460" s="187" t="s">
        <v>2495</v>
      </c>
      <c r="E460" s="187" t="s">
        <v>2816</v>
      </c>
      <c r="F460" s="173"/>
      <c r="G460" s="173">
        <v>233488.26</v>
      </c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22.5" customHeight="1">
      <c r="A461" s="10" t="s">
        <v>3855</v>
      </c>
      <c r="B461" s="10" t="s">
        <v>292</v>
      </c>
      <c r="C461" s="152">
        <v>2020.0</v>
      </c>
      <c r="D461" s="187" t="s">
        <v>2834</v>
      </c>
      <c r="E461" s="187" t="s">
        <v>2816</v>
      </c>
      <c r="F461" s="173"/>
      <c r="G461" s="173">
        <v>233478.71</v>
      </c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22.5" customHeight="1">
      <c r="A462" s="10" t="s">
        <v>3858</v>
      </c>
      <c r="B462" s="10" t="s">
        <v>292</v>
      </c>
      <c r="C462" s="152">
        <v>2020.0</v>
      </c>
      <c r="D462" s="187" t="s">
        <v>2585</v>
      </c>
      <c r="E462" s="187" t="s">
        <v>2816</v>
      </c>
      <c r="F462" s="173"/>
      <c r="G462" s="173">
        <v>7304350.29</v>
      </c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22.5" customHeight="1">
      <c r="A463" s="10" t="s">
        <v>3860</v>
      </c>
      <c r="B463" s="10" t="s">
        <v>292</v>
      </c>
      <c r="C463" s="152">
        <v>2020.0</v>
      </c>
      <c r="D463" s="187" t="s">
        <v>2594</v>
      </c>
      <c r="E463" s="187" t="s">
        <v>2816</v>
      </c>
      <c r="F463" s="173"/>
      <c r="G463" s="173">
        <v>349573.7</v>
      </c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22.5" customHeight="1">
      <c r="A464" s="10" t="s">
        <v>3862</v>
      </c>
      <c r="B464" s="10" t="s">
        <v>292</v>
      </c>
      <c r="C464" s="152">
        <v>2020.0</v>
      </c>
      <c r="D464" s="187" t="s">
        <v>2739</v>
      </c>
      <c r="E464" s="187" t="s">
        <v>2816</v>
      </c>
      <c r="F464" s="173"/>
      <c r="G464" s="173">
        <v>241383.04</v>
      </c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22.5" customHeight="1">
      <c r="A465" s="10" t="s">
        <v>3864</v>
      </c>
      <c r="B465" s="10" t="s">
        <v>292</v>
      </c>
      <c r="C465" s="152">
        <v>2020.0</v>
      </c>
      <c r="D465" s="187" t="s">
        <v>2541</v>
      </c>
      <c r="E465" s="187" t="s">
        <v>2816</v>
      </c>
      <c r="F465" s="173"/>
      <c r="G465" s="173">
        <v>181833.24</v>
      </c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22.5" customHeight="1">
      <c r="A466" s="10" t="s">
        <v>3866</v>
      </c>
      <c r="B466" s="10" t="s">
        <v>292</v>
      </c>
      <c r="C466" s="152">
        <v>2020.0</v>
      </c>
      <c r="D466" s="187" t="s">
        <v>2553</v>
      </c>
      <c r="E466" s="187" t="s">
        <v>2816</v>
      </c>
      <c r="F466" s="173"/>
      <c r="G466" s="173">
        <v>229418.69</v>
      </c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22.5" customHeight="1">
      <c r="A467" s="10" t="s">
        <v>3868</v>
      </c>
      <c r="B467" s="10" t="s">
        <v>292</v>
      </c>
      <c r="C467" s="152">
        <v>2020.0</v>
      </c>
      <c r="D467" s="187" t="s">
        <v>2573</v>
      </c>
      <c r="E467" s="187" t="s">
        <v>2816</v>
      </c>
      <c r="F467" s="173"/>
      <c r="G467" s="173">
        <v>233817.95</v>
      </c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22.5" customHeight="1">
      <c r="A468" s="10" t="s">
        <v>3870</v>
      </c>
      <c r="B468" s="10" t="s">
        <v>292</v>
      </c>
      <c r="C468" s="152">
        <v>2020.0</v>
      </c>
      <c r="D468" s="187" t="s">
        <v>2593</v>
      </c>
      <c r="E468" s="187" t="s">
        <v>2816</v>
      </c>
      <c r="F468" s="173"/>
      <c r="G468" s="173">
        <v>270352.76</v>
      </c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22.5" customHeight="1">
      <c r="A469" s="10" t="s">
        <v>3872</v>
      </c>
      <c r="B469" s="10" t="s">
        <v>292</v>
      </c>
      <c r="C469" s="152">
        <v>2020.0</v>
      </c>
      <c r="D469" s="187" t="s">
        <v>2616</v>
      </c>
      <c r="E469" s="187" t="s">
        <v>2816</v>
      </c>
      <c r="F469" s="173"/>
      <c r="G469" s="173">
        <v>282365.49</v>
      </c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22.5" customHeight="1">
      <c r="A470" s="10" t="s">
        <v>3874</v>
      </c>
      <c r="B470" s="10" t="s">
        <v>292</v>
      </c>
      <c r="C470" s="152">
        <v>2020.0</v>
      </c>
      <c r="D470" s="187" t="s">
        <v>2742</v>
      </c>
      <c r="E470" s="187" t="s">
        <v>2816</v>
      </c>
      <c r="F470" s="173"/>
      <c r="G470" s="173">
        <v>262471.14</v>
      </c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22.5" customHeight="1">
      <c r="A471" s="10" t="s">
        <v>3876</v>
      </c>
      <c r="B471" s="10" t="s">
        <v>292</v>
      </c>
      <c r="C471" s="152">
        <v>2020.0</v>
      </c>
      <c r="D471" s="187" t="s">
        <v>2496</v>
      </c>
      <c r="E471" s="187" t="s">
        <v>2816</v>
      </c>
      <c r="F471" s="173"/>
      <c r="G471" s="173">
        <v>301906.27</v>
      </c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22.5" customHeight="1">
      <c r="A472" s="10" t="s">
        <v>3878</v>
      </c>
      <c r="B472" s="10" t="s">
        <v>292</v>
      </c>
      <c r="C472" s="152">
        <v>2021.0</v>
      </c>
      <c r="D472" s="187" t="s">
        <v>2495</v>
      </c>
      <c r="E472" s="187" t="s">
        <v>2816</v>
      </c>
      <c r="F472" s="173"/>
      <c r="G472" s="173">
        <v>350597.37</v>
      </c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22.5" customHeight="1">
      <c r="A473" s="10" t="s">
        <v>3881</v>
      </c>
      <c r="B473" s="10" t="s">
        <v>292</v>
      </c>
      <c r="C473" s="152">
        <v>2021.0</v>
      </c>
      <c r="D473" s="187" t="s">
        <v>2834</v>
      </c>
      <c r="E473" s="187" t="s">
        <v>2816</v>
      </c>
      <c r="F473" s="173"/>
      <c r="G473" s="173">
        <v>277905.77</v>
      </c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22.5" customHeight="1">
      <c r="A474" s="10" t="s">
        <v>3883</v>
      </c>
      <c r="B474" s="10" t="s">
        <v>292</v>
      </c>
      <c r="C474" s="152">
        <v>2021.0</v>
      </c>
      <c r="D474" s="187" t="s">
        <v>2585</v>
      </c>
      <c r="E474" s="187" t="s">
        <v>2816</v>
      </c>
      <c r="F474" s="173"/>
      <c r="G474" s="173">
        <v>185426.19</v>
      </c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22.5" customHeight="1">
      <c r="A475" s="10" t="s">
        <v>3885</v>
      </c>
      <c r="B475" s="10" t="s">
        <v>292</v>
      </c>
      <c r="C475" s="152">
        <v>2021.0</v>
      </c>
      <c r="D475" s="187" t="s">
        <v>2594</v>
      </c>
      <c r="E475" s="187" t="s">
        <v>2816</v>
      </c>
      <c r="F475" s="173"/>
      <c r="G475" s="173">
        <v>1768181.67</v>
      </c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22.5" customHeight="1">
      <c r="A476" s="10" t="s">
        <v>3887</v>
      </c>
      <c r="B476" s="10" t="s">
        <v>292</v>
      </c>
      <c r="C476" s="152">
        <v>2021.0</v>
      </c>
      <c r="D476" s="187" t="s">
        <v>2739</v>
      </c>
      <c r="E476" s="187" t="s">
        <v>2816</v>
      </c>
      <c r="F476" s="173"/>
      <c r="G476" s="173">
        <v>276840.12</v>
      </c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22.5" customHeight="1">
      <c r="A477" s="10" t="s">
        <v>3889</v>
      </c>
      <c r="B477" s="10" t="s">
        <v>292</v>
      </c>
      <c r="C477" s="152">
        <v>2021.0</v>
      </c>
      <c r="D477" s="187" t="s">
        <v>2541</v>
      </c>
      <c r="E477" s="187" t="s">
        <v>2816</v>
      </c>
      <c r="F477" s="173"/>
      <c r="G477" s="173">
        <v>266381.04</v>
      </c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22.5" customHeight="1">
      <c r="A478" s="10" t="s">
        <v>3891</v>
      </c>
      <c r="B478" s="10" t="s">
        <v>292</v>
      </c>
      <c r="C478" s="152">
        <v>2021.0</v>
      </c>
      <c r="D478" s="187" t="s">
        <v>2553</v>
      </c>
      <c r="E478" s="187" t="s">
        <v>2816</v>
      </c>
      <c r="F478" s="173"/>
      <c r="G478" s="173">
        <v>174998.47</v>
      </c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22.5" customHeight="1">
      <c r="A479" s="10" t="s">
        <v>3893</v>
      </c>
      <c r="B479" s="10" t="s">
        <v>292</v>
      </c>
      <c r="C479" s="152">
        <v>2021.0</v>
      </c>
      <c r="D479" s="187" t="s">
        <v>2573</v>
      </c>
      <c r="E479" s="187" t="s">
        <v>2816</v>
      </c>
      <c r="F479" s="173"/>
      <c r="G479" s="173">
        <v>149143.82</v>
      </c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22.5" customHeight="1">
      <c r="A480" s="10" t="s">
        <v>3895</v>
      </c>
      <c r="B480" s="10" t="s">
        <v>292</v>
      </c>
      <c r="C480" s="152">
        <v>2021.0</v>
      </c>
      <c r="D480" s="187" t="s">
        <v>2593</v>
      </c>
      <c r="E480" s="187" t="s">
        <v>2816</v>
      </c>
      <c r="F480" s="173"/>
      <c r="G480" s="173">
        <v>142261.59</v>
      </c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22.5" customHeight="1">
      <c r="A481" s="10" t="s">
        <v>3897</v>
      </c>
      <c r="B481" s="10" t="s">
        <v>292</v>
      </c>
      <c r="C481" s="152">
        <v>2021.0</v>
      </c>
      <c r="D481" s="187" t="s">
        <v>2616</v>
      </c>
      <c r="E481" s="187" t="s">
        <v>2816</v>
      </c>
      <c r="F481" s="173"/>
      <c r="G481" s="173">
        <v>209568.77</v>
      </c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22.5" customHeight="1">
      <c r="A482" s="10" t="s">
        <v>3899</v>
      </c>
      <c r="B482" s="10" t="s">
        <v>292</v>
      </c>
      <c r="C482" s="152">
        <v>2021.0</v>
      </c>
      <c r="D482" s="187" t="s">
        <v>2742</v>
      </c>
      <c r="E482" s="187" t="s">
        <v>2816</v>
      </c>
      <c r="F482" s="173"/>
      <c r="G482" s="173">
        <v>75928.14</v>
      </c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22.5" customHeight="1">
      <c r="A483" s="10" t="s">
        <v>3901</v>
      </c>
      <c r="B483" s="10" t="s">
        <v>292</v>
      </c>
      <c r="C483" s="152">
        <v>2021.0</v>
      </c>
      <c r="D483" s="187" t="s">
        <v>2496</v>
      </c>
      <c r="E483" s="187" t="s">
        <v>2816</v>
      </c>
      <c r="F483" s="173"/>
      <c r="G483" s="173">
        <v>-67895.83</v>
      </c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22.5" customHeight="1">
      <c r="A484" s="10" t="s">
        <v>3903</v>
      </c>
      <c r="B484" s="10" t="s">
        <v>292</v>
      </c>
      <c r="C484" s="152">
        <v>2022.0</v>
      </c>
      <c r="D484" s="187" t="s">
        <v>2495</v>
      </c>
      <c r="E484" s="187" t="s">
        <v>2816</v>
      </c>
      <c r="F484" s="173"/>
      <c r="G484" s="173">
        <v>178345.88</v>
      </c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22.5" customHeight="1">
      <c r="A485" s="10" t="s">
        <v>3905</v>
      </c>
      <c r="B485" s="10" t="s">
        <v>292</v>
      </c>
      <c r="C485" s="152">
        <v>2022.0</v>
      </c>
      <c r="D485" s="187" t="s">
        <v>2834</v>
      </c>
      <c r="E485" s="187" t="s">
        <v>2816</v>
      </c>
      <c r="F485" s="173"/>
      <c r="G485" s="173">
        <v>43034.25</v>
      </c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22.5" customHeight="1">
      <c r="A486" s="10" t="s">
        <v>3907</v>
      </c>
      <c r="B486" s="10" t="s">
        <v>292</v>
      </c>
      <c r="C486" s="152">
        <v>2022.0</v>
      </c>
      <c r="D486" s="187" t="s">
        <v>2585</v>
      </c>
      <c r="E486" s="187" t="s">
        <v>2816</v>
      </c>
      <c r="F486" s="173"/>
      <c r="G486" s="173">
        <v>8494.28</v>
      </c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22.5" customHeight="1">
      <c r="A487" s="10" t="s">
        <v>3909</v>
      </c>
      <c r="B487" s="10" t="s">
        <v>292</v>
      </c>
      <c r="C487" s="152">
        <v>2022.0</v>
      </c>
      <c r="D487" s="187" t="s">
        <v>2594</v>
      </c>
      <c r="E487" s="187" t="s">
        <v>2816</v>
      </c>
      <c r="F487" s="173"/>
      <c r="G487" s="173">
        <v>-28196.99</v>
      </c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22.5" customHeight="1">
      <c r="A488" s="10" t="s">
        <v>3911</v>
      </c>
      <c r="B488" s="10" t="s">
        <v>317</v>
      </c>
      <c r="C488" s="152" t="s">
        <v>272</v>
      </c>
      <c r="D488" s="187" t="s">
        <v>272</v>
      </c>
      <c r="E488" s="187" t="s">
        <v>272</v>
      </c>
      <c r="F488" s="173">
        <v>0.0</v>
      </c>
      <c r="G488" s="173">
        <v>0.0</v>
      </c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60"/>
      <c r="B489" s="60"/>
      <c r="C489" s="60"/>
      <c r="D489" s="60"/>
      <c r="E489" s="60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60"/>
      <c r="B490" s="60"/>
      <c r="C490" s="60"/>
      <c r="D490" s="60"/>
      <c r="E490" s="60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60"/>
      <c r="B491" s="60"/>
      <c r="C491" s="60"/>
      <c r="D491" s="60"/>
      <c r="E491" s="60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60"/>
      <c r="B492" s="60"/>
      <c r="C492" s="60"/>
      <c r="D492" s="60"/>
      <c r="E492" s="60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60"/>
      <c r="B493" s="60"/>
      <c r="C493" s="60"/>
      <c r="D493" s="60"/>
      <c r="E493" s="60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60"/>
      <c r="B494" s="60"/>
      <c r="C494" s="60"/>
      <c r="D494" s="60"/>
      <c r="E494" s="60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60"/>
      <c r="B495" s="60"/>
      <c r="C495" s="60"/>
      <c r="D495" s="60"/>
      <c r="E495" s="60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60"/>
      <c r="B496" s="60"/>
      <c r="C496" s="60"/>
      <c r="D496" s="60"/>
      <c r="E496" s="60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60"/>
      <c r="B497" s="60"/>
      <c r="C497" s="60"/>
      <c r="D497" s="60"/>
      <c r="E497" s="60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60"/>
      <c r="B498" s="60"/>
      <c r="C498" s="60"/>
      <c r="D498" s="60"/>
      <c r="E498" s="60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60"/>
      <c r="B499" s="60"/>
      <c r="C499" s="60"/>
      <c r="D499" s="60"/>
      <c r="E499" s="60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60"/>
      <c r="B500" s="60"/>
      <c r="C500" s="60"/>
      <c r="D500" s="60"/>
      <c r="E500" s="60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60"/>
      <c r="B501" s="60"/>
      <c r="C501" s="60"/>
      <c r="D501" s="60"/>
      <c r="E501" s="60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60"/>
      <c r="B502" s="60"/>
      <c r="C502" s="60"/>
      <c r="D502" s="60"/>
      <c r="E502" s="60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60"/>
      <c r="B503" s="60"/>
      <c r="C503" s="60"/>
      <c r="D503" s="60"/>
      <c r="E503" s="60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60"/>
      <c r="B504" s="60"/>
      <c r="C504" s="60"/>
      <c r="D504" s="60"/>
      <c r="E504" s="60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60"/>
      <c r="B505" s="60"/>
      <c r="C505" s="60"/>
      <c r="D505" s="60"/>
      <c r="E505" s="60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60"/>
      <c r="B506" s="60"/>
      <c r="C506" s="60"/>
      <c r="D506" s="60"/>
      <c r="E506" s="60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60"/>
      <c r="B507" s="60"/>
      <c r="C507" s="60"/>
      <c r="D507" s="60"/>
      <c r="E507" s="60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60"/>
      <c r="B508" s="60"/>
      <c r="C508" s="60"/>
      <c r="D508" s="60"/>
      <c r="E508" s="60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60"/>
      <c r="B509" s="60"/>
      <c r="C509" s="60"/>
      <c r="D509" s="60"/>
      <c r="E509" s="60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60"/>
      <c r="B510" s="60"/>
      <c r="C510" s="60"/>
      <c r="D510" s="60"/>
      <c r="E510" s="60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60"/>
      <c r="B511" s="60"/>
      <c r="C511" s="60"/>
      <c r="D511" s="60"/>
      <c r="E511" s="60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60"/>
      <c r="B512" s="60"/>
      <c r="C512" s="60"/>
      <c r="D512" s="60"/>
      <c r="E512" s="60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60"/>
      <c r="B513" s="60"/>
      <c r="C513" s="60"/>
      <c r="D513" s="60"/>
      <c r="E513" s="60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60"/>
      <c r="B514" s="60"/>
      <c r="C514" s="60"/>
      <c r="D514" s="60"/>
      <c r="E514" s="60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60"/>
      <c r="B515" s="60"/>
      <c r="C515" s="60"/>
      <c r="D515" s="60"/>
      <c r="E515" s="60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60"/>
      <c r="B516" s="60"/>
      <c r="C516" s="60"/>
      <c r="D516" s="60"/>
      <c r="E516" s="60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60"/>
      <c r="B517" s="60"/>
      <c r="C517" s="60"/>
      <c r="D517" s="60"/>
      <c r="E517" s="60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60"/>
      <c r="B518" s="60"/>
      <c r="C518" s="60"/>
      <c r="D518" s="60"/>
      <c r="E518" s="60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60"/>
      <c r="B519" s="60"/>
      <c r="C519" s="60"/>
      <c r="D519" s="60"/>
      <c r="E519" s="60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60"/>
      <c r="B520" s="60"/>
      <c r="C520" s="60"/>
      <c r="D520" s="60"/>
      <c r="E520" s="60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60"/>
      <c r="B521" s="60"/>
      <c r="C521" s="60"/>
      <c r="D521" s="60"/>
      <c r="E521" s="60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60"/>
      <c r="B522" s="60"/>
      <c r="C522" s="60"/>
      <c r="D522" s="60"/>
      <c r="E522" s="60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60"/>
      <c r="B523" s="60"/>
      <c r="C523" s="60"/>
      <c r="D523" s="60"/>
      <c r="E523" s="60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60"/>
      <c r="B524" s="60"/>
      <c r="C524" s="60"/>
      <c r="D524" s="60"/>
      <c r="E524" s="60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60"/>
      <c r="B525" s="60"/>
      <c r="C525" s="60"/>
      <c r="D525" s="60"/>
      <c r="E525" s="60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60"/>
      <c r="B526" s="60"/>
      <c r="C526" s="60"/>
      <c r="D526" s="60"/>
      <c r="E526" s="60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60"/>
      <c r="B527" s="60"/>
      <c r="C527" s="60"/>
      <c r="D527" s="60"/>
      <c r="E527" s="60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60"/>
      <c r="B528" s="60"/>
      <c r="C528" s="60"/>
      <c r="D528" s="60"/>
      <c r="E528" s="60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60"/>
      <c r="B529" s="60"/>
      <c r="C529" s="60"/>
      <c r="D529" s="60"/>
      <c r="E529" s="60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60"/>
      <c r="B530" s="60"/>
      <c r="C530" s="60"/>
      <c r="D530" s="60"/>
      <c r="E530" s="60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60"/>
      <c r="B531" s="60"/>
      <c r="C531" s="60"/>
      <c r="D531" s="60"/>
      <c r="E531" s="60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60"/>
      <c r="B532" s="60"/>
      <c r="C532" s="60"/>
      <c r="D532" s="60"/>
      <c r="E532" s="60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60"/>
      <c r="B533" s="60"/>
      <c r="C533" s="60"/>
      <c r="D533" s="60"/>
      <c r="E533" s="60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60"/>
      <c r="B534" s="60"/>
      <c r="C534" s="60"/>
      <c r="D534" s="60"/>
      <c r="E534" s="60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60"/>
      <c r="B535" s="60"/>
      <c r="C535" s="60"/>
      <c r="D535" s="60"/>
      <c r="E535" s="60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60"/>
      <c r="B536" s="60"/>
      <c r="C536" s="60"/>
      <c r="D536" s="60"/>
      <c r="E536" s="60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60"/>
      <c r="B537" s="60"/>
      <c r="C537" s="60"/>
      <c r="D537" s="60"/>
      <c r="E537" s="60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60"/>
      <c r="B538" s="60"/>
      <c r="C538" s="60"/>
      <c r="D538" s="60"/>
      <c r="E538" s="60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60"/>
      <c r="B539" s="60"/>
      <c r="C539" s="60"/>
      <c r="D539" s="60"/>
      <c r="E539" s="60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60"/>
      <c r="B540" s="60"/>
      <c r="C540" s="60"/>
      <c r="D540" s="60"/>
      <c r="E540" s="60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60"/>
      <c r="B541" s="60"/>
      <c r="C541" s="60"/>
      <c r="D541" s="60"/>
      <c r="E541" s="60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60"/>
      <c r="B542" s="60"/>
      <c r="C542" s="60"/>
      <c r="D542" s="60"/>
      <c r="E542" s="60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60"/>
      <c r="B543" s="60"/>
      <c r="C543" s="60"/>
      <c r="D543" s="60"/>
      <c r="E543" s="60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60"/>
      <c r="B544" s="60"/>
      <c r="C544" s="60"/>
      <c r="D544" s="60"/>
      <c r="E544" s="60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60"/>
      <c r="B545" s="60"/>
      <c r="C545" s="60"/>
      <c r="D545" s="60"/>
      <c r="E545" s="60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60"/>
      <c r="B546" s="60"/>
      <c r="C546" s="60"/>
      <c r="D546" s="60"/>
      <c r="E546" s="60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60"/>
      <c r="B547" s="60"/>
      <c r="C547" s="60"/>
      <c r="D547" s="60"/>
      <c r="E547" s="60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60"/>
      <c r="B548" s="60"/>
      <c r="C548" s="60"/>
      <c r="D548" s="60"/>
      <c r="E548" s="60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60"/>
      <c r="B549" s="60"/>
      <c r="C549" s="60"/>
      <c r="D549" s="60"/>
      <c r="E549" s="60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60"/>
      <c r="B550" s="60"/>
      <c r="C550" s="60"/>
      <c r="D550" s="60"/>
      <c r="E550" s="60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60"/>
      <c r="B551" s="60"/>
      <c r="C551" s="60"/>
      <c r="D551" s="60"/>
      <c r="E551" s="60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60"/>
      <c r="B552" s="60"/>
      <c r="C552" s="60"/>
      <c r="D552" s="60"/>
      <c r="E552" s="60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60"/>
      <c r="B553" s="60"/>
      <c r="C553" s="60"/>
      <c r="D553" s="60"/>
      <c r="E553" s="60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60"/>
      <c r="B554" s="60"/>
      <c r="C554" s="60"/>
      <c r="D554" s="60"/>
      <c r="E554" s="60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60"/>
      <c r="B555" s="60"/>
      <c r="C555" s="60"/>
      <c r="D555" s="60"/>
      <c r="E555" s="60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60"/>
      <c r="B556" s="60"/>
      <c r="C556" s="60"/>
      <c r="D556" s="60"/>
      <c r="E556" s="60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60"/>
      <c r="B557" s="60"/>
      <c r="C557" s="60"/>
      <c r="D557" s="60"/>
      <c r="E557" s="60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60"/>
      <c r="B558" s="60"/>
      <c r="C558" s="60"/>
      <c r="D558" s="60"/>
      <c r="E558" s="60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60"/>
      <c r="B559" s="60"/>
      <c r="C559" s="60"/>
      <c r="D559" s="60"/>
      <c r="E559" s="60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60"/>
      <c r="B560" s="60"/>
      <c r="C560" s="60"/>
      <c r="D560" s="60"/>
      <c r="E560" s="60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60"/>
      <c r="B561" s="60"/>
      <c r="C561" s="60"/>
      <c r="D561" s="60"/>
      <c r="E561" s="60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60"/>
      <c r="B562" s="60"/>
      <c r="C562" s="60"/>
      <c r="D562" s="60"/>
      <c r="E562" s="60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60"/>
      <c r="B563" s="60"/>
      <c r="C563" s="60"/>
      <c r="D563" s="60"/>
      <c r="E563" s="60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60"/>
      <c r="B564" s="60"/>
      <c r="C564" s="60"/>
      <c r="D564" s="60"/>
      <c r="E564" s="60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60"/>
      <c r="B565" s="60"/>
      <c r="C565" s="60"/>
      <c r="D565" s="60"/>
      <c r="E565" s="60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60"/>
      <c r="B566" s="60"/>
      <c r="C566" s="60"/>
      <c r="D566" s="60"/>
      <c r="E566" s="60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60"/>
      <c r="B567" s="60"/>
      <c r="C567" s="60"/>
      <c r="D567" s="60"/>
      <c r="E567" s="60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60"/>
      <c r="B568" s="60"/>
      <c r="C568" s="60"/>
      <c r="D568" s="60"/>
      <c r="E568" s="60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60"/>
      <c r="B569" s="60"/>
      <c r="C569" s="60"/>
      <c r="D569" s="60"/>
      <c r="E569" s="60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60"/>
      <c r="B570" s="60"/>
      <c r="C570" s="60"/>
      <c r="D570" s="60"/>
      <c r="E570" s="60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60"/>
      <c r="B571" s="60"/>
      <c r="C571" s="60"/>
      <c r="D571" s="60"/>
      <c r="E571" s="60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60"/>
      <c r="B572" s="60"/>
      <c r="C572" s="60"/>
      <c r="D572" s="60"/>
      <c r="E572" s="60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60"/>
      <c r="B573" s="60"/>
      <c r="C573" s="60"/>
      <c r="D573" s="60"/>
      <c r="E573" s="60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60"/>
      <c r="B574" s="60"/>
      <c r="C574" s="60"/>
      <c r="D574" s="60"/>
      <c r="E574" s="60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60"/>
      <c r="B575" s="60"/>
      <c r="C575" s="60"/>
      <c r="D575" s="60"/>
      <c r="E575" s="60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60"/>
      <c r="B576" s="60"/>
      <c r="C576" s="60"/>
      <c r="D576" s="60"/>
      <c r="E576" s="60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60"/>
      <c r="B577" s="60"/>
      <c r="C577" s="60"/>
      <c r="D577" s="60"/>
      <c r="E577" s="60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60"/>
      <c r="B578" s="60"/>
      <c r="C578" s="60"/>
      <c r="D578" s="60"/>
      <c r="E578" s="60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60"/>
      <c r="B579" s="60"/>
      <c r="C579" s="60"/>
      <c r="D579" s="60"/>
      <c r="E579" s="60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60"/>
      <c r="B580" s="60"/>
      <c r="C580" s="60"/>
      <c r="D580" s="60"/>
      <c r="E580" s="60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60"/>
      <c r="B581" s="60"/>
      <c r="C581" s="60"/>
      <c r="D581" s="60"/>
      <c r="E581" s="60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60"/>
      <c r="B582" s="60"/>
      <c r="C582" s="60"/>
      <c r="D582" s="60"/>
      <c r="E582" s="60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60"/>
      <c r="B583" s="60"/>
      <c r="C583" s="60"/>
      <c r="D583" s="60"/>
      <c r="E583" s="60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60"/>
      <c r="B584" s="60"/>
      <c r="C584" s="60"/>
      <c r="D584" s="60"/>
      <c r="E584" s="60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60"/>
      <c r="B585" s="60"/>
      <c r="C585" s="60"/>
      <c r="D585" s="60"/>
      <c r="E585" s="60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60"/>
      <c r="B586" s="60"/>
      <c r="C586" s="60"/>
      <c r="D586" s="60"/>
      <c r="E586" s="60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60"/>
      <c r="B587" s="60"/>
      <c r="C587" s="60"/>
      <c r="D587" s="60"/>
      <c r="E587" s="60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60"/>
      <c r="B588" s="60"/>
      <c r="C588" s="60"/>
      <c r="D588" s="60"/>
      <c r="E588" s="60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60"/>
      <c r="B589" s="60"/>
      <c r="C589" s="60"/>
      <c r="D589" s="60"/>
      <c r="E589" s="60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60"/>
      <c r="B590" s="60"/>
      <c r="C590" s="60"/>
      <c r="D590" s="60"/>
      <c r="E590" s="60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60"/>
      <c r="B591" s="60"/>
      <c r="C591" s="60"/>
      <c r="D591" s="60"/>
      <c r="E591" s="60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60"/>
      <c r="B592" s="60"/>
      <c r="C592" s="60"/>
      <c r="D592" s="60"/>
      <c r="E592" s="60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60"/>
      <c r="B593" s="60"/>
      <c r="C593" s="60"/>
      <c r="D593" s="60"/>
      <c r="E593" s="60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60"/>
      <c r="B594" s="60"/>
      <c r="C594" s="60"/>
      <c r="D594" s="60"/>
      <c r="E594" s="60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60"/>
      <c r="B595" s="60"/>
      <c r="C595" s="60"/>
      <c r="D595" s="60"/>
      <c r="E595" s="60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60"/>
      <c r="B596" s="60"/>
      <c r="C596" s="60"/>
      <c r="D596" s="60"/>
      <c r="E596" s="60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60"/>
      <c r="B597" s="60"/>
      <c r="C597" s="60"/>
      <c r="D597" s="60"/>
      <c r="E597" s="60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60"/>
      <c r="B598" s="60"/>
      <c r="C598" s="60"/>
      <c r="D598" s="60"/>
      <c r="E598" s="60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60"/>
      <c r="B599" s="60"/>
      <c r="C599" s="60"/>
      <c r="D599" s="60"/>
      <c r="E599" s="60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60"/>
      <c r="B600" s="60"/>
      <c r="C600" s="60"/>
      <c r="D600" s="60"/>
      <c r="E600" s="60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60"/>
      <c r="B601" s="60"/>
      <c r="C601" s="60"/>
      <c r="D601" s="60"/>
      <c r="E601" s="60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60"/>
      <c r="B602" s="60"/>
      <c r="C602" s="60"/>
      <c r="D602" s="60"/>
      <c r="E602" s="60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60"/>
      <c r="B603" s="60"/>
      <c r="C603" s="60"/>
      <c r="D603" s="60"/>
      <c r="E603" s="60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60"/>
      <c r="B604" s="60"/>
      <c r="C604" s="60"/>
      <c r="D604" s="60"/>
      <c r="E604" s="60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60"/>
      <c r="B605" s="60"/>
      <c r="C605" s="60"/>
      <c r="D605" s="60"/>
      <c r="E605" s="60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60"/>
      <c r="B606" s="60"/>
      <c r="C606" s="60"/>
      <c r="D606" s="60"/>
      <c r="E606" s="60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60"/>
      <c r="B607" s="60"/>
      <c r="C607" s="60"/>
      <c r="D607" s="60"/>
      <c r="E607" s="60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60"/>
      <c r="B608" s="60"/>
      <c r="C608" s="60"/>
      <c r="D608" s="60"/>
      <c r="E608" s="60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60"/>
      <c r="B609" s="60"/>
      <c r="C609" s="60"/>
      <c r="D609" s="60"/>
      <c r="E609" s="60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60"/>
      <c r="B610" s="60"/>
      <c r="C610" s="60"/>
      <c r="D610" s="60"/>
      <c r="E610" s="60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60"/>
      <c r="B611" s="60"/>
      <c r="C611" s="60"/>
      <c r="D611" s="60"/>
      <c r="E611" s="60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60"/>
      <c r="B612" s="60"/>
      <c r="C612" s="60"/>
      <c r="D612" s="60"/>
      <c r="E612" s="60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60"/>
      <c r="B613" s="60"/>
      <c r="C613" s="60"/>
      <c r="D613" s="60"/>
      <c r="E613" s="60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60"/>
      <c r="B614" s="60"/>
      <c r="C614" s="60"/>
      <c r="D614" s="60"/>
      <c r="E614" s="60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60"/>
      <c r="B615" s="60"/>
      <c r="C615" s="60"/>
      <c r="D615" s="60"/>
      <c r="E615" s="60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60"/>
      <c r="B616" s="60"/>
      <c r="C616" s="60"/>
      <c r="D616" s="60"/>
      <c r="E616" s="60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60"/>
      <c r="B617" s="60"/>
      <c r="C617" s="60"/>
      <c r="D617" s="60"/>
      <c r="E617" s="60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60"/>
      <c r="B618" s="60"/>
      <c r="C618" s="60"/>
      <c r="D618" s="60"/>
      <c r="E618" s="60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60"/>
      <c r="B619" s="60"/>
      <c r="C619" s="60"/>
      <c r="D619" s="60"/>
      <c r="E619" s="60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60"/>
      <c r="B620" s="60"/>
      <c r="C620" s="60"/>
      <c r="D620" s="60"/>
      <c r="E620" s="60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60"/>
      <c r="B621" s="60"/>
      <c r="C621" s="60"/>
      <c r="D621" s="60"/>
      <c r="E621" s="60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60"/>
      <c r="B622" s="60"/>
      <c r="C622" s="60"/>
      <c r="D622" s="60"/>
      <c r="E622" s="60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60"/>
      <c r="B623" s="60"/>
      <c r="C623" s="60"/>
      <c r="D623" s="60"/>
      <c r="E623" s="60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60"/>
      <c r="B624" s="60"/>
      <c r="C624" s="60"/>
      <c r="D624" s="60"/>
      <c r="E624" s="60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60"/>
      <c r="B625" s="60"/>
      <c r="C625" s="60"/>
      <c r="D625" s="60"/>
      <c r="E625" s="60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60"/>
      <c r="B626" s="60"/>
      <c r="C626" s="60"/>
      <c r="D626" s="60"/>
      <c r="E626" s="60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60"/>
      <c r="B627" s="60"/>
      <c r="C627" s="60"/>
      <c r="D627" s="60"/>
      <c r="E627" s="60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60"/>
      <c r="B628" s="60"/>
      <c r="C628" s="60"/>
      <c r="D628" s="60"/>
      <c r="E628" s="60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60"/>
      <c r="B629" s="60"/>
      <c r="C629" s="60"/>
      <c r="D629" s="60"/>
      <c r="E629" s="60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60"/>
      <c r="B630" s="60"/>
      <c r="C630" s="60"/>
      <c r="D630" s="60"/>
      <c r="E630" s="60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60"/>
      <c r="B631" s="60"/>
      <c r="C631" s="60"/>
      <c r="D631" s="60"/>
      <c r="E631" s="60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60"/>
      <c r="B632" s="60"/>
      <c r="C632" s="60"/>
      <c r="D632" s="60"/>
      <c r="E632" s="60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60"/>
      <c r="B633" s="60"/>
      <c r="C633" s="60"/>
      <c r="D633" s="60"/>
      <c r="E633" s="60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60"/>
      <c r="B634" s="60"/>
      <c r="C634" s="60"/>
      <c r="D634" s="60"/>
      <c r="E634" s="60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60"/>
      <c r="B635" s="60"/>
      <c r="C635" s="60"/>
      <c r="D635" s="60"/>
      <c r="E635" s="60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60"/>
      <c r="B636" s="60"/>
      <c r="C636" s="60"/>
      <c r="D636" s="60"/>
      <c r="E636" s="60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60"/>
      <c r="B637" s="60"/>
      <c r="C637" s="60"/>
      <c r="D637" s="60"/>
      <c r="E637" s="60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60"/>
      <c r="B638" s="60"/>
      <c r="C638" s="60"/>
      <c r="D638" s="60"/>
      <c r="E638" s="60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60"/>
      <c r="B639" s="60"/>
      <c r="C639" s="60"/>
      <c r="D639" s="60"/>
      <c r="E639" s="60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60"/>
      <c r="B640" s="60"/>
      <c r="C640" s="60"/>
      <c r="D640" s="60"/>
      <c r="E640" s="60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60"/>
      <c r="B641" s="60"/>
      <c r="C641" s="60"/>
      <c r="D641" s="60"/>
      <c r="E641" s="60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60"/>
      <c r="B642" s="60"/>
      <c r="C642" s="60"/>
      <c r="D642" s="60"/>
      <c r="E642" s="60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60"/>
      <c r="B643" s="60"/>
      <c r="C643" s="60"/>
      <c r="D643" s="60"/>
      <c r="E643" s="60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60"/>
      <c r="B644" s="60"/>
      <c r="C644" s="60"/>
      <c r="D644" s="60"/>
      <c r="E644" s="60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60"/>
      <c r="B645" s="60"/>
      <c r="C645" s="60"/>
      <c r="D645" s="60"/>
      <c r="E645" s="60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60"/>
      <c r="B646" s="60"/>
      <c r="C646" s="60"/>
      <c r="D646" s="60"/>
      <c r="E646" s="60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60"/>
      <c r="B647" s="60"/>
      <c r="C647" s="60"/>
      <c r="D647" s="60"/>
      <c r="E647" s="60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60"/>
      <c r="B648" s="60"/>
      <c r="C648" s="60"/>
      <c r="D648" s="60"/>
      <c r="E648" s="60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60"/>
      <c r="B649" s="60"/>
      <c r="C649" s="60"/>
      <c r="D649" s="60"/>
      <c r="E649" s="60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60"/>
      <c r="B650" s="60"/>
      <c r="C650" s="60"/>
      <c r="D650" s="60"/>
      <c r="E650" s="60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60"/>
      <c r="B651" s="60"/>
      <c r="C651" s="60"/>
      <c r="D651" s="60"/>
      <c r="E651" s="60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60"/>
      <c r="B652" s="60"/>
      <c r="C652" s="60"/>
      <c r="D652" s="60"/>
      <c r="E652" s="60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60"/>
      <c r="B653" s="60"/>
      <c r="C653" s="60"/>
      <c r="D653" s="60"/>
      <c r="E653" s="60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60"/>
      <c r="B654" s="60"/>
      <c r="C654" s="60"/>
      <c r="D654" s="60"/>
      <c r="E654" s="60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60"/>
      <c r="B655" s="60"/>
      <c r="C655" s="60"/>
      <c r="D655" s="60"/>
      <c r="E655" s="60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60"/>
      <c r="B656" s="60"/>
      <c r="C656" s="60"/>
      <c r="D656" s="60"/>
      <c r="E656" s="60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60"/>
      <c r="B657" s="60"/>
      <c r="C657" s="60"/>
      <c r="D657" s="60"/>
      <c r="E657" s="60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60"/>
      <c r="B658" s="60"/>
      <c r="C658" s="60"/>
      <c r="D658" s="60"/>
      <c r="E658" s="60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60"/>
      <c r="B659" s="60"/>
      <c r="C659" s="60"/>
      <c r="D659" s="60"/>
      <c r="E659" s="60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60"/>
      <c r="B660" s="60"/>
      <c r="C660" s="60"/>
      <c r="D660" s="60"/>
      <c r="E660" s="60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60"/>
      <c r="B661" s="60"/>
      <c r="C661" s="60"/>
      <c r="D661" s="60"/>
      <c r="E661" s="60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60"/>
      <c r="B662" s="60"/>
      <c r="C662" s="60"/>
      <c r="D662" s="60"/>
      <c r="E662" s="60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60"/>
      <c r="B663" s="60"/>
      <c r="C663" s="60"/>
      <c r="D663" s="60"/>
      <c r="E663" s="60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60"/>
      <c r="B664" s="60"/>
      <c r="C664" s="60"/>
      <c r="D664" s="60"/>
      <c r="E664" s="60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60"/>
      <c r="B665" s="60"/>
      <c r="C665" s="60"/>
      <c r="D665" s="60"/>
      <c r="E665" s="60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60"/>
      <c r="B666" s="60"/>
      <c r="C666" s="60"/>
      <c r="D666" s="60"/>
      <c r="E666" s="60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60"/>
      <c r="B667" s="60"/>
      <c r="C667" s="60"/>
      <c r="D667" s="60"/>
      <c r="E667" s="60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60"/>
      <c r="B668" s="60"/>
      <c r="C668" s="60"/>
      <c r="D668" s="60"/>
      <c r="E668" s="60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60"/>
      <c r="B669" s="60"/>
      <c r="C669" s="60"/>
      <c r="D669" s="60"/>
      <c r="E669" s="60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60"/>
      <c r="B670" s="60"/>
      <c r="C670" s="60"/>
      <c r="D670" s="60"/>
      <c r="E670" s="60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60"/>
      <c r="B671" s="60"/>
      <c r="C671" s="60"/>
      <c r="D671" s="60"/>
      <c r="E671" s="60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60"/>
      <c r="B672" s="60"/>
      <c r="C672" s="60"/>
      <c r="D672" s="60"/>
      <c r="E672" s="60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60"/>
      <c r="B673" s="60"/>
      <c r="C673" s="60"/>
      <c r="D673" s="60"/>
      <c r="E673" s="60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60"/>
      <c r="B674" s="60"/>
      <c r="C674" s="60"/>
      <c r="D674" s="60"/>
      <c r="E674" s="60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60"/>
      <c r="B675" s="60"/>
      <c r="C675" s="60"/>
      <c r="D675" s="60"/>
      <c r="E675" s="60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60"/>
      <c r="B676" s="60"/>
      <c r="C676" s="60"/>
      <c r="D676" s="60"/>
      <c r="E676" s="60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60"/>
      <c r="B677" s="60"/>
      <c r="C677" s="60"/>
      <c r="D677" s="60"/>
      <c r="E677" s="60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60"/>
      <c r="B678" s="60"/>
      <c r="C678" s="60"/>
      <c r="D678" s="60"/>
      <c r="E678" s="60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60"/>
      <c r="B679" s="60"/>
      <c r="C679" s="60"/>
      <c r="D679" s="60"/>
      <c r="E679" s="60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60"/>
      <c r="B680" s="60"/>
      <c r="C680" s="60"/>
      <c r="D680" s="60"/>
      <c r="E680" s="60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60"/>
      <c r="B681" s="60"/>
      <c r="C681" s="60"/>
      <c r="D681" s="60"/>
      <c r="E681" s="60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60"/>
      <c r="B682" s="60"/>
      <c r="C682" s="60"/>
      <c r="D682" s="60"/>
      <c r="E682" s="60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60"/>
      <c r="B683" s="60"/>
      <c r="C683" s="60"/>
      <c r="D683" s="60"/>
      <c r="E683" s="60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60"/>
      <c r="B684" s="60"/>
      <c r="C684" s="60"/>
      <c r="D684" s="60"/>
      <c r="E684" s="60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60"/>
      <c r="B685" s="60"/>
      <c r="C685" s="60"/>
      <c r="D685" s="60"/>
      <c r="E685" s="60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60"/>
      <c r="B686" s="60"/>
      <c r="C686" s="60"/>
      <c r="D686" s="60"/>
      <c r="E686" s="60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60"/>
      <c r="B687" s="60"/>
      <c r="C687" s="60"/>
      <c r="D687" s="60"/>
      <c r="E687" s="60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60"/>
      <c r="B688" s="60"/>
      <c r="C688" s="60"/>
      <c r="D688" s="60"/>
      <c r="E688" s="60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60"/>
      <c r="B689" s="60"/>
      <c r="C689" s="60"/>
      <c r="D689" s="60"/>
      <c r="E689" s="60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60"/>
      <c r="B690" s="60"/>
      <c r="C690" s="60"/>
      <c r="D690" s="60"/>
      <c r="E690" s="60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60"/>
      <c r="B691" s="60"/>
      <c r="C691" s="60"/>
      <c r="D691" s="60"/>
      <c r="E691" s="60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60"/>
      <c r="B692" s="60"/>
      <c r="C692" s="60"/>
      <c r="D692" s="60"/>
      <c r="E692" s="60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60"/>
      <c r="B693" s="60"/>
      <c r="C693" s="60"/>
      <c r="D693" s="60"/>
      <c r="E693" s="60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60"/>
      <c r="B694" s="60"/>
      <c r="C694" s="60"/>
      <c r="D694" s="60"/>
      <c r="E694" s="60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60"/>
      <c r="B695" s="60"/>
      <c r="C695" s="60"/>
      <c r="D695" s="60"/>
      <c r="E695" s="60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60"/>
      <c r="B696" s="60"/>
      <c r="C696" s="60"/>
      <c r="D696" s="60"/>
      <c r="E696" s="60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60"/>
      <c r="B697" s="60"/>
      <c r="C697" s="60"/>
      <c r="D697" s="60"/>
      <c r="E697" s="60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60"/>
      <c r="B698" s="60"/>
      <c r="C698" s="60"/>
      <c r="D698" s="60"/>
      <c r="E698" s="60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60"/>
      <c r="B699" s="60"/>
      <c r="C699" s="60"/>
      <c r="D699" s="60"/>
      <c r="E699" s="60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60"/>
      <c r="B700" s="60"/>
      <c r="C700" s="60"/>
      <c r="D700" s="60"/>
      <c r="E700" s="60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60"/>
      <c r="B701" s="60"/>
      <c r="C701" s="60"/>
      <c r="D701" s="60"/>
      <c r="E701" s="60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60"/>
      <c r="B702" s="60"/>
      <c r="C702" s="60"/>
      <c r="D702" s="60"/>
      <c r="E702" s="60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60"/>
      <c r="B703" s="60"/>
      <c r="C703" s="60"/>
      <c r="D703" s="60"/>
      <c r="E703" s="60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60"/>
      <c r="B704" s="60"/>
      <c r="C704" s="60"/>
      <c r="D704" s="60"/>
      <c r="E704" s="60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60"/>
      <c r="B705" s="60"/>
      <c r="C705" s="60"/>
      <c r="D705" s="60"/>
      <c r="E705" s="60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60"/>
      <c r="B706" s="60"/>
      <c r="C706" s="60"/>
      <c r="D706" s="60"/>
      <c r="E706" s="60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60"/>
      <c r="B707" s="60"/>
      <c r="C707" s="60"/>
      <c r="D707" s="60"/>
      <c r="E707" s="60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60"/>
      <c r="B708" s="60"/>
      <c r="C708" s="60"/>
      <c r="D708" s="60"/>
      <c r="E708" s="60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60"/>
      <c r="B709" s="60"/>
      <c r="C709" s="60"/>
      <c r="D709" s="60"/>
      <c r="E709" s="60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60"/>
      <c r="B710" s="60"/>
      <c r="C710" s="60"/>
      <c r="D710" s="60"/>
      <c r="E710" s="60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60"/>
      <c r="B711" s="60"/>
      <c r="C711" s="60"/>
      <c r="D711" s="60"/>
      <c r="E711" s="60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60"/>
      <c r="B712" s="60"/>
      <c r="C712" s="60"/>
      <c r="D712" s="60"/>
      <c r="E712" s="60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60"/>
      <c r="B713" s="60"/>
      <c r="C713" s="60"/>
      <c r="D713" s="60"/>
      <c r="E713" s="60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60"/>
      <c r="B714" s="60"/>
      <c r="C714" s="60"/>
      <c r="D714" s="60"/>
      <c r="E714" s="60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60"/>
      <c r="B715" s="60"/>
      <c r="C715" s="60"/>
      <c r="D715" s="60"/>
      <c r="E715" s="60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60"/>
      <c r="B716" s="60"/>
      <c r="C716" s="60"/>
      <c r="D716" s="60"/>
      <c r="E716" s="60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60"/>
      <c r="B717" s="60"/>
      <c r="C717" s="60"/>
      <c r="D717" s="60"/>
      <c r="E717" s="60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60"/>
      <c r="B718" s="60"/>
      <c r="C718" s="60"/>
      <c r="D718" s="60"/>
      <c r="E718" s="60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60"/>
      <c r="B719" s="60"/>
      <c r="C719" s="60"/>
      <c r="D719" s="60"/>
      <c r="E719" s="60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60"/>
      <c r="B720" s="60"/>
      <c r="C720" s="60"/>
      <c r="D720" s="60"/>
      <c r="E720" s="60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60"/>
      <c r="B721" s="60"/>
      <c r="C721" s="60"/>
      <c r="D721" s="60"/>
      <c r="E721" s="60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60"/>
      <c r="B722" s="60"/>
      <c r="C722" s="60"/>
      <c r="D722" s="60"/>
      <c r="E722" s="60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60"/>
      <c r="B723" s="60"/>
      <c r="C723" s="60"/>
      <c r="D723" s="60"/>
      <c r="E723" s="60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60"/>
      <c r="B724" s="60"/>
      <c r="C724" s="60"/>
      <c r="D724" s="60"/>
      <c r="E724" s="60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60"/>
      <c r="B725" s="60"/>
      <c r="C725" s="60"/>
      <c r="D725" s="60"/>
      <c r="E725" s="60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60"/>
      <c r="B726" s="60"/>
      <c r="C726" s="60"/>
      <c r="D726" s="60"/>
      <c r="E726" s="60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60"/>
      <c r="B727" s="60"/>
      <c r="C727" s="60"/>
      <c r="D727" s="60"/>
      <c r="E727" s="60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60"/>
      <c r="B728" s="60"/>
      <c r="C728" s="60"/>
      <c r="D728" s="60"/>
      <c r="E728" s="60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60"/>
      <c r="B729" s="60"/>
      <c r="C729" s="60"/>
      <c r="D729" s="60"/>
      <c r="E729" s="60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60"/>
      <c r="B730" s="60"/>
      <c r="C730" s="60"/>
      <c r="D730" s="60"/>
      <c r="E730" s="60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60"/>
      <c r="B731" s="60"/>
      <c r="C731" s="60"/>
      <c r="D731" s="60"/>
      <c r="E731" s="60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60"/>
      <c r="B732" s="60"/>
      <c r="C732" s="60"/>
      <c r="D732" s="60"/>
      <c r="E732" s="60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60"/>
      <c r="B733" s="60"/>
      <c r="C733" s="60"/>
      <c r="D733" s="60"/>
      <c r="E733" s="60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60"/>
      <c r="B734" s="60"/>
      <c r="C734" s="60"/>
      <c r="D734" s="60"/>
      <c r="E734" s="60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60"/>
      <c r="B735" s="60"/>
      <c r="C735" s="60"/>
      <c r="D735" s="60"/>
      <c r="E735" s="60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60"/>
      <c r="B736" s="60"/>
      <c r="C736" s="60"/>
      <c r="D736" s="60"/>
      <c r="E736" s="60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60"/>
      <c r="B737" s="60"/>
      <c r="C737" s="60"/>
      <c r="D737" s="60"/>
      <c r="E737" s="60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60"/>
      <c r="B738" s="60"/>
      <c r="C738" s="60"/>
      <c r="D738" s="60"/>
      <c r="E738" s="60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60"/>
      <c r="B739" s="60"/>
      <c r="C739" s="60"/>
      <c r="D739" s="60"/>
      <c r="E739" s="60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60"/>
      <c r="B740" s="60"/>
      <c r="C740" s="60"/>
      <c r="D740" s="60"/>
      <c r="E740" s="60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60"/>
      <c r="B741" s="60"/>
      <c r="C741" s="60"/>
      <c r="D741" s="60"/>
      <c r="E741" s="60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60"/>
      <c r="B742" s="60"/>
      <c r="C742" s="60"/>
      <c r="D742" s="60"/>
      <c r="E742" s="60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60"/>
      <c r="B743" s="60"/>
      <c r="C743" s="60"/>
      <c r="D743" s="60"/>
      <c r="E743" s="60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60"/>
      <c r="B744" s="60"/>
      <c r="C744" s="60"/>
      <c r="D744" s="60"/>
      <c r="E744" s="60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60"/>
      <c r="B745" s="60"/>
      <c r="C745" s="60"/>
      <c r="D745" s="60"/>
      <c r="E745" s="60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60"/>
      <c r="B746" s="60"/>
      <c r="C746" s="60"/>
      <c r="D746" s="60"/>
      <c r="E746" s="60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60"/>
      <c r="B747" s="60"/>
      <c r="C747" s="60"/>
      <c r="D747" s="60"/>
      <c r="E747" s="60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60"/>
      <c r="B748" s="60"/>
      <c r="C748" s="60"/>
      <c r="D748" s="60"/>
      <c r="E748" s="60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60"/>
      <c r="B749" s="60"/>
      <c r="C749" s="60"/>
      <c r="D749" s="60"/>
      <c r="E749" s="60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60"/>
      <c r="B750" s="60"/>
      <c r="C750" s="60"/>
      <c r="D750" s="60"/>
      <c r="E750" s="60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60"/>
      <c r="B751" s="60"/>
      <c r="C751" s="60"/>
      <c r="D751" s="60"/>
      <c r="E751" s="60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60"/>
      <c r="B752" s="60"/>
      <c r="C752" s="60"/>
      <c r="D752" s="60"/>
      <c r="E752" s="60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60"/>
      <c r="B753" s="60"/>
      <c r="C753" s="60"/>
      <c r="D753" s="60"/>
      <c r="E753" s="60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60"/>
      <c r="B754" s="60"/>
      <c r="C754" s="60"/>
      <c r="D754" s="60"/>
      <c r="E754" s="60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60"/>
      <c r="B755" s="60"/>
      <c r="C755" s="60"/>
      <c r="D755" s="60"/>
      <c r="E755" s="60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60"/>
      <c r="B756" s="60"/>
      <c r="C756" s="60"/>
      <c r="D756" s="60"/>
      <c r="E756" s="60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60"/>
      <c r="B757" s="60"/>
      <c r="C757" s="60"/>
      <c r="D757" s="60"/>
      <c r="E757" s="60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60"/>
      <c r="B758" s="60"/>
      <c r="C758" s="60"/>
      <c r="D758" s="60"/>
      <c r="E758" s="60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60"/>
      <c r="B759" s="60"/>
      <c r="C759" s="60"/>
      <c r="D759" s="60"/>
      <c r="E759" s="60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60"/>
      <c r="B760" s="60"/>
      <c r="C760" s="60"/>
      <c r="D760" s="60"/>
      <c r="E760" s="60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60"/>
      <c r="B761" s="60"/>
      <c r="C761" s="60"/>
      <c r="D761" s="60"/>
      <c r="E761" s="60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60"/>
      <c r="B762" s="60"/>
      <c r="C762" s="60"/>
      <c r="D762" s="60"/>
      <c r="E762" s="60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60"/>
      <c r="B763" s="60"/>
      <c r="C763" s="60"/>
      <c r="D763" s="60"/>
      <c r="E763" s="60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60"/>
      <c r="B764" s="60"/>
      <c r="C764" s="60"/>
      <c r="D764" s="60"/>
      <c r="E764" s="60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60"/>
      <c r="B765" s="60"/>
      <c r="C765" s="60"/>
      <c r="D765" s="60"/>
      <c r="E765" s="60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60"/>
      <c r="B766" s="60"/>
      <c r="C766" s="60"/>
      <c r="D766" s="60"/>
      <c r="E766" s="60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60"/>
      <c r="B767" s="60"/>
      <c r="C767" s="60"/>
      <c r="D767" s="60"/>
      <c r="E767" s="60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60"/>
      <c r="B768" s="60"/>
      <c r="C768" s="60"/>
      <c r="D768" s="60"/>
      <c r="E768" s="60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60"/>
      <c r="B769" s="60"/>
      <c r="C769" s="60"/>
      <c r="D769" s="60"/>
      <c r="E769" s="60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60"/>
      <c r="B770" s="60"/>
      <c r="C770" s="60"/>
      <c r="D770" s="60"/>
      <c r="E770" s="60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60"/>
      <c r="B771" s="60"/>
      <c r="C771" s="60"/>
      <c r="D771" s="60"/>
      <c r="E771" s="60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60"/>
      <c r="B772" s="60"/>
      <c r="C772" s="60"/>
      <c r="D772" s="60"/>
      <c r="E772" s="60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60"/>
      <c r="B773" s="60"/>
      <c r="C773" s="60"/>
      <c r="D773" s="60"/>
      <c r="E773" s="60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60"/>
      <c r="B774" s="60"/>
      <c r="C774" s="60"/>
      <c r="D774" s="60"/>
      <c r="E774" s="60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60"/>
      <c r="B775" s="60"/>
      <c r="C775" s="60"/>
      <c r="D775" s="60"/>
      <c r="E775" s="60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60"/>
      <c r="B776" s="60"/>
      <c r="C776" s="60"/>
      <c r="D776" s="60"/>
      <c r="E776" s="60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60"/>
      <c r="B777" s="60"/>
      <c r="C777" s="60"/>
      <c r="D777" s="60"/>
      <c r="E777" s="60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60"/>
      <c r="B778" s="60"/>
      <c r="C778" s="60"/>
      <c r="D778" s="60"/>
      <c r="E778" s="60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60"/>
      <c r="B779" s="60"/>
      <c r="C779" s="60"/>
      <c r="D779" s="60"/>
      <c r="E779" s="60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60"/>
      <c r="B780" s="60"/>
      <c r="C780" s="60"/>
      <c r="D780" s="60"/>
      <c r="E780" s="60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60"/>
      <c r="B781" s="60"/>
      <c r="C781" s="60"/>
      <c r="D781" s="60"/>
      <c r="E781" s="60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60"/>
      <c r="B782" s="60"/>
      <c r="C782" s="60"/>
      <c r="D782" s="60"/>
      <c r="E782" s="60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60"/>
      <c r="B783" s="60"/>
      <c r="C783" s="60"/>
      <c r="D783" s="60"/>
      <c r="E783" s="60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60"/>
      <c r="B784" s="60"/>
      <c r="C784" s="60"/>
      <c r="D784" s="60"/>
      <c r="E784" s="60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60"/>
      <c r="B785" s="60"/>
      <c r="C785" s="60"/>
      <c r="D785" s="60"/>
      <c r="E785" s="60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60"/>
      <c r="B786" s="60"/>
      <c r="C786" s="60"/>
      <c r="D786" s="60"/>
      <c r="E786" s="60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60"/>
      <c r="B787" s="60"/>
      <c r="C787" s="60"/>
      <c r="D787" s="60"/>
      <c r="E787" s="60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60"/>
      <c r="B788" s="60"/>
      <c r="C788" s="60"/>
      <c r="D788" s="60"/>
      <c r="E788" s="60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60"/>
      <c r="B789" s="60"/>
      <c r="C789" s="60"/>
      <c r="D789" s="60"/>
      <c r="E789" s="60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60"/>
      <c r="B790" s="60"/>
      <c r="C790" s="60"/>
      <c r="D790" s="60"/>
      <c r="E790" s="60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60"/>
      <c r="B791" s="60"/>
      <c r="C791" s="60"/>
      <c r="D791" s="60"/>
      <c r="E791" s="60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60"/>
      <c r="B792" s="60"/>
      <c r="C792" s="60"/>
      <c r="D792" s="60"/>
      <c r="E792" s="60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60"/>
      <c r="B793" s="60"/>
      <c r="C793" s="60"/>
      <c r="D793" s="60"/>
      <c r="E793" s="60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60"/>
      <c r="B794" s="60"/>
      <c r="C794" s="60"/>
      <c r="D794" s="60"/>
      <c r="E794" s="60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60"/>
      <c r="B795" s="60"/>
      <c r="C795" s="60"/>
      <c r="D795" s="60"/>
      <c r="E795" s="60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60"/>
      <c r="B796" s="60"/>
      <c r="C796" s="60"/>
      <c r="D796" s="60"/>
      <c r="E796" s="60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60"/>
      <c r="B797" s="60"/>
      <c r="C797" s="60"/>
      <c r="D797" s="60"/>
      <c r="E797" s="60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60"/>
      <c r="B798" s="60"/>
      <c r="C798" s="60"/>
      <c r="D798" s="60"/>
      <c r="E798" s="60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60"/>
      <c r="B799" s="60"/>
      <c r="C799" s="60"/>
      <c r="D799" s="60"/>
      <c r="E799" s="60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60"/>
      <c r="B800" s="60"/>
      <c r="C800" s="60"/>
      <c r="D800" s="60"/>
      <c r="E800" s="60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60"/>
      <c r="B801" s="60"/>
      <c r="C801" s="60"/>
      <c r="D801" s="60"/>
      <c r="E801" s="60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60"/>
      <c r="B802" s="60"/>
      <c r="C802" s="60"/>
      <c r="D802" s="60"/>
      <c r="E802" s="60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60"/>
      <c r="B803" s="60"/>
      <c r="C803" s="60"/>
      <c r="D803" s="60"/>
      <c r="E803" s="60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60"/>
      <c r="B804" s="60"/>
      <c r="C804" s="60"/>
      <c r="D804" s="60"/>
      <c r="E804" s="60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60"/>
      <c r="B805" s="60"/>
      <c r="C805" s="60"/>
      <c r="D805" s="60"/>
      <c r="E805" s="60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60"/>
      <c r="B806" s="60"/>
      <c r="C806" s="60"/>
      <c r="D806" s="60"/>
      <c r="E806" s="60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60"/>
      <c r="B807" s="60"/>
      <c r="C807" s="60"/>
      <c r="D807" s="60"/>
      <c r="E807" s="60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60"/>
      <c r="B808" s="60"/>
      <c r="C808" s="60"/>
      <c r="D808" s="60"/>
      <c r="E808" s="60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60"/>
      <c r="B809" s="60"/>
      <c r="C809" s="60"/>
      <c r="D809" s="60"/>
      <c r="E809" s="60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60"/>
      <c r="B810" s="60"/>
      <c r="C810" s="60"/>
      <c r="D810" s="60"/>
      <c r="E810" s="60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60"/>
      <c r="B811" s="60"/>
      <c r="C811" s="60"/>
      <c r="D811" s="60"/>
      <c r="E811" s="60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60"/>
      <c r="B812" s="60"/>
      <c r="C812" s="60"/>
      <c r="D812" s="60"/>
      <c r="E812" s="60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60"/>
      <c r="B813" s="60"/>
      <c r="C813" s="60"/>
      <c r="D813" s="60"/>
      <c r="E813" s="60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60"/>
      <c r="B814" s="60"/>
      <c r="C814" s="60"/>
      <c r="D814" s="60"/>
      <c r="E814" s="60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60"/>
      <c r="B815" s="60"/>
      <c r="C815" s="60"/>
      <c r="D815" s="60"/>
      <c r="E815" s="60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60"/>
      <c r="B816" s="60"/>
      <c r="C816" s="60"/>
      <c r="D816" s="60"/>
      <c r="E816" s="60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60"/>
      <c r="B817" s="60"/>
      <c r="C817" s="60"/>
      <c r="D817" s="60"/>
      <c r="E817" s="60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60"/>
      <c r="B818" s="60"/>
      <c r="C818" s="60"/>
      <c r="D818" s="60"/>
      <c r="E818" s="60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60"/>
      <c r="B819" s="60"/>
      <c r="C819" s="60"/>
      <c r="D819" s="60"/>
      <c r="E819" s="60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60"/>
      <c r="B820" s="60"/>
      <c r="C820" s="60"/>
      <c r="D820" s="60"/>
      <c r="E820" s="60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60"/>
      <c r="B821" s="60"/>
      <c r="C821" s="60"/>
      <c r="D821" s="60"/>
      <c r="E821" s="60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60"/>
      <c r="B822" s="60"/>
      <c r="C822" s="60"/>
      <c r="D822" s="60"/>
      <c r="E822" s="60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60"/>
      <c r="B823" s="60"/>
      <c r="C823" s="60"/>
      <c r="D823" s="60"/>
      <c r="E823" s="60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60"/>
      <c r="B824" s="60"/>
      <c r="C824" s="60"/>
      <c r="D824" s="60"/>
      <c r="E824" s="60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60"/>
      <c r="B825" s="60"/>
      <c r="C825" s="60"/>
      <c r="D825" s="60"/>
      <c r="E825" s="60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60"/>
      <c r="B826" s="60"/>
      <c r="C826" s="60"/>
      <c r="D826" s="60"/>
      <c r="E826" s="60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60"/>
      <c r="B827" s="60"/>
      <c r="C827" s="60"/>
      <c r="D827" s="60"/>
      <c r="E827" s="60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60"/>
      <c r="B828" s="60"/>
      <c r="C828" s="60"/>
      <c r="D828" s="60"/>
      <c r="E828" s="60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60"/>
      <c r="B829" s="60"/>
      <c r="C829" s="60"/>
      <c r="D829" s="60"/>
      <c r="E829" s="60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60"/>
      <c r="B830" s="60"/>
      <c r="C830" s="60"/>
      <c r="D830" s="60"/>
      <c r="E830" s="60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60"/>
      <c r="B831" s="60"/>
      <c r="C831" s="60"/>
      <c r="D831" s="60"/>
      <c r="E831" s="60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60"/>
      <c r="B832" s="60"/>
      <c r="C832" s="60"/>
      <c r="D832" s="60"/>
      <c r="E832" s="60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60"/>
      <c r="B833" s="60"/>
      <c r="C833" s="60"/>
      <c r="D833" s="60"/>
      <c r="E833" s="60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60"/>
      <c r="B834" s="60"/>
      <c r="C834" s="60"/>
      <c r="D834" s="60"/>
      <c r="E834" s="60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60"/>
      <c r="B835" s="60"/>
      <c r="C835" s="60"/>
      <c r="D835" s="60"/>
      <c r="E835" s="60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60"/>
      <c r="B836" s="60"/>
      <c r="C836" s="60"/>
      <c r="D836" s="60"/>
      <c r="E836" s="60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60"/>
      <c r="B837" s="60"/>
      <c r="C837" s="60"/>
      <c r="D837" s="60"/>
      <c r="E837" s="60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60"/>
      <c r="B838" s="60"/>
      <c r="C838" s="60"/>
      <c r="D838" s="60"/>
      <c r="E838" s="60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60"/>
      <c r="B839" s="60"/>
      <c r="C839" s="60"/>
      <c r="D839" s="60"/>
      <c r="E839" s="60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60"/>
      <c r="B840" s="60"/>
      <c r="C840" s="60"/>
      <c r="D840" s="60"/>
      <c r="E840" s="60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60"/>
      <c r="B841" s="60"/>
      <c r="C841" s="60"/>
      <c r="D841" s="60"/>
      <c r="E841" s="60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60"/>
      <c r="B842" s="60"/>
      <c r="C842" s="60"/>
      <c r="D842" s="60"/>
      <c r="E842" s="60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60"/>
      <c r="B843" s="60"/>
      <c r="C843" s="60"/>
      <c r="D843" s="60"/>
      <c r="E843" s="60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60"/>
      <c r="B844" s="60"/>
      <c r="C844" s="60"/>
      <c r="D844" s="60"/>
      <c r="E844" s="60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60"/>
      <c r="B845" s="60"/>
      <c r="C845" s="60"/>
      <c r="D845" s="60"/>
      <c r="E845" s="60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60"/>
      <c r="B846" s="60"/>
      <c r="C846" s="60"/>
      <c r="D846" s="60"/>
      <c r="E846" s="60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60"/>
      <c r="B847" s="60"/>
      <c r="C847" s="60"/>
      <c r="D847" s="60"/>
      <c r="E847" s="60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60"/>
      <c r="B848" s="60"/>
      <c r="C848" s="60"/>
      <c r="D848" s="60"/>
      <c r="E848" s="60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60"/>
      <c r="B849" s="60"/>
      <c r="C849" s="60"/>
      <c r="D849" s="60"/>
      <c r="E849" s="60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60"/>
      <c r="B850" s="60"/>
      <c r="C850" s="60"/>
      <c r="D850" s="60"/>
      <c r="E850" s="60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60"/>
      <c r="B851" s="60"/>
      <c r="C851" s="60"/>
      <c r="D851" s="60"/>
      <c r="E851" s="60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60"/>
      <c r="B852" s="60"/>
      <c r="C852" s="60"/>
      <c r="D852" s="60"/>
      <c r="E852" s="60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60"/>
      <c r="B853" s="60"/>
      <c r="C853" s="60"/>
      <c r="D853" s="60"/>
      <c r="E853" s="60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60"/>
      <c r="B854" s="60"/>
      <c r="C854" s="60"/>
      <c r="D854" s="60"/>
      <c r="E854" s="60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60"/>
      <c r="B855" s="60"/>
      <c r="C855" s="60"/>
      <c r="D855" s="60"/>
      <c r="E855" s="60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60"/>
      <c r="B856" s="60"/>
      <c r="C856" s="60"/>
      <c r="D856" s="60"/>
      <c r="E856" s="60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60"/>
      <c r="B857" s="60"/>
      <c r="C857" s="60"/>
      <c r="D857" s="60"/>
      <c r="E857" s="60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60"/>
      <c r="B858" s="60"/>
      <c r="C858" s="60"/>
      <c r="D858" s="60"/>
      <c r="E858" s="60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60"/>
      <c r="B859" s="60"/>
      <c r="C859" s="60"/>
      <c r="D859" s="60"/>
      <c r="E859" s="60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60"/>
      <c r="B860" s="60"/>
      <c r="C860" s="60"/>
      <c r="D860" s="60"/>
      <c r="E860" s="60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60"/>
      <c r="B861" s="60"/>
      <c r="C861" s="60"/>
      <c r="D861" s="60"/>
      <c r="E861" s="60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60"/>
      <c r="B862" s="60"/>
      <c r="C862" s="60"/>
      <c r="D862" s="60"/>
      <c r="E862" s="60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60"/>
      <c r="B863" s="60"/>
      <c r="C863" s="60"/>
      <c r="D863" s="60"/>
      <c r="E863" s="60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60"/>
      <c r="B864" s="60"/>
      <c r="C864" s="60"/>
      <c r="D864" s="60"/>
      <c r="E864" s="60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60"/>
      <c r="B865" s="60"/>
      <c r="C865" s="60"/>
      <c r="D865" s="60"/>
      <c r="E865" s="60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60"/>
      <c r="B866" s="60"/>
      <c r="C866" s="60"/>
      <c r="D866" s="60"/>
      <c r="E866" s="60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60"/>
      <c r="B867" s="60"/>
      <c r="C867" s="60"/>
      <c r="D867" s="60"/>
      <c r="E867" s="60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60"/>
      <c r="B868" s="60"/>
      <c r="C868" s="60"/>
      <c r="D868" s="60"/>
      <c r="E868" s="60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60"/>
      <c r="B869" s="60"/>
      <c r="C869" s="60"/>
      <c r="D869" s="60"/>
      <c r="E869" s="60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60"/>
      <c r="B870" s="60"/>
      <c r="C870" s="60"/>
      <c r="D870" s="60"/>
      <c r="E870" s="60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60"/>
      <c r="B871" s="60"/>
      <c r="C871" s="60"/>
      <c r="D871" s="60"/>
      <c r="E871" s="60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60"/>
      <c r="B872" s="60"/>
      <c r="C872" s="60"/>
      <c r="D872" s="60"/>
      <c r="E872" s="60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60"/>
      <c r="B873" s="60"/>
      <c r="C873" s="60"/>
      <c r="D873" s="60"/>
      <c r="E873" s="60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60"/>
      <c r="B874" s="60"/>
      <c r="C874" s="60"/>
      <c r="D874" s="60"/>
      <c r="E874" s="60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60"/>
      <c r="B875" s="60"/>
      <c r="C875" s="60"/>
      <c r="D875" s="60"/>
      <c r="E875" s="60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60"/>
      <c r="B876" s="60"/>
      <c r="C876" s="60"/>
      <c r="D876" s="60"/>
      <c r="E876" s="60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60"/>
      <c r="B877" s="60"/>
      <c r="C877" s="60"/>
      <c r="D877" s="60"/>
      <c r="E877" s="60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60"/>
      <c r="B878" s="60"/>
      <c r="C878" s="60"/>
      <c r="D878" s="60"/>
      <c r="E878" s="60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60"/>
      <c r="B879" s="60"/>
      <c r="C879" s="60"/>
      <c r="D879" s="60"/>
      <c r="E879" s="60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60"/>
      <c r="B880" s="60"/>
      <c r="C880" s="60"/>
      <c r="D880" s="60"/>
      <c r="E880" s="60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60"/>
      <c r="B881" s="60"/>
      <c r="C881" s="60"/>
      <c r="D881" s="60"/>
      <c r="E881" s="60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60"/>
      <c r="B882" s="60"/>
      <c r="C882" s="60"/>
      <c r="D882" s="60"/>
      <c r="E882" s="60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60"/>
      <c r="B883" s="60"/>
      <c r="C883" s="60"/>
      <c r="D883" s="60"/>
      <c r="E883" s="60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60"/>
      <c r="B884" s="60"/>
      <c r="C884" s="60"/>
      <c r="D884" s="60"/>
      <c r="E884" s="60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60"/>
      <c r="B885" s="60"/>
      <c r="C885" s="60"/>
      <c r="D885" s="60"/>
      <c r="E885" s="60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60"/>
      <c r="B886" s="60"/>
      <c r="C886" s="60"/>
      <c r="D886" s="60"/>
      <c r="E886" s="60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60"/>
      <c r="B887" s="60"/>
      <c r="C887" s="60"/>
      <c r="D887" s="60"/>
      <c r="E887" s="60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60"/>
      <c r="B888" s="60"/>
      <c r="C888" s="60"/>
      <c r="D888" s="60"/>
      <c r="E888" s="60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60"/>
      <c r="B889" s="60"/>
      <c r="C889" s="60"/>
      <c r="D889" s="60"/>
      <c r="E889" s="60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60"/>
      <c r="B890" s="60"/>
      <c r="C890" s="60"/>
      <c r="D890" s="60"/>
      <c r="E890" s="60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60"/>
      <c r="B891" s="60"/>
      <c r="C891" s="60"/>
      <c r="D891" s="60"/>
      <c r="E891" s="60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60"/>
      <c r="B892" s="60"/>
      <c r="C892" s="60"/>
      <c r="D892" s="60"/>
      <c r="E892" s="60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60"/>
      <c r="B893" s="60"/>
      <c r="C893" s="60"/>
      <c r="D893" s="60"/>
      <c r="E893" s="60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60"/>
      <c r="B894" s="60"/>
      <c r="C894" s="60"/>
      <c r="D894" s="60"/>
      <c r="E894" s="60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60"/>
      <c r="B895" s="60"/>
      <c r="C895" s="60"/>
      <c r="D895" s="60"/>
      <c r="E895" s="60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60"/>
      <c r="B896" s="60"/>
      <c r="C896" s="60"/>
      <c r="D896" s="60"/>
      <c r="E896" s="60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60"/>
      <c r="B897" s="60"/>
      <c r="C897" s="60"/>
      <c r="D897" s="60"/>
      <c r="E897" s="60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60"/>
      <c r="B898" s="60"/>
      <c r="C898" s="60"/>
      <c r="D898" s="60"/>
      <c r="E898" s="60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60"/>
      <c r="B899" s="60"/>
      <c r="C899" s="60"/>
      <c r="D899" s="60"/>
      <c r="E899" s="60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60"/>
      <c r="B900" s="60"/>
      <c r="C900" s="60"/>
      <c r="D900" s="60"/>
      <c r="E900" s="60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60"/>
      <c r="B901" s="60"/>
      <c r="C901" s="60"/>
      <c r="D901" s="60"/>
      <c r="E901" s="60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60"/>
      <c r="B902" s="60"/>
      <c r="C902" s="60"/>
      <c r="D902" s="60"/>
      <c r="E902" s="60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60"/>
      <c r="B903" s="60"/>
      <c r="C903" s="60"/>
      <c r="D903" s="60"/>
      <c r="E903" s="60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60"/>
      <c r="B904" s="60"/>
      <c r="C904" s="60"/>
      <c r="D904" s="60"/>
      <c r="E904" s="60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60"/>
      <c r="B905" s="60"/>
      <c r="C905" s="60"/>
      <c r="D905" s="60"/>
      <c r="E905" s="60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60"/>
      <c r="B906" s="60"/>
      <c r="C906" s="60"/>
      <c r="D906" s="60"/>
      <c r="E906" s="60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60"/>
      <c r="B907" s="60"/>
      <c r="C907" s="60"/>
      <c r="D907" s="60"/>
      <c r="E907" s="60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60"/>
      <c r="B908" s="60"/>
      <c r="C908" s="60"/>
      <c r="D908" s="60"/>
      <c r="E908" s="60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60"/>
      <c r="B909" s="60"/>
      <c r="C909" s="60"/>
      <c r="D909" s="60"/>
      <c r="E909" s="60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60"/>
      <c r="B910" s="60"/>
      <c r="C910" s="60"/>
      <c r="D910" s="60"/>
      <c r="E910" s="60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60"/>
      <c r="B911" s="60"/>
      <c r="C911" s="60"/>
      <c r="D911" s="60"/>
      <c r="E911" s="60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60"/>
      <c r="B912" s="60"/>
      <c r="C912" s="60"/>
      <c r="D912" s="60"/>
      <c r="E912" s="60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60"/>
      <c r="B913" s="60"/>
      <c r="C913" s="60"/>
      <c r="D913" s="60"/>
      <c r="E913" s="60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60"/>
      <c r="B914" s="60"/>
      <c r="C914" s="60"/>
      <c r="D914" s="60"/>
      <c r="E914" s="60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60"/>
      <c r="B915" s="60"/>
      <c r="C915" s="60"/>
      <c r="D915" s="60"/>
      <c r="E915" s="60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60"/>
      <c r="B916" s="60"/>
      <c r="C916" s="60"/>
      <c r="D916" s="60"/>
      <c r="E916" s="60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60"/>
      <c r="B917" s="60"/>
      <c r="C917" s="60"/>
      <c r="D917" s="60"/>
      <c r="E917" s="60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60"/>
      <c r="B918" s="60"/>
      <c r="C918" s="60"/>
      <c r="D918" s="60"/>
      <c r="E918" s="60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60"/>
      <c r="B919" s="60"/>
      <c r="C919" s="60"/>
      <c r="D919" s="60"/>
      <c r="E919" s="60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60"/>
      <c r="B920" s="60"/>
      <c r="C920" s="60"/>
      <c r="D920" s="60"/>
      <c r="E920" s="60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60"/>
      <c r="B921" s="60"/>
      <c r="C921" s="60"/>
      <c r="D921" s="60"/>
      <c r="E921" s="60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60"/>
      <c r="B922" s="60"/>
      <c r="C922" s="60"/>
      <c r="D922" s="60"/>
      <c r="E922" s="60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60"/>
      <c r="B923" s="60"/>
      <c r="C923" s="60"/>
      <c r="D923" s="60"/>
      <c r="E923" s="60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60"/>
      <c r="B924" s="60"/>
      <c r="C924" s="60"/>
      <c r="D924" s="60"/>
      <c r="E924" s="60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60"/>
      <c r="B925" s="60"/>
      <c r="C925" s="60"/>
      <c r="D925" s="60"/>
      <c r="E925" s="60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60"/>
      <c r="B926" s="60"/>
      <c r="C926" s="60"/>
      <c r="D926" s="60"/>
      <c r="E926" s="60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60"/>
      <c r="B927" s="60"/>
      <c r="C927" s="60"/>
      <c r="D927" s="60"/>
      <c r="E927" s="60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60"/>
      <c r="B928" s="60"/>
      <c r="C928" s="60"/>
      <c r="D928" s="60"/>
      <c r="E928" s="60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60"/>
      <c r="B929" s="60"/>
      <c r="C929" s="60"/>
      <c r="D929" s="60"/>
      <c r="E929" s="60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60"/>
      <c r="B930" s="60"/>
      <c r="C930" s="60"/>
      <c r="D930" s="60"/>
      <c r="E930" s="60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60"/>
      <c r="B931" s="60"/>
      <c r="C931" s="60"/>
      <c r="D931" s="60"/>
      <c r="E931" s="60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60"/>
      <c r="B932" s="60"/>
      <c r="C932" s="60"/>
      <c r="D932" s="60"/>
      <c r="E932" s="60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60"/>
      <c r="B933" s="60"/>
      <c r="C933" s="60"/>
      <c r="D933" s="60"/>
      <c r="E933" s="60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60"/>
      <c r="B934" s="60"/>
      <c r="C934" s="60"/>
      <c r="D934" s="60"/>
      <c r="E934" s="60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60"/>
      <c r="B935" s="60"/>
      <c r="C935" s="60"/>
      <c r="D935" s="60"/>
      <c r="E935" s="60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60"/>
      <c r="B936" s="60"/>
      <c r="C936" s="60"/>
      <c r="D936" s="60"/>
      <c r="E936" s="60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60"/>
      <c r="B937" s="60"/>
      <c r="C937" s="60"/>
      <c r="D937" s="60"/>
      <c r="E937" s="60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60"/>
      <c r="B938" s="60"/>
      <c r="C938" s="60"/>
      <c r="D938" s="60"/>
      <c r="E938" s="60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60"/>
      <c r="B939" s="60"/>
      <c r="C939" s="60"/>
      <c r="D939" s="60"/>
      <c r="E939" s="60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60"/>
      <c r="B940" s="60"/>
      <c r="C940" s="60"/>
      <c r="D940" s="60"/>
      <c r="E940" s="60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60"/>
      <c r="B941" s="60"/>
      <c r="C941" s="60"/>
      <c r="D941" s="60"/>
      <c r="E941" s="60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60"/>
      <c r="B942" s="60"/>
      <c r="C942" s="60"/>
      <c r="D942" s="60"/>
      <c r="E942" s="60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60"/>
      <c r="B943" s="60"/>
      <c r="C943" s="60"/>
      <c r="D943" s="60"/>
      <c r="E943" s="60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60"/>
      <c r="B944" s="60"/>
      <c r="C944" s="60"/>
      <c r="D944" s="60"/>
      <c r="E944" s="60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60"/>
      <c r="B945" s="60"/>
      <c r="C945" s="60"/>
      <c r="D945" s="60"/>
      <c r="E945" s="60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60"/>
      <c r="B946" s="60"/>
      <c r="C946" s="60"/>
      <c r="D946" s="60"/>
      <c r="E946" s="60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60"/>
      <c r="B947" s="60"/>
      <c r="C947" s="60"/>
      <c r="D947" s="60"/>
      <c r="E947" s="60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60"/>
      <c r="B948" s="60"/>
      <c r="C948" s="60"/>
      <c r="D948" s="60"/>
      <c r="E948" s="60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60"/>
      <c r="B949" s="60"/>
      <c r="C949" s="60"/>
      <c r="D949" s="60"/>
      <c r="E949" s="60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60"/>
      <c r="B950" s="60"/>
      <c r="C950" s="60"/>
      <c r="D950" s="60"/>
      <c r="E950" s="60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60"/>
      <c r="B951" s="60"/>
      <c r="C951" s="60"/>
      <c r="D951" s="60"/>
      <c r="E951" s="60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60"/>
      <c r="B952" s="60"/>
      <c r="C952" s="60"/>
      <c r="D952" s="60"/>
      <c r="E952" s="60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60"/>
      <c r="B953" s="60"/>
      <c r="C953" s="60"/>
      <c r="D953" s="60"/>
      <c r="E953" s="60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60"/>
      <c r="B954" s="60"/>
      <c r="C954" s="60"/>
      <c r="D954" s="60"/>
      <c r="E954" s="60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60"/>
      <c r="B955" s="60"/>
      <c r="C955" s="60"/>
      <c r="D955" s="60"/>
      <c r="E955" s="60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60"/>
      <c r="B956" s="60"/>
      <c r="C956" s="60"/>
      <c r="D956" s="60"/>
      <c r="E956" s="60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60"/>
      <c r="B957" s="60"/>
      <c r="C957" s="60"/>
      <c r="D957" s="60"/>
      <c r="E957" s="60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60"/>
      <c r="B958" s="60"/>
      <c r="C958" s="60"/>
      <c r="D958" s="60"/>
      <c r="E958" s="60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60"/>
      <c r="B959" s="60"/>
      <c r="C959" s="60"/>
      <c r="D959" s="60"/>
      <c r="E959" s="60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60"/>
      <c r="B960" s="60"/>
      <c r="C960" s="60"/>
      <c r="D960" s="60"/>
      <c r="E960" s="60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60"/>
      <c r="B961" s="60"/>
      <c r="C961" s="60"/>
      <c r="D961" s="60"/>
      <c r="E961" s="60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60"/>
      <c r="B962" s="60"/>
      <c r="C962" s="60"/>
      <c r="D962" s="60"/>
      <c r="E962" s="60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60"/>
      <c r="B963" s="60"/>
      <c r="C963" s="60"/>
      <c r="D963" s="60"/>
      <c r="E963" s="60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60"/>
      <c r="B964" s="60"/>
      <c r="C964" s="60"/>
      <c r="D964" s="60"/>
      <c r="E964" s="60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60"/>
      <c r="B965" s="60"/>
      <c r="C965" s="60"/>
      <c r="D965" s="60"/>
      <c r="E965" s="60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60"/>
      <c r="B966" s="60"/>
      <c r="C966" s="60"/>
      <c r="D966" s="60"/>
      <c r="E966" s="60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60"/>
      <c r="B967" s="60"/>
      <c r="C967" s="60"/>
      <c r="D967" s="60"/>
      <c r="E967" s="60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60"/>
      <c r="B968" s="60"/>
      <c r="C968" s="60"/>
      <c r="D968" s="60"/>
      <c r="E968" s="60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60"/>
      <c r="B969" s="60"/>
      <c r="C969" s="60"/>
      <c r="D969" s="60"/>
      <c r="E969" s="60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60"/>
      <c r="B970" s="60"/>
      <c r="C970" s="60"/>
      <c r="D970" s="60"/>
      <c r="E970" s="60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60"/>
      <c r="B971" s="60"/>
      <c r="C971" s="60"/>
      <c r="D971" s="60"/>
      <c r="E971" s="60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60"/>
      <c r="B972" s="60"/>
      <c r="C972" s="60"/>
      <c r="D972" s="60"/>
      <c r="E972" s="60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60"/>
      <c r="B973" s="60"/>
      <c r="C973" s="60"/>
      <c r="D973" s="60"/>
      <c r="E973" s="60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60"/>
      <c r="B974" s="60"/>
      <c r="C974" s="60"/>
      <c r="D974" s="60"/>
      <c r="E974" s="60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60"/>
      <c r="B975" s="60"/>
      <c r="C975" s="60"/>
      <c r="D975" s="60"/>
      <c r="E975" s="60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60"/>
      <c r="B976" s="60"/>
      <c r="C976" s="60"/>
      <c r="D976" s="60"/>
      <c r="E976" s="60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60"/>
      <c r="B977" s="60"/>
      <c r="C977" s="60"/>
      <c r="D977" s="60"/>
      <c r="E977" s="60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60"/>
      <c r="B978" s="60"/>
      <c r="C978" s="60"/>
      <c r="D978" s="60"/>
      <c r="E978" s="60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60"/>
      <c r="B979" s="60"/>
      <c r="C979" s="60"/>
      <c r="D979" s="60"/>
      <c r="E979" s="60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60"/>
      <c r="B980" s="60"/>
      <c r="C980" s="60"/>
      <c r="D980" s="60"/>
      <c r="E980" s="60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60"/>
      <c r="B981" s="60"/>
      <c r="C981" s="60"/>
      <c r="D981" s="60"/>
      <c r="E981" s="60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60"/>
      <c r="B982" s="60"/>
      <c r="C982" s="60"/>
      <c r="D982" s="60"/>
      <c r="E982" s="60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60"/>
      <c r="B983" s="60"/>
      <c r="C983" s="60"/>
      <c r="D983" s="60"/>
      <c r="E983" s="60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60"/>
      <c r="B984" s="60"/>
      <c r="C984" s="60"/>
      <c r="D984" s="60"/>
      <c r="E984" s="60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60"/>
      <c r="B985" s="60"/>
      <c r="C985" s="60"/>
      <c r="D985" s="60"/>
      <c r="E985" s="60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60"/>
      <c r="B986" s="60"/>
      <c r="C986" s="60"/>
      <c r="D986" s="60"/>
      <c r="E986" s="60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60"/>
      <c r="B987" s="60"/>
      <c r="C987" s="60"/>
      <c r="D987" s="60"/>
      <c r="E987" s="60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60"/>
      <c r="B988" s="60"/>
      <c r="C988" s="60"/>
      <c r="D988" s="60"/>
      <c r="E988" s="60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60"/>
      <c r="B989" s="60"/>
      <c r="C989" s="60"/>
      <c r="D989" s="60"/>
      <c r="E989" s="60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60"/>
      <c r="B990" s="60"/>
      <c r="C990" s="60"/>
      <c r="D990" s="60"/>
      <c r="E990" s="60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60"/>
      <c r="B991" s="60"/>
      <c r="C991" s="60"/>
      <c r="D991" s="60"/>
      <c r="E991" s="60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60"/>
      <c r="B992" s="60"/>
      <c r="C992" s="60"/>
      <c r="D992" s="60"/>
      <c r="E992" s="60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60"/>
      <c r="B993" s="60"/>
      <c r="C993" s="60"/>
      <c r="D993" s="60"/>
      <c r="E993" s="60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60"/>
      <c r="B994" s="60"/>
      <c r="C994" s="60"/>
      <c r="D994" s="60"/>
      <c r="E994" s="60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60"/>
      <c r="B995" s="60"/>
      <c r="C995" s="60"/>
      <c r="D995" s="60"/>
      <c r="E995" s="60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60"/>
      <c r="B996" s="60"/>
      <c r="C996" s="60"/>
      <c r="D996" s="60"/>
      <c r="E996" s="60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60"/>
      <c r="B997" s="60"/>
      <c r="C997" s="60"/>
      <c r="D997" s="60"/>
      <c r="E997" s="60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60"/>
      <c r="B998" s="60"/>
      <c r="C998" s="60"/>
      <c r="D998" s="60"/>
      <c r="E998" s="60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60"/>
      <c r="B999" s="60"/>
      <c r="C999" s="60"/>
      <c r="D999" s="60"/>
      <c r="E999" s="60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60"/>
      <c r="B1000" s="60"/>
      <c r="C1000" s="60"/>
      <c r="D1000" s="60"/>
      <c r="E1000" s="60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60"/>
      <c r="B1001" s="60"/>
      <c r="C1001" s="60"/>
      <c r="D1001" s="60"/>
      <c r="E1001" s="60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60"/>
      <c r="B1002" s="60"/>
      <c r="C1002" s="60"/>
      <c r="D1002" s="60"/>
      <c r="E1002" s="60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60"/>
      <c r="B1003" s="60"/>
      <c r="C1003" s="60"/>
      <c r="D1003" s="60"/>
      <c r="E1003" s="60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60"/>
      <c r="B1004" s="60"/>
      <c r="C1004" s="60"/>
      <c r="D1004" s="60"/>
      <c r="E1004" s="60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60"/>
      <c r="B1005" s="60"/>
      <c r="C1005" s="60"/>
      <c r="D1005" s="60"/>
      <c r="E1005" s="60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60"/>
      <c r="B1006" s="60"/>
      <c r="C1006" s="60"/>
      <c r="D1006" s="60"/>
      <c r="E1006" s="60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60"/>
      <c r="B1007" s="60"/>
      <c r="C1007" s="60"/>
      <c r="D1007" s="60"/>
      <c r="E1007" s="60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60"/>
      <c r="B1008" s="60"/>
      <c r="C1008" s="60"/>
      <c r="D1008" s="60"/>
      <c r="E1008" s="60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60"/>
      <c r="B1009" s="60"/>
      <c r="C1009" s="60"/>
      <c r="D1009" s="60"/>
      <c r="E1009" s="60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60"/>
      <c r="B1010" s="60"/>
      <c r="C1010" s="60"/>
      <c r="D1010" s="60"/>
      <c r="E1010" s="60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60"/>
      <c r="B1011" s="60"/>
      <c r="C1011" s="60"/>
      <c r="D1011" s="60"/>
      <c r="E1011" s="60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60"/>
      <c r="B1012" s="60"/>
      <c r="C1012" s="60"/>
      <c r="D1012" s="60"/>
      <c r="E1012" s="60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60"/>
      <c r="B1013" s="60"/>
      <c r="C1013" s="60"/>
      <c r="D1013" s="60"/>
      <c r="E1013" s="60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60"/>
      <c r="B1014" s="60"/>
      <c r="C1014" s="60"/>
      <c r="D1014" s="60"/>
      <c r="E1014" s="60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60"/>
      <c r="B1015" s="60"/>
      <c r="C1015" s="60"/>
      <c r="D1015" s="60"/>
      <c r="E1015" s="60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60"/>
      <c r="B1016" s="60"/>
      <c r="C1016" s="60"/>
      <c r="D1016" s="60"/>
      <c r="E1016" s="60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60"/>
      <c r="B1017" s="60"/>
      <c r="C1017" s="60"/>
      <c r="D1017" s="60"/>
      <c r="E1017" s="60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60"/>
      <c r="B1018" s="60"/>
      <c r="C1018" s="60"/>
      <c r="D1018" s="60"/>
      <c r="E1018" s="60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60"/>
      <c r="B1019" s="60"/>
      <c r="C1019" s="60"/>
      <c r="D1019" s="60"/>
      <c r="E1019" s="60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60"/>
      <c r="B1020" s="60"/>
      <c r="C1020" s="60"/>
      <c r="D1020" s="60"/>
      <c r="E1020" s="60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60"/>
      <c r="B1021" s="60"/>
      <c r="C1021" s="60"/>
      <c r="D1021" s="60"/>
      <c r="E1021" s="60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60"/>
      <c r="B1022" s="60"/>
      <c r="C1022" s="60"/>
      <c r="D1022" s="60"/>
      <c r="E1022" s="60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60"/>
      <c r="B1023" s="60"/>
      <c r="C1023" s="60"/>
      <c r="D1023" s="60"/>
      <c r="E1023" s="60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60"/>
      <c r="B1024" s="60"/>
      <c r="C1024" s="60"/>
      <c r="D1024" s="60"/>
      <c r="E1024" s="60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60"/>
      <c r="B1025" s="60"/>
      <c r="C1025" s="60"/>
      <c r="D1025" s="60"/>
      <c r="E1025" s="60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60"/>
      <c r="B1026" s="60"/>
      <c r="C1026" s="60"/>
      <c r="D1026" s="60"/>
      <c r="E1026" s="60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60"/>
      <c r="B1027" s="60"/>
      <c r="C1027" s="60"/>
      <c r="D1027" s="60"/>
      <c r="E1027" s="60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60"/>
      <c r="B1028" s="60"/>
      <c r="C1028" s="60"/>
      <c r="D1028" s="60"/>
      <c r="E1028" s="60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60"/>
      <c r="B1029" s="60"/>
      <c r="C1029" s="60"/>
      <c r="D1029" s="60"/>
      <c r="E1029" s="60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60"/>
      <c r="B1030" s="60"/>
      <c r="C1030" s="60"/>
      <c r="D1030" s="60"/>
      <c r="E1030" s="60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60"/>
      <c r="B1031" s="60"/>
      <c r="C1031" s="60"/>
      <c r="D1031" s="60"/>
      <c r="E1031" s="60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60"/>
      <c r="B1032" s="60"/>
      <c r="C1032" s="60"/>
      <c r="D1032" s="60"/>
      <c r="E1032" s="60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60"/>
      <c r="B1033" s="60"/>
      <c r="C1033" s="60"/>
      <c r="D1033" s="60"/>
      <c r="E1033" s="60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60"/>
      <c r="B1034" s="60"/>
      <c r="C1034" s="60"/>
      <c r="D1034" s="60"/>
      <c r="E1034" s="60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60"/>
      <c r="B1035" s="60"/>
      <c r="C1035" s="60"/>
      <c r="D1035" s="60"/>
      <c r="E1035" s="60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60"/>
      <c r="B1036" s="60"/>
      <c r="C1036" s="60"/>
      <c r="D1036" s="60"/>
      <c r="E1036" s="60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60"/>
      <c r="B1037" s="60"/>
      <c r="C1037" s="60"/>
      <c r="D1037" s="60"/>
      <c r="E1037" s="60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60"/>
      <c r="B1038" s="60"/>
      <c r="C1038" s="60"/>
      <c r="D1038" s="60"/>
      <c r="E1038" s="60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60"/>
      <c r="B1039" s="60"/>
      <c r="C1039" s="60"/>
      <c r="D1039" s="60"/>
      <c r="E1039" s="60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60"/>
      <c r="B1040" s="60"/>
      <c r="C1040" s="60"/>
      <c r="D1040" s="60"/>
      <c r="E1040" s="60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60"/>
      <c r="B1041" s="60"/>
      <c r="C1041" s="60"/>
      <c r="D1041" s="60"/>
      <c r="E1041" s="60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60"/>
      <c r="B1042" s="60"/>
      <c r="C1042" s="60"/>
      <c r="D1042" s="60"/>
      <c r="E1042" s="60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60"/>
      <c r="B1043" s="60"/>
      <c r="C1043" s="60"/>
      <c r="D1043" s="60"/>
      <c r="E1043" s="60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60"/>
      <c r="B1044" s="60"/>
      <c r="C1044" s="60"/>
      <c r="D1044" s="60"/>
      <c r="E1044" s="60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60"/>
      <c r="B1045" s="60"/>
      <c r="C1045" s="60"/>
      <c r="D1045" s="60"/>
      <c r="E1045" s="60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>
      <c r="A1046" s="60"/>
      <c r="B1046" s="60"/>
      <c r="C1046" s="60"/>
      <c r="D1046" s="60"/>
      <c r="E1046" s="60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>
      <c r="A1047" s="60"/>
      <c r="B1047" s="60"/>
      <c r="C1047" s="60"/>
      <c r="D1047" s="60"/>
      <c r="E1047" s="60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>
      <c r="A1048" s="60"/>
      <c r="B1048" s="60"/>
      <c r="C1048" s="60"/>
      <c r="D1048" s="60"/>
      <c r="E1048" s="60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>
      <c r="A1049" s="60"/>
      <c r="B1049" s="60"/>
      <c r="C1049" s="60"/>
      <c r="D1049" s="60"/>
      <c r="E1049" s="60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>
      <c r="A1050" s="60"/>
      <c r="B1050" s="60"/>
      <c r="C1050" s="60"/>
      <c r="D1050" s="60"/>
      <c r="E1050" s="60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>
      <c r="A1051" s="60"/>
      <c r="B1051" s="60"/>
      <c r="C1051" s="60"/>
      <c r="D1051" s="60"/>
      <c r="E1051" s="60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>
      <c r="A1052" s="60"/>
      <c r="B1052" s="60"/>
      <c r="C1052" s="60"/>
      <c r="D1052" s="60"/>
      <c r="E1052" s="60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>
      <c r="A1053" s="60"/>
      <c r="B1053" s="60"/>
      <c r="C1053" s="60"/>
      <c r="D1053" s="60"/>
      <c r="E1053" s="60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>
      <c r="A1054" s="60"/>
      <c r="B1054" s="60"/>
      <c r="C1054" s="60"/>
      <c r="D1054" s="60"/>
      <c r="E1054" s="60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>
      <c r="A1055" s="60"/>
      <c r="B1055" s="60"/>
      <c r="C1055" s="60"/>
      <c r="D1055" s="60"/>
      <c r="E1055" s="60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>
      <c r="A1056" s="60"/>
      <c r="B1056" s="60"/>
      <c r="C1056" s="60"/>
      <c r="D1056" s="60"/>
      <c r="E1056" s="60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>
      <c r="A1057" s="60"/>
      <c r="B1057" s="60"/>
      <c r="C1057" s="60"/>
      <c r="D1057" s="60"/>
      <c r="E1057" s="60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>
      <c r="A1058" s="60"/>
      <c r="B1058" s="60"/>
      <c r="C1058" s="60"/>
      <c r="D1058" s="60"/>
      <c r="E1058" s="60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</sheetData>
  <dataValidations>
    <dataValidation type="list" allowBlank="1" sqref="E2:E488">
      <formula1>"Exploracion,Evaluacion,Desarrollo,Produccion,Abandono,No aplica"</formula1>
    </dataValidation>
    <dataValidation type="custom" allowBlank="1" showDropDown="1" sqref="F2:F488">
      <formula1>AND(ISNUMBER(F2),(NOT(OR(NOT(ISERROR(DATEVALUE(F2))), AND(ISNUMBER(F2), LEFT(CELL("format", F2))="D")))))</formula1>
    </dataValidation>
    <dataValidation type="custom" allowBlank="1" showDropDown="1" sqref="G2:G488">
      <formula1>AND(ISNUMBER(G2),(NOT(OR(NOT(ISERROR(DATEVALUE(G2))), AND(ISNUMBER(G2), LEFT(CELL("format", G2))="D")))))</formula1>
    </dataValidation>
    <dataValidation type="list" allowBlank="1" sqref="D2:D488">
      <formula1>"Enero,Febrero,Marzo,Abril,Mayo,Junio,Julio,Agosto,Septiembre,Octubre,Noviembre,Diciembre,No aplica"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26.63"/>
    <col customWidth="1" min="3" max="3" width="11.75"/>
    <col customWidth="1" min="4" max="4" width="14.38"/>
    <col customWidth="1" min="5" max="5" width="29.25"/>
    <col customWidth="1" min="6" max="6" width="25.38"/>
    <col customWidth="1" min="7" max="7" width="25.13"/>
  </cols>
  <sheetData>
    <row r="1" ht="22.5" customHeight="1">
      <c r="A1" s="186" t="s">
        <v>2811</v>
      </c>
      <c r="B1" s="186" t="s">
        <v>2</v>
      </c>
      <c r="C1" s="186" t="s">
        <v>2806</v>
      </c>
      <c r="D1" s="186" t="s">
        <v>2807</v>
      </c>
      <c r="E1" s="186" t="s">
        <v>2813</v>
      </c>
      <c r="F1" s="186" t="s">
        <v>2814</v>
      </c>
      <c r="G1" s="188" t="s">
        <v>2815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20.25" customHeight="1">
      <c r="A2" s="174" t="s">
        <v>2817</v>
      </c>
      <c r="B2" s="174" t="s">
        <v>28</v>
      </c>
      <c r="C2" s="189">
        <v>2018.0</v>
      </c>
      <c r="D2" s="175" t="s">
        <v>2541</v>
      </c>
      <c r="E2" s="174" t="s">
        <v>2818</v>
      </c>
      <c r="F2" s="190">
        <v>177357.66</v>
      </c>
      <c r="G2" s="191">
        <v>177357.66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22.5" customHeight="1">
      <c r="A3" s="174" t="s">
        <v>2820</v>
      </c>
      <c r="B3" s="174" t="s">
        <v>28</v>
      </c>
      <c r="C3" s="189">
        <v>2018.0</v>
      </c>
      <c r="D3" s="175" t="s">
        <v>2553</v>
      </c>
      <c r="E3" s="174" t="s">
        <v>2818</v>
      </c>
      <c r="F3" s="190">
        <v>1330182.46</v>
      </c>
      <c r="G3" s="191">
        <v>1330182.46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22.5" customHeight="1">
      <c r="A4" s="174" t="s">
        <v>2822</v>
      </c>
      <c r="B4" s="174" t="s">
        <v>28</v>
      </c>
      <c r="C4" s="189">
        <v>2018.0</v>
      </c>
      <c r="D4" s="175" t="s">
        <v>2573</v>
      </c>
      <c r="E4" s="174" t="s">
        <v>2818</v>
      </c>
      <c r="F4" s="190">
        <v>1330182.46</v>
      </c>
      <c r="G4" s="191">
        <v>1330182.46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22.5" customHeight="1">
      <c r="A5" s="174" t="s">
        <v>2824</v>
      </c>
      <c r="B5" s="174" t="s">
        <v>28</v>
      </c>
      <c r="C5" s="189">
        <v>2018.0</v>
      </c>
      <c r="D5" s="175" t="s">
        <v>2593</v>
      </c>
      <c r="E5" s="174" t="s">
        <v>2818</v>
      </c>
      <c r="F5" s="190">
        <v>1330182.46</v>
      </c>
      <c r="G5" s="191">
        <v>1330182.46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22.5" customHeight="1">
      <c r="A6" s="174" t="s">
        <v>2826</v>
      </c>
      <c r="B6" s="174" t="s">
        <v>28</v>
      </c>
      <c r="C6" s="189">
        <v>2018.0</v>
      </c>
      <c r="D6" s="175" t="s">
        <v>2616</v>
      </c>
      <c r="E6" s="174" t="s">
        <v>2818</v>
      </c>
      <c r="F6" s="190">
        <v>1330182.46</v>
      </c>
      <c r="G6" s="191">
        <v>1330182.46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22.5" customHeight="1">
      <c r="A7" s="174" t="s">
        <v>2828</v>
      </c>
      <c r="B7" s="174" t="s">
        <v>28</v>
      </c>
      <c r="C7" s="189">
        <v>2018.0</v>
      </c>
      <c r="D7" s="175" t="s">
        <v>2742</v>
      </c>
      <c r="E7" s="174" t="s">
        <v>2818</v>
      </c>
      <c r="F7" s="190">
        <v>1330182.46</v>
      </c>
      <c r="G7" s="191">
        <v>1330182.46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22.5" customHeight="1">
      <c r="A8" s="174" t="s">
        <v>2829</v>
      </c>
      <c r="B8" s="174" t="s">
        <v>28</v>
      </c>
      <c r="C8" s="189">
        <v>2018.0</v>
      </c>
      <c r="D8" s="175" t="s">
        <v>2496</v>
      </c>
      <c r="E8" s="174" t="s">
        <v>2818</v>
      </c>
      <c r="F8" s="190">
        <v>1330182.46</v>
      </c>
      <c r="G8" s="191">
        <v>1330182.46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22.5" customHeight="1">
      <c r="A9" s="174" t="s">
        <v>2831</v>
      </c>
      <c r="B9" s="174" t="s">
        <v>28</v>
      </c>
      <c r="C9" s="189">
        <v>2019.0</v>
      </c>
      <c r="D9" s="175" t="s">
        <v>2495</v>
      </c>
      <c r="E9" s="174" t="s">
        <v>2818</v>
      </c>
      <c r="F9" s="190">
        <v>1392966.76</v>
      </c>
      <c r="G9" s="191">
        <v>1392966.76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22.5" customHeight="1">
      <c r="A10" s="174" t="s">
        <v>2833</v>
      </c>
      <c r="B10" s="174" t="s">
        <v>28</v>
      </c>
      <c r="C10" s="189">
        <v>2019.0</v>
      </c>
      <c r="D10" s="175" t="s">
        <v>2834</v>
      </c>
      <c r="E10" s="174" t="s">
        <v>2818</v>
      </c>
      <c r="F10" s="190">
        <v>1392966.76</v>
      </c>
      <c r="G10" s="191">
        <v>1392966.76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22.5" customHeight="1">
      <c r="A11" s="174" t="s">
        <v>2836</v>
      </c>
      <c r="B11" s="174" t="s">
        <v>28</v>
      </c>
      <c r="C11" s="189">
        <v>2019.0</v>
      </c>
      <c r="D11" s="175" t="s">
        <v>2585</v>
      </c>
      <c r="E11" s="174" t="s">
        <v>2818</v>
      </c>
      <c r="F11" s="190">
        <v>1392966.76</v>
      </c>
      <c r="G11" s="191">
        <v>1392966.76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22.5" customHeight="1">
      <c r="A12" s="174" t="s">
        <v>2838</v>
      </c>
      <c r="B12" s="174" t="s">
        <v>28</v>
      </c>
      <c r="C12" s="189">
        <v>2019.0</v>
      </c>
      <c r="D12" s="175" t="s">
        <v>2594</v>
      </c>
      <c r="E12" s="174" t="s">
        <v>2818</v>
      </c>
      <c r="F12" s="190">
        <v>1392966.76</v>
      </c>
      <c r="G12" s="191">
        <v>1392966.76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22.5" customHeight="1">
      <c r="A13" s="174" t="s">
        <v>2839</v>
      </c>
      <c r="B13" s="174" t="s">
        <v>28</v>
      </c>
      <c r="C13" s="189">
        <v>2019.0</v>
      </c>
      <c r="D13" s="175" t="s">
        <v>2739</v>
      </c>
      <c r="E13" s="174" t="s">
        <v>2818</v>
      </c>
      <c r="F13" s="190">
        <v>1392966.76</v>
      </c>
      <c r="G13" s="191">
        <v>1392966.76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22.5" customHeight="1">
      <c r="A14" s="174" t="s">
        <v>2841</v>
      </c>
      <c r="B14" s="174" t="s">
        <v>28</v>
      </c>
      <c r="C14" s="189">
        <v>2019.0</v>
      </c>
      <c r="D14" s="175" t="s">
        <v>2541</v>
      </c>
      <c r="E14" s="174" t="s">
        <v>2818</v>
      </c>
      <c r="F14" s="190">
        <v>1392966.76</v>
      </c>
      <c r="G14" s="191">
        <v>1392966.76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22.5" customHeight="1">
      <c r="A15" s="174" t="s">
        <v>2843</v>
      </c>
      <c r="B15" s="174" t="s">
        <v>28</v>
      </c>
      <c r="C15" s="189">
        <v>2019.0</v>
      </c>
      <c r="D15" s="175" t="s">
        <v>2553</v>
      </c>
      <c r="E15" s="174" t="s">
        <v>2818</v>
      </c>
      <c r="F15" s="190">
        <v>1392966.76</v>
      </c>
      <c r="G15" s="191">
        <v>1392966.76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22.5" customHeight="1">
      <c r="A16" s="174" t="s">
        <v>2844</v>
      </c>
      <c r="B16" s="174" t="s">
        <v>28</v>
      </c>
      <c r="C16" s="189">
        <v>2019.0</v>
      </c>
      <c r="D16" s="175" t="s">
        <v>2573</v>
      </c>
      <c r="E16" s="174" t="s">
        <v>2818</v>
      </c>
      <c r="F16" s="190">
        <v>1392966.76</v>
      </c>
      <c r="G16" s="191">
        <v>1392966.76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22.5" customHeight="1">
      <c r="A17" s="174" t="s">
        <v>2846</v>
      </c>
      <c r="B17" s="174" t="s">
        <v>28</v>
      </c>
      <c r="C17" s="189">
        <v>2019.0</v>
      </c>
      <c r="D17" s="175" t="s">
        <v>2593</v>
      </c>
      <c r="E17" s="174" t="s">
        <v>2818</v>
      </c>
      <c r="F17" s="190">
        <v>1392966.76</v>
      </c>
      <c r="G17" s="191">
        <v>1392966.76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22.5" customHeight="1">
      <c r="A18" s="174" t="s">
        <v>2848</v>
      </c>
      <c r="B18" s="174" t="s">
        <v>28</v>
      </c>
      <c r="C18" s="189">
        <v>2019.0</v>
      </c>
      <c r="D18" s="175" t="s">
        <v>2616</v>
      </c>
      <c r="E18" s="174" t="s">
        <v>2818</v>
      </c>
      <c r="F18" s="190">
        <v>1392966.76</v>
      </c>
      <c r="G18" s="191">
        <v>1392966.76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22.5" customHeight="1">
      <c r="A19" s="174" t="s">
        <v>2849</v>
      </c>
      <c r="B19" s="174" t="s">
        <v>28</v>
      </c>
      <c r="C19" s="189">
        <v>2019.0</v>
      </c>
      <c r="D19" s="175" t="s">
        <v>2742</v>
      </c>
      <c r="E19" s="174" t="s">
        <v>2818</v>
      </c>
      <c r="F19" s="190">
        <v>1392966.76</v>
      </c>
      <c r="G19" s="191">
        <v>1392966.76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22.5" customHeight="1">
      <c r="A20" s="174" t="s">
        <v>2851</v>
      </c>
      <c r="B20" s="174" t="s">
        <v>28</v>
      </c>
      <c r="C20" s="189">
        <v>2019.0</v>
      </c>
      <c r="D20" s="175" t="s">
        <v>2496</v>
      </c>
      <c r="E20" s="174" t="s">
        <v>2818</v>
      </c>
      <c r="F20" s="190">
        <v>1392966.76</v>
      </c>
      <c r="G20" s="191">
        <v>1392966.76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22.5" customHeight="1">
      <c r="A21" s="174" t="s">
        <v>2853</v>
      </c>
      <c r="B21" s="174" t="s">
        <v>28</v>
      </c>
      <c r="C21" s="189">
        <v>2020.0</v>
      </c>
      <c r="D21" s="175" t="s">
        <v>2495</v>
      </c>
      <c r="E21" s="174" t="s">
        <v>2818</v>
      </c>
      <c r="F21" s="190">
        <v>1434340.07</v>
      </c>
      <c r="G21" s="191">
        <v>1434340.07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22.5" customHeight="1">
      <c r="A22" s="174" t="s">
        <v>2854</v>
      </c>
      <c r="B22" s="174" t="s">
        <v>28</v>
      </c>
      <c r="C22" s="189">
        <v>2020.0</v>
      </c>
      <c r="D22" s="175" t="s">
        <v>2834</v>
      </c>
      <c r="E22" s="174" t="s">
        <v>2818</v>
      </c>
      <c r="F22" s="190">
        <v>1434340.07</v>
      </c>
      <c r="G22" s="191">
        <v>1434340.07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22.5" customHeight="1">
      <c r="A23" s="174" t="s">
        <v>2856</v>
      </c>
      <c r="B23" s="174" t="s">
        <v>28</v>
      </c>
      <c r="C23" s="189">
        <v>2020.0</v>
      </c>
      <c r="D23" s="175" t="s">
        <v>2585</v>
      </c>
      <c r="E23" s="174" t="s">
        <v>2818</v>
      </c>
      <c r="F23" s="190">
        <v>1434340.07</v>
      </c>
      <c r="G23" s="191">
        <v>1434340.07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22.5" customHeight="1">
      <c r="A24" s="174" t="s">
        <v>2858</v>
      </c>
      <c r="B24" s="174" t="s">
        <v>28</v>
      </c>
      <c r="C24" s="189">
        <v>2020.0</v>
      </c>
      <c r="D24" s="175" t="s">
        <v>2594</v>
      </c>
      <c r="E24" s="174" t="s">
        <v>2818</v>
      </c>
      <c r="F24" s="190">
        <v>1434340.07</v>
      </c>
      <c r="G24" s="191">
        <v>1434340.07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22.5" customHeight="1">
      <c r="A25" s="174" t="s">
        <v>2859</v>
      </c>
      <c r="B25" s="174" t="s">
        <v>28</v>
      </c>
      <c r="C25" s="189">
        <v>2020.0</v>
      </c>
      <c r="D25" s="175" t="s">
        <v>2739</v>
      </c>
      <c r="E25" s="174" t="s">
        <v>2818</v>
      </c>
      <c r="F25" s="190">
        <v>1434340.07</v>
      </c>
      <c r="G25" s="191">
        <v>1434340.07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22.5" customHeight="1">
      <c r="A26" s="174" t="s">
        <v>2861</v>
      </c>
      <c r="B26" s="174" t="s">
        <v>28</v>
      </c>
      <c r="C26" s="189">
        <v>2020.0</v>
      </c>
      <c r="D26" s="175" t="s">
        <v>2541</v>
      </c>
      <c r="E26" s="174" t="s">
        <v>2818</v>
      </c>
      <c r="F26" s="190">
        <v>1434340.07</v>
      </c>
      <c r="G26" s="191">
        <v>1434340.07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22.5" customHeight="1">
      <c r="A27" s="174" t="s">
        <v>2862</v>
      </c>
      <c r="B27" s="174" t="s">
        <v>28</v>
      </c>
      <c r="C27" s="189">
        <v>2020.0</v>
      </c>
      <c r="D27" s="175" t="s">
        <v>2553</v>
      </c>
      <c r="E27" s="174" t="s">
        <v>2818</v>
      </c>
      <c r="F27" s="190">
        <v>1434340.07</v>
      </c>
      <c r="G27" s="191">
        <v>1434340.07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22.5" customHeight="1">
      <c r="A28" s="174" t="s">
        <v>2864</v>
      </c>
      <c r="B28" s="174" t="s">
        <v>28</v>
      </c>
      <c r="C28" s="189">
        <v>2020.0</v>
      </c>
      <c r="D28" s="175" t="s">
        <v>2573</v>
      </c>
      <c r="E28" s="174" t="s">
        <v>2818</v>
      </c>
      <c r="F28" s="190">
        <v>1434340.07</v>
      </c>
      <c r="G28" s="191">
        <v>1434340.07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22.5" customHeight="1">
      <c r="A29" s="174" t="s">
        <v>2866</v>
      </c>
      <c r="B29" s="174" t="s">
        <v>28</v>
      </c>
      <c r="C29" s="189">
        <v>2020.0</v>
      </c>
      <c r="D29" s="175" t="s">
        <v>2593</v>
      </c>
      <c r="E29" s="174" t="s">
        <v>2818</v>
      </c>
      <c r="F29" s="190">
        <v>1434340.07</v>
      </c>
      <c r="G29" s="191">
        <v>1434340.07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22.5" customHeight="1">
      <c r="A30" s="174" t="s">
        <v>2868</v>
      </c>
      <c r="B30" s="174" t="s">
        <v>28</v>
      </c>
      <c r="C30" s="189">
        <v>2020.0</v>
      </c>
      <c r="D30" s="175" t="s">
        <v>2616</v>
      </c>
      <c r="E30" s="174" t="s">
        <v>2818</v>
      </c>
      <c r="F30" s="190">
        <v>1434340.07</v>
      </c>
      <c r="G30" s="191">
        <v>1434340.07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22.5" customHeight="1">
      <c r="A31" s="174" t="s">
        <v>2869</v>
      </c>
      <c r="B31" s="174" t="s">
        <v>28</v>
      </c>
      <c r="C31" s="189">
        <v>2020.0</v>
      </c>
      <c r="D31" s="175" t="s">
        <v>2742</v>
      </c>
      <c r="E31" s="174" t="s">
        <v>2818</v>
      </c>
      <c r="F31" s="190">
        <v>1434340.07</v>
      </c>
      <c r="G31" s="191">
        <v>1434340.07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22.5" customHeight="1">
      <c r="A32" s="174" t="s">
        <v>2872</v>
      </c>
      <c r="B32" s="174" t="s">
        <v>28</v>
      </c>
      <c r="C32" s="189">
        <v>2020.0</v>
      </c>
      <c r="D32" s="175" t="s">
        <v>2496</v>
      </c>
      <c r="E32" s="174" t="s">
        <v>2818</v>
      </c>
      <c r="F32" s="190">
        <v>1434340.07</v>
      </c>
      <c r="G32" s="191">
        <v>1434340.07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22.5" customHeight="1">
      <c r="A33" s="174" t="s">
        <v>2877</v>
      </c>
      <c r="B33" s="174" t="s">
        <v>28</v>
      </c>
      <c r="C33" s="189">
        <v>2021.0</v>
      </c>
      <c r="D33" s="175" t="s">
        <v>2495</v>
      </c>
      <c r="E33" s="174" t="s">
        <v>2818</v>
      </c>
      <c r="F33" s="190">
        <v>1482103.81</v>
      </c>
      <c r="G33" s="191">
        <v>1482103.81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22.5" customHeight="1">
      <c r="A34" s="174" t="s">
        <v>2882</v>
      </c>
      <c r="B34" s="174" t="s">
        <v>28</v>
      </c>
      <c r="C34" s="189">
        <v>2021.0</v>
      </c>
      <c r="D34" s="175" t="s">
        <v>2834</v>
      </c>
      <c r="E34" s="174" t="s">
        <v>2818</v>
      </c>
      <c r="F34" s="190">
        <v>1482103.81</v>
      </c>
      <c r="G34" s="191">
        <v>1482103.81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22.5" customHeight="1">
      <c r="A35" s="174" t="s">
        <v>2887</v>
      </c>
      <c r="B35" s="174" t="s">
        <v>28</v>
      </c>
      <c r="C35" s="189">
        <v>2021.0</v>
      </c>
      <c r="D35" s="175" t="s">
        <v>2585</v>
      </c>
      <c r="E35" s="174" t="s">
        <v>2818</v>
      </c>
      <c r="F35" s="190">
        <v>1482103.81</v>
      </c>
      <c r="G35" s="191">
        <v>1482103.81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22.5" customHeight="1">
      <c r="A36" s="174" t="s">
        <v>2892</v>
      </c>
      <c r="B36" s="174" t="s">
        <v>28</v>
      </c>
      <c r="C36" s="189">
        <v>2021.0</v>
      </c>
      <c r="D36" s="175" t="s">
        <v>2594</v>
      </c>
      <c r="E36" s="174" t="s">
        <v>2818</v>
      </c>
      <c r="F36" s="190">
        <v>1482103.81</v>
      </c>
      <c r="G36" s="191">
        <v>1482103.81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22.5" customHeight="1">
      <c r="A37" s="174" t="s">
        <v>2897</v>
      </c>
      <c r="B37" s="174" t="s">
        <v>28</v>
      </c>
      <c r="C37" s="189">
        <v>2021.0</v>
      </c>
      <c r="D37" s="175" t="s">
        <v>2739</v>
      </c>
      <c r="E37" s="174" t="s">
        <v>2818</v>
      </c>
      <c r="F37" s="190">
        <v>1482103.81</v>
      </c>
      <c r="G37" s="191">
        <v>1482103.81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22.5" customHeight="1">
      <c r="A38" s="174" t="s">
        <v>2902</v>
      </c>
      <c r="B38" s="174" t="s">
        <v>28</v>
      </c>
      <c r="C38" s="189">
        <v>2021.0</v>
      </c>
      <c r="D38" s="175" t="s">
        <v>2541</v>
      </c>
      <c r="E38" s="174" t="s">
        <v>2818</v>
      </c>
      <c r="F38" s="190">
        <v>1482103.81</v>
      </c>
      <c r="G38" s="191">
        <v>1482103.81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22.5" customHeight="1">
      <c r="A39" s="174" t="s">
        <v>2905</v>
      </c>
      <c r="B39" s="174" t="s">
        <v>28</v>
      </c>
      <c r="C39" s="189">
        <v>2021.0</v>
      </c>
      <c r="D39" s="175" t="s">
        <v>2553</v>
      </c>
      <c r="E39" s="174" t="s">
        <v>2818</v>
      </c>
      <c r="F39" s="190">
        <v>1482103.81</v>
      </c>
      <c r="G39" s="191">
        <v>1482103.81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22.5" customHeight="1">
      <c r="A40" s="174" t="s">
        <v>2910</v>
      </c>
      <c r="B40" s="174" t="s">
        <v>28</v>
      </c>
      <c r="C40" s="189">
        <v>2021.0</v>
      </c>
      <c r="D40" s="175" t="s">
        <v>2573</v>
      </c>
      <c r="E40" s="174" t="s">
        <v>2818</v>
      </c>
      <c r="F40" s="190">
        <v>1482103.81</v>
      </c>
      <c r="G40" s="191">
        <v>1482103.81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22.5" customHeight="1">
      <c r="A41" s="174" t="s">
        <v>2915</v>
      </c>
      <c r="B41" s="174" t="s">
        <v>28</v>
      </c>
      <c r="C41" s="189">
        <v>2021.0</v>
      </c>
      <c r="D41" s="175" t="s">
        <v>2593</v>
      </c>
      <c r="E41" s="174" t="s">
        <v>2818</v>
      </c>
      <c r="F41" s="190">
        <v>1482103.81</v>
      </c>
      <c r="G41" s="191">
        <v>1482103.81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22.5" customHeight="1">
      <c r="A42" s="174" t="s">
        <v>2920</v>
      </c>
      <c r="B42" s="174" t="s">
        <v>28</v>
      </c>
      <c r="C42" s="189">
        <v>2021.0</v>
      </c>
      <c r="D42" s="175" t="s">
        <v>2616</v>
      </c>
      <c r="E42" s="174" t="s">
        <v>2818</v>
      </c>
      <c r="F42" s="190">
        <v>1482103.81</v>
      </c>
      <c r="G42" s="191">
        <v>1482103.81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22.5" customHeight="1">
      <c r="A43" s="174" t="s">
        <v>2922</v>
      </c>
      <c r="B43" s="174" t="s">
        <v>28</v>
      </c>
      <c r="C43" s="189">
        <v>2021.0</v>
      </c>
      <c r="D43" s="175" t="s">
        <v>2742</v>
      </c>
      <c r="E43" s="174" t="s">
        <v>2818</v>
      </c>
      <c r="F43" s="190">
        <v>1482103.81</v>
      </c>
      <c r="G43" s="191">
        <v>1482103.81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22.5" customHeight="1">
      <c r="A44" s="174" t="s">
        <v>2926</v>
      </c>
      <c r="B44" s="174" t="s">
        <v>28</v>
      </c>
      <c r="C44" s="189">
        <v>2021.0</v>
      </c>
      <c r="D44" s="175" t="s">
        <v>2496</v>
      </c>
      <c r="E44" s="174" t="s">
        <v>2818</v>
      </c>
      <c r="F44" s="190">
        <v>1482103.81</v>
      </c>
      <c r="G44" s="191">
        <v>1482103.81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22.5" customHeight="1">
      <c r="A45" s="174" t="s">
        <v>2928</v>
      </c>
      <c r="B45" s="174" t="s">
        <v>28</v>
      </c>
      <c r="C45" s="189">
        <v>2022.0</v>
      </c>
      <c r="D45" s="175" t="s">
        <v>2495</v>
      </c>
      <c r="E45" s="174" t="s">
        <v>2818</v>
      </c>
      <c r="F45" s="190">
        <v>1591316.21</v>
      </c>
      <c r="G45" s="191">
        <v>1591316.21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22.5" customHeight="1">
      <c r="A46" s="174" t="s">
        <v>2933</v>
      </c>
      <c r="B46" s="174" t="s">
        <v>28</v>
      </c>
      <c r="C46" s="189">
        <v>2022.0</v>
      </c>
      <c r="D46" s="175" t="s">
        <v>2834</v>
      </c>
      <c r="E46" s="174" t="s">
        <v>2818</v>
      </c>
      <c r="F46" s="190">
        <v>1591316.21</v>
      </c>
      <c r="G46" s="191">
        <v>1591316.21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22.5" customHeight="1">
      <c r="A47" s="174" t="s">
        <v>2937</v>
      </c>
      <c r="B47" s="174" t="s">
        <v>28</v>
      </c>
      <c r="C47" s="189">
        <v>2022.0</v>
      </c>
      <c r="D47" s="175" t="s">
        <v>2585</v>
      </c>
      <c r="E47" s="174" t="s">
        <v>2818</v>
      </c>
      <c r="F47" s="190">
        <v>1591316.21</v>
      </c>
      <c r="G47" s="191">
        <v>1591316.21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22.5" customHeight="1">
      <c r="A48" s="174" t="s">
        <v>2939</v>
      </c>
      <c r="B48" s="174" t="s">
        <v>28</v>
      </c>
      <c r="C48" s="189">
        <v>2022.0</v>
      </c>
      <c r="D48" s="175" t="s">
        <v>2594</v>
      </c>
      <c r="E48" s="174" t="s">
        <v>2818</v>
      </c>
      <c r="F48" s="190">
        <v>1591316.21</v>
      </c>
      <c r="G48" s="191">
        <v>1591316.21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22.5" customHeight="1">
      <c r="A49" s="174" t="s">
        <v>2943</v>
      </c>
      <c r="B49" s="174" t="s">
        <v>28</v>
      </c>
      <c r="C49" s="189">
        <v>2022.0</v>
      </c>
      <c r="D49" s="175" t="s">
        <v>2739</v>
      </c>
      <c r="E49" s="174" t="s">
        <v>2818</v>
      </c>
      <c r="F49" s="190">
        <v>1591316.21</v>
      </c>
      <c r="G49" s="191">
        <v>1591316.21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22.5" customHeight="1">
      <c r="A50" s="174" t="s">
        <v>2946</v>
      </c>
      <c r="B50" s="174" t="s">
        <v>28</v>
      </c>
      <c r="C50" s="189">
        <v>2022.0</v>
      </c>
      <c r="D50" s="175" t="s">
        <v>2541</v>
      </c>
      <c r="E50" s="174" t="s">
        <v>2818</v>
      </c>
      <c r="F50" s="190">
        <v>1591316.21</v>
      </c>
      <c r="G50" s="191">
        <v>1591316.21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22.5" customHeight="1">
      <c r="A51" s="174" t="s">
        <v>2950</v>
      </c>
      <c r="B51" s="174" t="s">
        <v>28</v>
      </c>
      <c r="C51" s="189">
        <v>2022.0</v>
      </c>
      <c r="D51" s="175" t="s">
        <v>2553</v>
      </c>
      <c r="E51" s="174" t="s">
        <v>2818</v>
      </c>
      <c r="F51" s="190">
        <v>1591316.21</v>
      </c>
      <c r="G51" s="191">
        <v>1591316.21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22.5" customHeight="1">
      <c r="A52" s="174" t="s">
        <v>2954</v>
      </c>
      <c r="B52" s="174" t="s">
        <v>28</v>
      </c>
      <c r="C52" s="189">
        <v>2022.0</v>
      </c>
      <c r="D52" s="175" t="s">
        <v>2573</v>
      </c>
      <c r="E52" s="174" t="s">
        <v>2818</v>
      </c>
      <c r="F52" s="190">
        <v>1591316.21</v>
      </c>
      <c r="G52" s="191">
        <v>1591316.21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22.5" customHeight="1">
      <c r="A53" s="174" t="s">
        <v>2956</v>
      </c>
      <c r="B53" s="174" t="s">
        <v>28</v>
      </c>
      <c r="C53" s="189">
        <v>2022.0</v>
      </c>
      <c r="D53" s="175" t="s">
        <v>2593</v>
      </c>
      <c r="E53" s="174" t="s">
        <v>2818</v>
      </c>
      <c r="F53" s="190">
        <v>1591316.21</v>
      </c>
      <c r="G53" s="191">
        <v>1591316.21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22.5" customHeight="1">
      <c r="A54" s="174" t="s">
        <v>2960</v>
      </c>
      <c r="B54" s="174" t="s">
        <v>28</v>
      </c>
      <c r="C54" s="189">
        <v>2022.0</v>
      </c>
      <c r="D54" s="175" t="s">
        <v>2616</v>
      </c>
      <c r="E54" s="174" t="s">
        <v>2818</v>
      </c>
      <c r="F54" s="190">
        <v>1591316.21</v>
      </c>
      <c r="G54" s="191">
        <v>1591316.21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22.5" customHeight="1">
      <c r="A55" s="174" t="s">
        <v>2964</v>
      </c>
      <c r="B55" s="174" t="s">
        <v>28</v>
      </c>
      <c r="C55" s="189">
        <v>2022.0</v>
      </c>
      <c r="D55" s="175" t="s">
        <v>2742</v>
      </c>
      <c r="E55" s="174" t="s">
        <v>2818</v>
      </c>
      <c r="F55" s="190">
        <v>1591316.21</v>
      </c>
      <c r="G55" s="191">
        <v>1591316.21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22.5" customHeight="1">
      <c r="A56" s="174" t="s">
        <v>2968</v>
      </c>
      <c r="B56" s="174" t="s">
        <v>28</v>
      </c>
      <c r="C56" s="189">
        <v>2022.0</v>
      </c>
      <c r="D56" s="175" t="s">
        <v>2496</v>
      </c>
      <c r="E56" s="174" t="s">
        <v>2818</v>
      </c>
      <c r="F56" s="190">
        <v>1591316.21</v>
      </c>
      <c r="G56" s="191">
        <v>1591316.21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22.5" customHeight="1">
      <c r="A57" s="174" t="s">
        <v>2971</v>
      </c>
      <c r="B57" s="174" t="s">
        <v>28</v>
      </c>
      <c r="C57" s="189">
        <v>2023.0</v>
      </c>
      <c r="D57" s="175" t="s">
        <v>2495</v>
      </c>
      <c r="E57" s="174" t="s">
        <v>2818</v>
      </c>
      <c r="F57" s="190">
        <v>1715271.78</v>
      </c>
      <c r="G57" s="191">
        <v>1715271.78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22.5" customHeight="1">
      <c r="A58" s="174" t="s">
        <v>2974</v>
      </c>
      <c r="B58" s="174" t="s">
        <v>28</v>
      </c>
      <c r="C58" s="189">
        <v>2023.0</v>
      </c>
      <c r="D58" s="175" t="s">
        <v>2834</v>
      </c>
      <c r="E58" s="174" t="s">
        <v>2818</v>
      </c>
      <c r="F58" s="190">
        <v>1715271.78</v>
      </c>
      <c r="G58" s="191">
        <v>1715271.78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22.5" customHeight="1">
      <c r="A59" s="174" t="s">
        <v>2979</v>
      </c>
      <c r="B59" s="174" t="s">
        <v>28</v>
      </c>
      <c r="C59" s="189">
        <v>2023.0</v>
      </c>
      <c r="D59" s="175" t="s">
        <v>2585</v>
      </c>
      <c r="E59" s="174" t="s">
        <v>2818</v>
      </c>
      <c r="F59" s="190">
        <v>1715271.78</v>
      </c>
      <c r="G59" s="191">
        <v>1715271.78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22.5" customHeight="1">
      <c r="A60" s="174" t="s">
        <v>2983</v>
      </c>
      <c r="B60" s="174" t="s">
        <v>28</v>
      </c>
      <c r="C60" s="189">
        <v>2023.0</v>
      </c>
      <c r="D60" s="175" t="s">
        <v>2594</v>
      </c>
      <c r="E60" s="174" t="s">
        <v>2818</v>
      </c>
      <c r="F60" s="190">
        <v>1715271.78</v>
      </c>
      <c r="G60" s="191">
        <v>1715271.78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22.5" customHeight="1">
      <c r="A61" s="174" t="s">
        <v>2988</v>
      </c>
      <c r="B61" s="174" t="s">
        <v>28</v>
      </c>
      <c r="C61" s="189">
        <v>2023.0</v>
      </c>
      <c r="D61" s="175" t="s">
        <v>2739</v>
      </c>
      <c r="E61" s="174" t="s">
        <v>2818</v>
      </c>
      <c r="F61" s="190">
        <v>1217289.65</v>
      </c>
      <c r="G61" s="191">
        <v>1217289.65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22.5" customHeight="1">
      <c r="A62" s="174" t="s">
        <v>2990</v>
      </c>
      <c r="B62" s="174" t="s">
        <v>67</v>
      </c>
      <c r="C62" s="189">
        <v>2018.0</v>
      </c>
      <c r="D62" s="175" t="s">
        <v>2541</v>
      </c>
      <c r="E62" s="174" t="s">
        <v>2818</v>
      </c>
      <c r="F62" s="190">
        <v>135478.28</v>
      </c>
      <c r="G62" s="191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22.5" customHeight="1">
      <c r="A63" s="174" t="s">
        <v>2995</v>
      </c>
      <c r="B63" s="174" t="s">
        <v>67</v>
      </c>
      <c r="C63" s="189">
        <v>2018.0</v>
      </c>
      <c r="D63" s="175" t="s">
        <v>2553</v>
      </c>
      <c r="E63" s="174" t="s">
        <v>2818</v>
      </c>
      <c r="F63" s="190">
        <v>1016087.11</v>
      </c>
      <c r="G63" s="191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22.5" customHeight="1">
      <c r="A64" s="174" t="s">
        <v>2997</v>
      </c>
      <c r="B64" s="174" t="s">
        <v>67</v>
      </c>
      <c r="C64" s="189">
        <v>2018.0</v>
      </c>
      <c r="D64" s="175" t="s">
        <v>2573</v>
      </c>
      <c r="E64" s="174" t="s">
        <v>2818</v>
      </c>
      <c r="F64" s="190">
        <v>1016087.11</v>
      </c>
      <c r="G64" s="191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22.5" customHeight="1">
      <c r="A65" s="174" t="s">
        <v>2999</v>
      </c>
      <c r="B65" s="174" t="s">
        <v>67</v>
      </c>
      <c r="C65" s="189">
        <v>2018.0</v>
      </c>
      <c r="D65" s="175" t="s">
        <v>2593</v>
      </c>
      <c r="E65" s="174" t="s">
        <v>2818</v>
      </c>
      <c r="F65" s="190">
        <v>1016087.11</v>
      </c>
      <c r="G65" s="191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22.5" customHeight="1">
      <c r="A66" s="174" t="s">
        <v>3000</v>
      </c>
      <c r="B66" s="174" t="s">
        <v>67</v>
      </c>
      <c r="C66" s="189">
        <v>2018.0</v>
      </c>
      <c r="D66" s="175" t="s">
        <v>2616</v>
      </c>
      <c r="E66" s="174" t="s">
        <v>2818</v>
      </c>
      <c r="F66" s="190">
        <v>1016087.11</v>
      </c>
      <c r="G66" s="191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22.5" customHeight="1">
      <c r="A67" s="174" t="s">
        <v>3002</v>
      </c>
      <c r="B67" s="174" t="s">
        <v>67</v>
      </c>
      <c r="C67" s="189">
        <v>2018.0</v>
      </c>
      <c r="D67" s="175" t="s">
        <v>2742</v>
      </c>
      <c r="E67" s="174" t="s">
        <v>2818</v>
      </c>
      <c r="F67" s="190">
        <v>1016087.11</v>
      </c>
      <c r="G67" s="191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22.5" customHeight="1">
      <c r="A68" s="174" t="s">
        <v>3004</v>
      </c>
      <c r="B68" s="174" t="s">
        <v>67</v>
      </c>
      <c r="C68" s="189">
        <v>2018.0</v>
      </c>
      <c r="D68" s="175" t="s">
        <v>2496</v>
      </c>
      <c r="E68" s="174" t="s">
        <v>2818</v>
      </c>
      <c r="F68" s="190">
        <v>1016087.11</v>
      </c>
      <c r="G68" s="191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22.5" customHeight="1">
      <c r="A69" s="174" t="s">
        <v>3006</v>
      </c>
      <c r="B69" s="174" t="s">
        <v>67</v>
      </c>
      <c r="C69" s="189">
        <v>2019.0</v>
      </c>
      <c r="D69" s="175" t="s">
        <v>2495</v>
      </c>
      <c r="E69" s="174" t="s">
        <v>2818</v>
      </c>
      <c r="F69" s="190">
        <v>1064046.18</v>
      </c>
      <c r="G69" s="191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22.5" customHeight="1">
      <c r="A70" s="174" t="s">
        <v>3008</v>
      </c>
      <c r="B70" s="174" t="s">
        <v>67</v>
      </c>
      <c r="C70" s="189">
        <v>2019.0</v>
      </c>
      <c r="D70" s="175" t="s">
        <v>2834</v>
      </c>
      <c r="E70" s="174" t="s">
        <v>2818</v>
      </c>
      <c r="F70" s="190">
        <v>1064046.18</v>
      </c>
      <c r="G70" s="191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22.5" customHeight="1">
      <c r="A71" s="174" t="s">
        <v>3010</v>
      </c>
      <c r="B71" s="174" t="s">
        <v>67</v>
      </c>
      <c r="C71" s="189">
        <v>2019.0</v>
      </c>
      <c r="D71" s="175" t="s">
        <v>2585</v>
      </c>
      <c r="E71" s="174" t="s">
        <v>2818</v>
      </c>
      <c r="F71" s="190">
        <v>1064046.18</v>
      </c>
      <c r="G71" s="191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22.5" customHeight="1">
      <c r="A72" s="174" t="s">
        <v>3012</v>
      </c>
      <c r="B72" s="174" t="s">
        <v>67</v>
      </c>
      <c r="C72" s="189">
        <v>2019.0</v>
      </c>
      <c r="D72" s="175" t="s">
        <v>2594</v>
      </c>
      <c r="E72" s="174" t="s">
        <v>2818</v>
      </c>
      <c r="F72" s="190">
        <v>1064046.18</v>
      </c>
      <c r="G72" s="191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22.5" customHeight="1">
      <c r="A73" s="174" t="s">
        <v>3013</v>
      </c>
      <c r="B73" s="174" t="s">
        <v>67</v>
      </c>
      <c r="C73" s="189">
        <v>2019.0</v>
      </c>
      <c r="D73" s="175" t="s">
        <v>2739</v>
      </c>
      <c r="E73" s="174" t="s">
        <v>2818</v>
      </c>
      <c r="F73" s="190">
        <v>1064046.18</v>
      </c>
      <c r="G73" s="191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22.5" customHeight="1">
      <c r="A74" s="174" t="s">
        <v>3015</v>
      </c>
      <c r="B74" s="174" t="s">
        <v>67</v>
      </c>
      <c r="C74" s="189">
        <v>2019.0</v>
      </c>
      <c r="D74" s="175" t="s">
        <v>2541</v>
      </c>
      <c r="E74" s="174" t="s">
        <v>2818</v>
      </c>
      <c r="F74" s="190">
        <v>1064046.18</v>
      </c>
      <c r="G74" s="191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22.5" customHeight="1">
      <c r="A75" s="174" t="s">
        <v>3017</v>
      </c>
      <c r="B75" s="174" t="s">
        <v>67</v>
      </c>
      <c r="C75" s="189">
        <v>2019.0</v>
      </c>
      <c r="D75" s="175" t="s">
        <v>2553</v>
      </c>
      <c r="E75" s="174" t="s">
        <v>2818</v>
      </c>
      <c r="F75" s="190">
        <v>1064046.18</v>
      </c>
      <c r="G75" s="191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22.5" customHeight="1">
      <c r="A76" s="174" t="s">
        <v>3019</v>
      </c>
      <c r="B76" s="174" t="s">
        <v>67</v>
      </c>
      <c r="C76" s="189">
        <v>2019.0</v>
      </c>
      <c r="D76" s="175" t="s">
        <v>2573</v>
      </c>
      <c r="E76" s="174" t="s">
        <v>2818</v>
      </c>
      <c r="F76" s="190">
        <v>1064046.18</v>
      </c>
      <c r="G76" s="191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22.5" customHeight="1">
      <c r="A77" s="174" t="s">
        <v>3020</v>
      </c>
      <c r="B77" s="174" t="s">
        <v>67</v>
      </c>
      <c r="C77" s="189">
        <v>2019.0</v>
      </c>
      <c r="D77" s="175" t="s">
        <v>2593</v>
      </c>
      <c r="E77" s="174" t="s">
        <v>2818</v>
      </c>
      <c r="F77" s="190">
        <v>1064046.18</v>
      </c>
      <c r="G77" s="191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22.5" customHeight="1">
      <c r="A78" s="174" t="s">
        <v>3022</v>
      </c>
      <c r="B78" s="174" t="s">
        <v>67</v>
      </c>
      <c r="C78" s="189">
        <v>2019.0</v>
      </c>
      <c r="D78" s="175" t="s">
        <v>2616</v>
      </c>
      <c r="E78" s="174" t="s">
        <v>2818</v>
      </c>
      <c r="F78" s="190">
        <v>1064046.18</v>
      </c>
      <c r="G78" s="191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22.5" customHeight="1">
      <c r="A79" s="174" t="s">
        <v>3023</v>
      </c>
      <c r="B79" s="174" t="s">
        <v>67</v>
      </c>
      <c r="C79" s="189">
        <v>2019.0</v>
      </c>
      <c r="D79" s="175" t="s">
        <v>2742</v>
      </c>
      <c r="E79" s="174" t="s">
        <v>2818</v>
      </c>
      <c r="F79" s="190">
        <v>1064046.18</v>
      </c>
      <c r="G79" s="191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22.5" customHeight="1">
      <c r="A80" s="174" t="s">
        <v>3025</v>
      </c>
      <c r="B80" s="174" t="s">
        <v>67</v>
      </c>
      <c r="C80" s="189">
        <v>2019.0</v>
      </c>
      <c r="D80" s="175" t="s">
        <v>2496</v>
      </c>
      <c r="E80" s="174" t="s">
        <v>2818</v>
      </c>
      <c r="F80" s="190">
        <v>1064046.18</v>
      </c>
      <c r="G80" s="191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22.5" customHeight="1">
      <c r="A81" s="174" t="s">
        <v>3027</v>
      </c>
      <c r="B81" s="174" t="s">
        <v>67</v>
      </c>
      <c r="C81" s="189">
        <v>2020.0</v>
      </c>
      <c r="D81" s="175" t="s">
        <v>2495</v>
      </c>
      <c r="E81" s="174" t="s">
        <v>2818</v>
      </c>
      <c r="F81" s="190">
        <v>1095650.04</v>
      </c>
      <c r="G81" s="191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22.5" customHeight="1">
      <c r="A82" s="174" t="s">
        <v>3029</v>
      </c>
      <c r="B82" s="174" t="s">
        <v>67</v>
      </c>
      <c r="C82" s="189">
        <v>2020.0</v>
      </c>
      <c r="D82" s="175" t="s">
        <v>2834</v>
      </c>
      <c r="E82" s="174" t="s">
        <v>2818</v>
      </c>
      <c r="F82" s="190">
        <v>1095650.04</v>
      </c>
      <c r="G82" s="191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22.5" customHeight="1">
      <c r="A83" s="174" t="s">
        <v>3031</v>
      </c>
      <c r="B83" s="174" t="s">
        <v>67</v>
      </c>
      <c r="C83" s="189">
        <v>2020.0</v>
      </c>
      <c r="D83" s="175" t="s">
        <v>2585</v>
      </c>
      <c r="E83" s="174" t="s">
        <v>2818</v>
      </c>
      <c r="F83" s="190">
        <v>1095650.04</v>
      </c>
      <c r="G83" s="191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22.5" customHeight="1">
      <c r="A84" s="174" t="s">
        <v>3033</v>
      </c>
      <c r="B84" s="174" t="s">
        <v>67</v>
      </c>
      <c r="C84" s="189">
        <v>2020.0</v>
      </c>
      <c r="D84" s="175" t="s">
        <v>2594</v>
      </c>
      <c r="E84" s="174" t="s">
        <v>2818</v>
      </c>
      <c r="F84" s="190">
        <v>1095650.04</v>
      </c>
      <c r="G84" s="191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22.5" customHeight="1">
      <c r="A85" s="174" t="s">
        <v>3035</v>
      </c>
      <c r="B85" s="174" t="s">
        <v>67</v>
      </c>
      <c r="C85" s="189">
        <v>2020.0</v>
      </c>
      <c r="D85" s="175" t="s">
        <v>2739</v>
      </c>
      <c r="E85" s="174" t="s">
        <v>2818</v>
      </c>
      <c r="F85" s="190">
        <v>1095650.04</v>
      </c>
      <c r="G85" s="191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22.5" customHeight="1">
      <c r="A86" s="174" t="s">
        <v>3037</v>
      </c>
      <c r="B86" s="174" t="s">
        <v>67</v>
      </c>
      <c r="C86" s="189">
        <v>2020.0</v>
      </c>
      <c r="D86" s="175" t="s">
        <v>2541</v>
      </c>
      <c r="E86" s="174" t="s">
        <v>2818</v>
      </c>
      <c r="F86" s="190">
        <v>1095650.04</v>
      </c>
      <c r="G86" s="191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22.5" customHeight="1">
      <c r="A87" s="174" t="s">
        <v>3038</v>
      </c>
      <c r="B87" s="174" t="s">
        <v>67</v>
      </c>
      <c r="C87" s="189">
        <v>2020.0</v>
      </c>
      <c r="D87" s="175" t="s">
        <v>2553</v>
      </c>
      <c r="E87" s="174" t="s">
        <v>2818</v>
      </c>
      <c r="F87" s="190">
        <v>1095650.04</v>
      </c>
      <c r="G87" s="191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22.5" customHeight="1">
      <c r="A88" s="174" t="s">
        <v>3040</v>
      </c>
      <c r="B88" s="174" t="s">
        <v>67</v>
      </c>
      <c r="C88" s="189">
        <v>2020.0</v>
      </c>
      <c r="D88" s="175" t="s">
        <v>2573</v>
      </c>
      <c r="E88" s="174" t="s">
        <v>2818</v>
      </c>
      <c r="F88" s="190">
        <v>1095650.04</v>
      </c>
      <c r="G88" s="191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22.5" customHeight="1">
      <c r="A89" s="174" t="s">
        <v>3042</v>
      </c>
      <c r="B89" s="174" t="s">
        <v>67</v>
      </c>
      <c r="C89" s="189">
        <v>2020.0</v>
      </c>
      <c r="D89" s="175" t="s">
        <v>2593</v>
      </c>
      <c r="E89" s="174" t="s">
        <v>2818</v>
      </c>
      <c r="F89" s="190">
        <v>1095650.04</v>
      </c>
      <c r="G89" s="191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22.5" customHeight="1">
      <c r="A90" s="174" t="s">
        <v>3043</v>
      </c>
      <c r="B90" s="174" t="s">
        <v>67</v>
      </c>
      <c r="C90" s="189">
        <v>2020.0</v>
      </c>
      <c r="D90" s="175" t="s">
        <v>2616</v>
      </c>
      <c r="E90" s="174" t="s">
        <v>2818</v>
      </c>
      <c r="F90" s="190">
        <v>1095650.04</v>
      </c>
      <c r="G90" s="191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22.5" customHeight="1">
      <c r="A91" s="174" t="s">
        <v>3045</v>
      </c>
      <c r="B91" s="174" t="s">
        <v>67</v>
      </c>
      <c r="C91" s="189">
        <v>2020.0</v>
      </c>
      <c r="D91" s="175" t="s">
        <v>2742</v>
      </c>
      <c r="E91" s="174" t="s">
        <v>2818</v>
      </c>
      <c r="F91" s="190">
        <v>1095650.04</v>
      </c>
      <c r="G91" s="191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22.5" customHeight="1">
      <c r="A92" s="174" t="s">
        <v>3047</v>
      </c>
      <c r="B92" s="174" t="s">
        <v>67</v>
      </c>
      <c r="C92" s="189">
        <v>2020.0</v>
      </c>
      <c r="D92" s="175" t="s">
        <v>2496</v>
      </c>
      <c r="E92" s="174" t="s">
        <v>2818</v>
      </c>
      <c r="F92" s="190">
        <v>1095650.04</v>
      </c>
      <c r="G92" s="191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22.5" customHeight="1">
      <c r="A93" s="174" t="s">
        <v>3049</v>
      </c>
      <c r="B93" s="174" t="s">
        <v>67</v>
      </c>
      <c r="C93" s="189">
        <v>2021.0</v>
      </c>
      <c r="D93" s="175" t="s">
        <v>2495</v>
      </c>
      <c r="E93" s="174" t="s">
        <v>2818</v>
      </c>
      <c r="F93" s="190">
        <v>1132135.34</v>
      </c>
      <c r="G93" s="191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22.5" customHeight="1">
      <c r="A94" s="174" t="s">
        <v>3050</v>
      </c>
      <c r="B94" s="174" t="s">
        <v>67</v>
      </c>
      <c r="C94" s="189">
        <v>2021.0</v>
      </c>
      <c r="D94" s="175" t="s">
        <v>2834</v>
      </c>
      <c r="E94" s="174" t="s">
        <v>2818</v>
      </c>
      <c r="F94" s="190">
        <v>1132135.34</v>
      </c>
      <c r="G94" s="191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22.5" customHeight="1">
      <c r="A95" s="174" t="s">
        <v>3053</v>
      </c>
      <c r="B95" s="174" t="s">
        <v>67</v>
      </c>
      <c r="C95" s="189">
        <v>2021.0</v>
      </c>
      <c r="D95" s="175" t="s">
        <v>2585</v>
      </c>
      <c r="E95" s="174" t="s">
        <v>2818</v>
      </c>
      <c r="F95" s="190">
        <v>1132135.34</v>
      </c>
      <c r="G95" s="191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22.5" customHeight="1">
      <c r="A96" s="174" t="s">
        <v>3054</v>
      </c>
      <c r="B96" s="174" t="s">
        <v>67</v>
      </c>
      <c r="C96" s="189">
        <v>2021.0</v>
      </c>
      <c r="D96" s="175" t="s">
        <v>2594</v>
      </c>
      <c r="E96" s="174" t="s">
        <v>2818</v>
      </c>
      <c r="F96" s="190">
        <v>1132135.34</v>
      </c>
      <c r="G96" s="191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22.5" customHeight="1">
      <c r="A97" s="174" t="s">
        <v>3056</v>
      </c>
      <c r="B97" s="174" t="s">
        <v>67</v>
      </c>
      <c r="C97" s="189">
        <v>2021.0</v>
      </c>
      <c r="D97" s="175" t="s">
        <v>2739</v>
      </c>
      <c r="E97" s="174" t="s">
        <v>2818</v>
      </c>
      <c r="F97" s="190">
        <v>1132135.34</v>
      </c>
      <c r="G97" s="191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22.5" customHeight="1">
      <c r="A98" s="174" t="s">
        <v>3058</v>
      </c>
      <c r="B98" s="174" t="s">
        <v>67</v>
      </c>
      <c r="C98" s="189">
        <v>2021.0</v>
      </c>
      <c r="D98" s="175" t="s">
        <v>2541</v>
      </c>
      <c r="E98" s="174" t="s">
        <v>2818</v>
      </c>
      <c r="F98" s="190">
        <v>1132135.34</v>
      </c>
      <c r="G98" s="191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22.5" customHeight="1">
      <c r="A99" s="174" t="s">
        <v>3060</v>
      </c>
      <c r="B99" s="174" t="s">
        <v>67</v>
      </c>
      <c r="C99" s="189">
        <v>2021.0</v>
      </c>
      <c r="D99" s="175" t="s">
        <v>2553</v>
      </c>
      <c r="E99" s="174" t="s">
        <v>2818</v>
      </c>
      <c r="F99" s="190">
        <v>1132135.34</v>
      </c>
      <c r="G99" s="191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22.5" customHeight="1">
      <c r="A100" s="174" t="s">
        <v>3062</v>
      </c>
      <c r="B100" s="174" t="s">
        <v>67</v>
      </c>
      <c r="C100" s="189">
        <v>2021.0</v>
      </c>
      <c r="D100" s="175" t="s">
        <v>2573</v>
      </c>
      <c r="E100" s="174" t="s">
        <v>2818</v>
      </c>
      <c r="F100" s="190">
        <v>1132135.34</v>
      </c>
      <c r="G100" s="191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22.5" customHeight="1">
      <c r="A101" s="174" t="s">
        <v>3064</v>
      </c>
      <c r="B101" s="174" t="s">
        <v>67</v>
      </c>
      <c r="C101" s="189">
        <v>2021.0</v>
      </c>
      <c r="D101" s="175" t="s">
        <v>2593</v>
      </c>
      <c r="E101" s="174" t="s">
        <v>2818</v>
      </c>
      <c r="F101" s="190">
        <v>1132135.34</v>
      </c>
      <c r="G101" s="191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22.5" customHeight="1">
      <c r="A102" s="174" t="s">
        <v>3066</v>
      </c>
      <c r="B102" s="174" t="s">
        <v>67</v>
      </c>
      <c r="C102" s="189">
        <v>2021.0</v>
      </c>
      <c r="D102" s="175" t="s">
        <v>2616</v>
      </c>
      <c r="E102" s="174" t="s">
        <v>2818</v>
      </c>
      <c r="F102" s="190">
        <v>1132135.34</v>
      </c>
      <c r="G102" s="191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22.5" customHeight="1">
      <c r="A103" s="174" t="s">
        <v>3068</v>
      </c>
      <c r="B103" s="174" t="s">
        <v>67</v>
      </c>
      <c r="C103" s="189">
        <v>2021.0</v>
      </c>
      <c r="D103" s="175" t="s">
        <v>2742</v>
      </c>
      <c r="E103" s="174" t="s">
        <v>2818</v>
      </c>
      <c r="F103" s="190">
        <v>1132135.34</v>
      </c>
      <c r="G103" s="191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22.5" customHeight="1">
      <c r="A104" s="174" t="s">
        <v>3070</v>
      </c>
      <c r="B104" s="174" t="s">
        <v>67</v>
      </c>
      <c r="C104" s="189">
        <v>2021.0</v>
      </c>
      <c r="D104" s="175" t="s">
        <v>2496</v>
      </c>
      <c r="E104" s="174" t="s">
        <v>2818</v>
      </c>
      <c r="F104" s="190">
        <v>1132135.34</v>
      </c>
      <c r="G104" s="191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22.5" customHeight="1">
      <c r="A105" s="174" t="s">
        <v>3072</v>
      </c>
      <c r="B105" s="174" t="s">
        <v>67</v>
      </c>
      <c r="C105" s="189">
        <v>2022.0</v>
      </c>
      <c r="D105" s="175" t="s">
        <v>2495</v>
      </c>
      <c r="E105" s="174" t="s">
        <v>2818</v>
      </c>
      <c r="F105" s="190">
        <v>1215559.48</v>
      </c>
      <c r="G105" s="191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22.5" customHeight="1">
      <c r="A106" s="174" t="s">
        <v>3074</v>
      </c>
      <c r="B106" s="174" t="s">
        <v>67</v>
      </c>
      <c r="C106" s="189">
        <v>2022.0</v>
      </c>
      <c r="D106" s="175" t="s">
        <v>2834</v>
      </c>
      <c r="E106" s="174" t="s">
        <v>2818</v>
      </c>
      <c r="F106" s="190">
        <v>1215559.48</v>
      </c>
      <c r="G106" s="191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22.5" customHeight="1">
      <c r="A107" s="174" t="s">
        <v>3076</v>
      </c>
      <c r="B107" s="174" t="s">
        <v>67</v>
      </c>
      <c r="C107" s="189">
        <v>2022.0</v>
      </c>
      <c r="D107" s="175" t="s">
        <v>2585</v>
      </c>
      <c r="E107" s="174" t="s">
        <v>2818</v>
      </c>
      <c r="F107" s="190">
        <v>1215559.48</v>
      </c>
      <c r="G107" s="191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22.5" customHeight="1">
      <c r="A108" s="174" t="s">
        <v>3078</v>
      </c>
      <c r="B108" s="174" t="s">
        <v>67</v>
      </c>
      <c r="C108" s="189">
        <v>2022.0</v>
      </c>
      <c r="D108" s="175" t="s">
        <v>2594</v>
      </c>
      <c r="E108" s="174" t="s">
        <v>2818</v>
      </c>
      <c r="F108" s="190">
        <v>1215559.48</v>
      </c>
      <c r="G108" s="191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22.5" customHeight="1">
      <c r="A109" s="174" t="s">
        <v>3080</v>
      </c>
      <c r="B109" s="174" t="s">
        <v>67</v>
      </c>
      <c r="C109" s="189">
        <v>2022.0</v>
      </c>
      <c r="D109" s="175" t="s">
        <v>2739</v>
      </c>
      <c r="E109" s="174" t="s">
        <v>2818</v>
      </c>
      <c r="F109" s="190">
        <v>1215559.48</v>
      </c>
      <c r="G109" s="191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22.5" customHeight="1">
      <c r="A110" s="174" t="s">
        <v>3082</v>
      </c>
      <c r="B110" s="174" t="s">
        <v>67</v>
      </c>
      <c r="C110" s="189">
        <v>2022.0</v>
      </c>
      <c r="D110" s="175" t="s">
        <v>2541</v>
      </c>
      <c r="E110" s="174" t="s">
        <v>2818</v>
      </c>
      <c r="F110" s="190">
        <v>1215559.48</v>
      </c>
      <c r="G110" s="191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22.5" customHeight="1">
      <c r="A111" s="174" t="s">
        <v>3083</v>
      </c>
      <c r="B111" s="174" t="s">
        <v>67</v>
      </c>
      <c r="C111" s="189">
        <v>2022.0</v>
      </c>
      <c r="D111" s="175" t="s">
        <v>2553</v>
      </c>
      <c r="E111" s="174" t="s">
        <v>2818</v>
      </c>
      <c r="F111" s="190">
        <v>1215559.48</v>
      </c>
      <c r="G111" s="191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22.5" customHeight="1">
      <c r="A112" s="174" t="s">
        <v>3085</v>
      </c>
      <c r="B112" s="174" t="s">
        <v>67</v>
      </c>
      <c r="C112" s="189">
        <v>2022.0</v>
      </c>
      <c r="D112" s="175" t="s">
        <v>2573</v>
      </c>
      <c r="E112" s="174" t="s">
        <v>2818</v>
      </c>
      <c r="F112" s="190">
        <v>1215559.48</v>
      </c>
      <c r="G112" s="191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22.5" customHeight="1">
      <c r="A113" s="174" t="s">
        <v>3087</v>
      </c>
      <c r="B113" s="174" t="s">
        <v>67</v>
      </c>
      <c r="C113" s="189">
        <v>2022.0</v>
      </c>
      <c r="D113" s="175" t="s">
        <v>2593</v>
      </c>
      <c r="E113" s="174" t="s">
        <v>2818</v>
      </c>
      <c r="F113" s="190">
        <v>1215559.48</v>
      </c>
      <c r="G113" s="191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22.5" customHeight="1">
      <c r="A114" s="174" t="s">
        <v>3088</v>
      </c>
      <c r="B114" s="174" t="s">
        <v>67</v>
      </c>
      <c r="C114" s="189">
        <v>2022.0</v>
      </c>
      <c r="D114" s="175" t="s">
        <v>2616</v>
      </c>
      <c r="E114" s="174" t="s">
        <v>2818</v>
      </c>
      <c r="F114" s="190">
        <v>1215559.48</v>
      </c>
      <c r="G114" s="191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22.5" customHeight="1">
      <c r="A115" s="174" t="s">
        <v>3090</v>
      </c>
      <c r="B115" s="174" t="s">
        <v>67</v>
      </c>
      <c r="C115" s="189">
        <v>2022.0</v>
      </c>
      <c r="D115" s="175" t="s">
        <v>2742</v>
      </c>
      <c r="E115" s="174" t="s">
        <v>2818</v>
      </c>
      <c r="F115" s="190">
        <v>1215559.48</v>
      </c>
      <c r="G115" s="191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22.5" customHeight="1">
      <c r="A116" s="174" t="s">
        <v>3091</v>
      </c>
      <c r="B116" s="174" t="s">
        <v>67</v>
      </c>
      <c r="C116" s="189">
        <v>2022.0</v>
      </c>
      <c r="D116" s="175" t="s">
        <v>2496</v>
      </c>
      <c r="E116" s="174" t="s">
        <v>2818</v>
      </c>
      <c r="F116" s="190">
        <v>1215559.48</v>
      </c>
      <c r="G116" s="191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22.5" customHeight="1">
      <c r="A117" s="174" t="s">
        <v>3093</v>
      </c>
      <c r="B117" s="174" t="s">
        <v>67</v>
      </c>
      <c r="C117" s="189">
        <v>2023.0</v>
      </c>
      <c r="D117" s="175" t="s">
        <v>2495</v>
      </c>
      <c r="E117" s="174" t="s">
        <v>2818</v>
      </c>
      <c r="F117" s="190">
        <v>1310245.47</v>
      </c>
      <c r="G117" s="191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22.5" customHeight="1">
      <c r="A118" s="174" t="s">
        <v>3095</v>
      </c>
      <c r="B118" s="174" t="s">
        <v>67</v>
      </c>
      <c r="C118" s="189">
        <v>2023.0</v>
      </c>
      <c r="D118" s="175" t="s">
        <v>2834</v>
      </c>
      <c r="E118" s="174" t="s">
        <v>2818</v>
      </c>
      <c r="F118" s="190">
        <v>1310245.47</v>
      </c>
      <c r="G118" s="191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22.5" customHeight="1">
      <c r="A119" s="174" t="s">
        <v>3097</v>
      </c>
      <c r="B119" s="174" t="s">
        <v>67</v>
      </c>
      <c r="C119" s="189">
        <v>2023.0</v>
      </c>
      <c r="D119" s="175" t="s">
        <v>2585</v>
      </c>
      <c r="E119" s="174" t="s">
        <v>2818</v>
      </c>
      <c r="F119" s="190">
        <v>1310245.47</v>
      </c>
      <c r="G119" s="191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22.5" customHeight="1">
      <c r="A120" s="174" t="s">
        <v>3099</v>
      </c>
      <c r="B120" s="174" t="s">
        <v>67</v>
      </c>
      <c r="C120" s="189">
        <v>2023.0</v>
      </c>
      <c r="D120" s="175" t="s">
        <v>2594</v>
      </c>
      <c r="E120" s="174" t="s">
        <v>2818</v>
      </c>
      <c r="F120" s="190">
        <v>1310245.47</v>
      </c>
      <c r="G120" s="191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22.5" customHeight="1">
      <c r="A121" s="174" t="s">
        <v>3101</v>
      </c>
      <c r="B121" s="174" t="s">
        <v>67</v>
      </c>
      <c r="C121" s="189">
        <v>2023.0</v>
      </c>
      <c r="D121" s="175" t="s">
        <v>2739</v>
      </c>
      <c r="E121" s="174" t="s">
        <v>2818</v>
      </c>
      <c r="F121" s="190">
        <v>1310245.47</v>
      </c>
      <c r="G121" s="191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22.5" customHeight="1">
      <c r="A122" s="174" t="s">
        <v>3103</v>
      </c>
      <c r="B122" s="174" t="s">
        <v>67</v>
      </c>
      <c r="C122" s="189">
        <v>2023.0</v>
      </c>
      <c r="D122" s="175" t="s">
        <v>2541</v>
      </c>
      <c r="E122" s="174" t="s">
        <v>2818</v>
      </c>
      <c r="F122" s="190">
        <v>3133223.68</v>
      </c>
      <c r="G122" s="191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22.5" customHeight="1">
      <c r="A123" s="174" t="s">
        <v>3105</v>
      </c>
      <c r="B123" s="174" t="s">
        <v>67</v>
      </c>
      <c r="C123" s="189">
        <v>2023.0</v>
      </c>
      <c r="D123" s="175" t="s">
        <v>2553</v>
      </c>
      <c r="E123" s="174" t="s">
        <v>2818</v>
      </c>
      <c r="F123" s="190">
        <v>3133223.68</v>
      </c>
      <c r="G123" s="191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22.5" customHeight="1">
      <c r="A124" s="174" t="s">
        <v>3106</v>
      </c>
      <c r="B124" s="174" t="s">
        <v>67</v>
      </c>
      <c r="C124" s="189">
        <v>2023.0</v>
      </c>
      <c r="D124" s="175" t="s">
        <v>2573</v>
      </c>
      <c r="E124" s="174" t="s">
        <v>2818</v>
      </c>
      <c r="F124" s="190">
        <v>3133223.68</v>
      </c>
      <c r="G124" s="191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22.5" customHeight="1">
      <c r="A125" s="174" t="s">
        <v>3108</v>
      </c>
      <c r="B125" s="174" t="s">
        <v>67</v>
      </c>
      <c r="C125" s="189">
        <v>2023.0</v>
      </c>
      <c r="D125" s="175" t="s">
        <v>2593</v>
      </c>
      <c r="E125" s="174" t="s">
        <v>2818</v>
      </c>
      <c r="F125" s="190">
        <v>3133223.68</v>
      </c>
      <c r="G125" s="191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22.5" customHeight="1">
      <c r="A126" s="174" t="s">
        <v>3110</v>
      </c>
      <c r="B126" s="174" t="s">
        <v>67</v>
      </c>
      <c r="C126" s="189">
        <v>2023.0</v>
      </c>
      <c r="D126" s="175" t="s">
        <v>2616</v>
      </c>
      <c r="E126" s="174" t="s">
        <v>2818</v>
      </c>
      <c r="F126" s="190">
        <v>3133223.68</v>
      </c>
      <c r="G126" s="191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22.5" customHeight="1">
      <c r="A127" s="174" t="s">
        <v>3112</v>
      </c>
      <c r="B127" s="174" t="s">
        <v>67</v>
      </c>
      <c r="C127" s="189">
        <v>2023.0</v>
      </c>
      <c r="D127" s="175" t="s">
        <v>2742</v>
      </c>
      <c r="E127" s="174" t="s">
        <v>2818</v>
      </c>
      <c r="F127" s="190">
        <v>3133223.68</v>
      </c>
      <c r="G127" s="191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22.5" customHeight="1">
      <c r="A128" s="174" t="s">
        <v>3114</v>
      </c>
      <c r="B128" s="174" t="s">
        <v>67</v>
      </c>
      <c r="C128" s="189">
        <v>2023.0</v>
      </c>
      <c r="D128" s="175" t="s">
        <v>2496</v>
      </c>
      <c r="E128" s="174" t="s">
        <v>2818</v>
      </c>
      <c r="F128" s="190">
        <v>3133223.68</v>
      </c>
      <c r="G128" s="191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22.5" customHeight="1">
      <c r="A129" s="174" t="s">
        <v>3116</v>
      </c>
      <c r="B129" s="174" t="s">
        <v>67</v>
      </c>
      <c r="C129" s="189">
        <v>2024.0</v>
      </c>
      <c r="D129" s="175" t="s">
        <v>2495</v>
      </c>
      <c r="E129" s="174" t="s">
        <v>2818</v>
      </c>
      <c r="F129" s="190">
        <v>3268577.96</v>
      </c>
      <c r="G129" s="191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22.5" customHeight="1">
      <c r="A130" s="174" t="s">
        <v>3118</v>
      </c>
      <c r="B130" s="174" t="s">
        <v>67</v>
      </c>
      <c r="C130" s="189">
        <v>2024.0</v>
      </c>
      <c r="D130" s="175" t="s">
        <v>2834</v>
      </c>
      <c r="E130" s="174" t="s">
        <v>2818</v>
      </c>
      <c r="F130" s="190">
        <v>3268577.96</v>
      </c>
      <c r="G130" s="191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22.5" customHeight="1">
      <c r="A131" s="174" t="s">
        <v>3120</v>
      </c>
      <c r="B131" s="174" t="s">
        <v>67</v>
      </c>
      <c r="C131" s="189">
        <v>2024.0</v>
      </c>
      <c r="D131" s="175" t="s">
        <v>2585</v>
      </c>
      <c r="E131" s="174" t="s">
        <v>2818</v>
      </c>
      <c r="F131" s="190">
        <v>3268577.96</v>
      </c>
      <c r="G131" s="191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22.5" customHeight="1">
      <c r="A132" s="174" t="s">
        <v>3122</v>
      </c>
      <c r="B132" s="174" t="s">
        <v>67</v>
      </c>
      <c r="C132" s="189">
        <v>2024.0</v>
      </c>
      <c r="D132" s="175" t="s">
        <v>2594</v>
      </c>
      <c r="E132" s="174" t="s">
        <v>2818</v>
      </c>
      <c r="F132" s="190">
        <v>3268577.96</v>
      </c>
      <c r="G132" s="191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22.5" customHeight="1">
      <c r="A133" s="174" t="s">
        <v>3124</v>
      </c>
      <c r="B133" s="174" t="s">
        <v>67</v>
      </c>
      <c r="C133" s="189">
        <v>2024.0</v>
      </c>
      <c r="D133" s="175" t="s">
        <v>2739</v>
      </c>
      <c r="E133" s="174" t="s">
        <v>2818</v>
      </c>
      <c r="F133" s="190">
        <v>3268577.96</v>
      </c>
      <c r="G133" s="191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22.5" customHeight="1">
      <c r="A134" s="174" t="s">
        <v>3126</v>
      </c>
      <c r="B134" s="174" t="s">
        <v>67</v>
      </c>
      <c r="C134" s="189">
        <v>2024.0</v>
      </c>
      <c r="D134" s="175" t="s">
        <v>2541</v>
      </c>
      <c r="E134" s="174" t="s">
        <v>2818</v>
      </c>
      <c r="F134" s="190">
        <v>3268577.96</v>
      </c>
      <c r="G134" s="191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22.5" customHeight="1">
      <c r="A135" s="174" t="s">
        <v>3128</v>
      </c>
      <c r="B135" s="174" t="s">
        <v>67</v>
      </c>
      <c r="C135" s="189">
        <v>2024.0</v>
      </c>
      <c r="D135" s="175" t="s">
        <v>2553</v>
      </c>
      <c r="E135" s="174" t="s">
        <v>2818</v>
      </c>
      <c r="F135" s="190">
        <v>3268577.96</v>
      </c>
      <c r="G135" s="191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22.5" customHeight="1">
      <c r="A136" s="174" t="s">
        <v>3130</v>
      </c>
      <c r="B136" s="174" t="s">
        <v>67</v>
      </c>
      <c r="C136" s="189">
        <v>2024.0</v>
      </c>
      <c r="D136" s="175" t="s">
        <v>2573</v>
      </c>
      <c r="E136" s="174" t="s">
        <v>2818</v>
      </c>
      <c r="F136" s="190">
        <v>3268577.96</v>
      </c>
      <c r="G136" s="191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22.5" customHeight="1">
      <c r="A137" s="174" t="s">
        <v>3131</v>
      </c>
      <c r="B137" s="174" t="s">
        <v>67</v>
      </c>
      <c r="C137" s="189">
        <v>2024.0</v>
      </c>
      <c r="D137" s="175" t="s">
        <v>2593</v>
      </c>
      <c r="E137" s="174" t="s">
        <v>2818</v>
      </c>
      <c r="F137" s="190">
        <v>3268577.96</v>
      </c>
      <c r="G137" s="191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22.5" customHeight="1">
      <c r="A138" s="174" t="s">
        <v>3133</v>
      </c>
      <c r="B138" s="174" t="s">
        <v>67</v>
      </c>
      <c r="C138" s="189">
        <v>2024.0</v>
      </c>
      <c r="D138" s="175" t="s">
        <v>2616</v>
      </c>
      <c r="E138" s="174" t="s">
        <v>2818</v>
      </c>
      <c r="F138" s="190">
        <v>3268577.96</v>
      </c>
      <c r="G138" s="191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22.5" customHeight="1">
      <c r="A139" s="174" t="s">
        <v>3135</v>
      </c>
      <c r="B139" s="174" t="s">
        <v>67</v>
      </c>
      <c r="C139" s="189">
        <v>2024.0</v>
      </c>
      <c r="D139" s="175" t="s">
        <v>2742</v>
      </c>
      <c r="E139" s="174" t="s">
        <v>2818</v>
      </c>
      <c r="F139" s="190">
        <v>2941720.17</v>
      </c>
      <c r="G139" s="191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22.5" customHeight="1">
      <c r="A140" s="174" t="s">
        <v>3137</v>
      </c>
      <c r="B140" s="174" t="s">
        <v>133</v>
      </c>
      <c r="C140" s="189">
        <v>2018.0</v>
      </c>
      <c r="D140" s="175" t="s">
        <v>2739</v>
      </c>
      <c r="E140" s="174" t="s">
        <v>3139</v>
      </c>
      <c r="F140" s="190">
        <v>2240884.07</v>
      </c>
      <c r="G140" s="191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22.5" customHeight="1">
      <c r="A141" s="174" t="s">
        <v>3140</v>
      </c>
      <c r="B141" s="174" t="s">
        <v>133</v>
      </c>
      <c r="C141" s="189">
        <v>2018.0</v>
      </c>
      <c r="D141" s="175" t="s">
        <v>2541</v>
      </c>
      <c r="E141" s="174" t="s">
        <v>3139</v>
      </c>
      <c r="F141" s="190">
        <v>2778696.24</v>
      </c>
      <c r="G141" s="191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22.5" customHeight="1">
      <c r="A142" s="174" t="s">
        <v>3142</v>
      </c>
      <c r="B142" s="174" t="s">
        <v>133</v>
      </c>
      <c r="C142" s="189">
        <v>2018.0</v>
      </c>
      <c r="D142" s="175" t="s">
        <v>2553</v>
      </c>
      <c r="E142" s="174" t="s">
        <v>3139</v>
      </c>
      <c r="F142" s="190">
        <v>2778696.24</v>
      </c>
      <c r="G142" s="191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22.5" customHeight="1">
      <c r="A143" s="174" t="s">
        <v>3144</v>
      </c>
      <c r="B143" s="174" t="s">
        <v>133</v>
      </c>
      <c r="C143" s="189">
        <v>2018.0</v>
      </c>
      <c r="D143" s="175" t="s">
        <v>2573</v>
      </c>
      <c r="E143" s="174" t="s">
        <v>3139</v>
      </c>
      <c r="F143" s="190">
        <v>2778696.24</v>
      </c>
      <c r="G143" s="191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22.5" customHeight="1">
      <c r="A144" s="174" t="s">
        <v>3146</v>
      </c>
      <c r="B144" s="174" t="s">
        <v>133</v>
      </c>
      <c r="C144" s="189">
        <v>2018.0</v>
      </c>
      <c r="D144" s="175" t="s">
        <v>2593</v>
      </c>
      <c r="E144" s="174" t="s">
        <v>3139</v>
      </c>
      <c r="F144" s="190">
        <v>2778696.24</v>
      </c>
      <c r="G144" s="191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22.5" customHeight="1">
      <c r="A145" s="174" t="s">
        <v>3148</v>
      </c>
      <c r="B145" s="174" t="s">
        <v>133</v>
      </c>
      <c r="C145" s="189">
        <v>2018.0</v>
      </c>
      <c r="D145" s="175" t="s">
        <v>2616</v>
      </c>
      <c r="E145" s="174" t="s">
        <v>3139</v>
      </c>
      <c r="F145" s="190">
        <v>2778696.24</v>
      </c>
      <c r="G145" s="191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22.5" customHeight="1">
      <c r="A146" s="174" t="s">
        <v>3150</v>
      </c>
      <c r="B146" s="174" t="s">
        <v>133</v>
      </c>
      <c r="C146" s="189">
        <v>2018.0</v>
      </c>
      <c r="D146" s="175" t="s">
        <v>2742</v>
      </c>
      <c r="E146" s="174" t="s">
        <v>3139</v>
      </c>
      <c r="F146" s="190">
        <v>2778696.24</v>
      </c>
      <c r="G146" s="191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22.5" customHeight="1">
      <c r="A147" s="174" t="s">
        <v>3152</v>
      </c>
      <c r="B147" s="174" t="s">
        <v>133</v>
      </c>
      <c r="C147" s="189">
        <v>2018.0</v>
      </c>
      <c r="D147" s="175" t="s">
        <v>2496</v>
      </c>
      <c r="E147" s="174" t="s">
        <v>3139</v>
      </c>
      <c r="F147" s="190">
        <v>2778696.24</v>
      </c>
      <c r="G147" s="191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22.5" customHeight="1">
      <c r="A148" s="174" t="s">
        <v>3154</v>
      </c>
      <c r="B148" s="174" t="s">
        <v>133</v>
      </c>
      <c r="C148" s="189">
        <v>2019.0</v>
      </c>
      <c r="D148" s="175" t="s">
        <v>2495</v>
      </c>
      <c r="E148" s="174" t="s">
        <v>3139</v>
      </c>
      <c r="F148" s="190">
        <v>2909850.04</v>
      </c>
      <c r="G148" s="191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22.5" customHeight="1">
      <c r="A149" s="174" t="s">
        <v>3156</v>
      </c>
      <c r="B149" s="174" t="s">
        <v>133</v>
      </c>
      <c r="C149" s="189">
        <v>2019.0</v>
      </c>
      <c r="D149" s="175" t="s">
        <v>2834</v>
      </c>
      <c r="E149" s="174" t="s">
        <v>3139</v>
      </c>
      <c r="F149" s="190">
        <v>2909850.04</v>
      </c>
      <c r="G149" s="191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22.5" customHeight="1">
      <c r="A150" s="174" t="s">
        <v>3158</v>
      </c>
      <c r="B150" s="174" t="s">
        <v>133</v>
      </c>
      <c r="C150" s="189">
        <v>2019.0</v>
      </c>
      <c r="D150" s="175" t="s">
        <v>2585</v>
      </c>
      <c r="E150" s="174" t="s">
        <v>3139</v>
      </c>
      <c r="F150" s="190">
        <v>2909850.04</v>
      </c>
      <c r="G150" s="191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22.5" customHeight="1">
      <c r="A151" s="174" t="s">
        <v>3159</v>
      </c>
      <c r="B151" s="174" t="s">
        <v>133</v>
      </c>
      <c r="C151" s="189">
        <v>2019.0</v>
      </c>
      <c r="D151" s="175" t="s">
        <v>2594</v>
      </c>
      <c r="E151" s="174" t="s">
        <v>3139</v>
      </c>
      <c r="F151" s="190">
        <v>2909850.04</v>
      </c>
      <c r="G151" s="191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22.5" customHeight="1">
      <c r="A152" s="174" t="s">
        <v>3161</v>
      </c>
      <c r="B152" s="174" t="s">
        <v>133</v>
      </c>
      <c r="C152" s="189">
        <v>2019.0</v>
      </c>
      <c r="D152" s="175" t="s">
        <v>2739</v>
      </c>
      <c r="E152" s="174" t="s">
        <v>3139</v>
      </c>
      <c r="F152" s="190">
        <v>2909850.04</v>
      </c>
      <c r="G152" s="191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22.5" customHeight="1">
      <c r="A153" s="174" t="s">
        <v>3163</v>
      </c>
      <c r="B153" s="174" t="s">
        <v>133</v>
      </c>
      <c r="C153" s="189">
        <v>2019.0</v>
      </c>
      <c r="D153" s="175" t="s">
        <v>2541</v>
      </c>
      <c r="E153" s="174" t="s">
        <v>3139</v>
      </c>
      <c r="F153" s="190">
        <v>2909850.04</v>
      </c>
      <c r="G153" s="191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22.5" customHeight="1">
      <c r="A154" s="174" t="s">
        <v>3165</v>
      </c>
      <c r="B154" s="174" t="s">
        <v>133</v>
      </c>
      <c r="C154" s="189">
        <v>2019.0</v>
      </c>
      <c r="D154" s="175" t="s">
        <v>2553</v>
      </c>
      <c r="E154" s="174" t="s">
        <v>3139</v>
      </c>
      <c r="F154" s="190">
        <v>2909850.04</v>
      </c>
      <c r="G154" s="191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22.5" customHeight="1">
      <c r="A155" s="174" t="s">
        <v>3167</v>
      </c>
      <c r="B155" s="174" t="s">
        <v>133</v>
      </c>
      <c r="C155" s="189">
        <v>2019.0</v>
      </c>
      <c r="D155" s="175" t="s">
        <v>2573</v>
      </c>
      <c r="E155" s="174" t="s">
        <v>3139</v>
      </c>
      <c r="F155" s="190">
        <v>2909850.04</v>
      </c>
      <c r="G155" s="191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22.5" customHeight="1">
      <c r="A156" s="174" t="s">
        <v>3169</v>
      </c>
      <c r="B156" s="174" t="s">
        <v>133</v>
      </c>
      <c r="C156" s="189">
        <v>2019.0</v>
      </c>
      <c r="D156" s="175" t="s">
        <v>2593</v>
      </c>
      <c r="E156" s="174" t="s">
        <v>3139</v>
      </c>
      <c r="F156" s="190">
        <v>2909850.04</v>
      </c>
      <c r="G156" s="191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22.5" customHeight="1">
      <c r="A157" s="174" t="s">
        <v>3171</v>
      </c>
      <c r="B157" s="174" t="s">
        <v>133</v>
      </c>
      <c r="C157" s="189">
        <v>2019.0</v>
      </c>
      <c r="D157" s="175" t="s">
        <v>2616</v>
      </c>
      <c r="E157" s="174" t="s">
        <v>3139</v>
      </c>
      <c r="F157" s="190">
        <v>2909850.04</v>
      </c>
      <c r="G157" s="191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22.5" customHeight="1">
      <c r="A158" s="174" t="s">
        <v>3173</v>
      </c>
      <c r="B158" s="174" t="s">
        <v>133</v>
      </c>
      <c r="C158" s="189">
        <v>2019.0</v>
      </c>
      <c r="D158" s="175" t="s">
        <v>2742</v>
      </c>
      <c r="E158" s="174" t="s">
        <v>3139</v>
      </c>
      <c r="F158" s="190">
        <v>2909850.04</v>
      </c>
      <c r="G158" s="191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22.5" customHeight="1">
      <c r="A159" s="174" t="s">
        <v>3175</v>
      </c>
      <c r="B159" s="174" t="s">
        <v>133</v>
      </c>
      <c r="C159" s="189">
        <v>2019.0</v>
      </c>
      <c r="D159" s="175" t="s">
        <v>2496</v>
      </c>
      <c r="E159" s="174" t="s">
        <v>3139</v>
      </c>
      <c r="F159" s="190">
        <v>2909850.04</v>
      </c>
      <c r="G159" s="191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22.5" customHeight="1">
      <c r="A160" s="174" t="s">
        <v>3177</v>
      </c>
      <c r="B160" s="174" t="s">
        <v>133</v>
      </c>
      <c r="C160" s="189">
        <v>2020.0</v>
      </c>
      <c r="D160" s="175" t="s">
        <v>2495</v>
      </c>
      <c r="E160" s="174" t="s">
        <v>3139</v>
      </c>
      <c r="F160" s="190">
        <v>2996277.19</v>
      </c>
      <c r="G160" s="191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22.5" customHeight="1">
      <c r="A161" s="174" t="s">
        <v>3179</v>
      </c>
      <c r="B161" s="174" t="s">
        <v>133</v>
      </c>
      <c r="C161" s="189">
        <v>2020.0</v>
      </c>
      <c r="D161" s="175" t="s">
        <v>2834</v>
      </c>
      <c r="E161" s="174" t="s">
        <v>3139</v>
      </c>
      <c r="F161" s="190">
        <v>2996277.19</v>
      </c>
      <c r="G161" s="191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22.5" customHeight="1">
      <c r="A162" s="174" t="s">
        <v>3181</v>
      </c>
      <c r="B162" s="174" t="s">
        <v>133</v>
      </c>
      <c r="C162" s="189">
        <v>2020.0</v>
      </c>
      <c r="D162" s="175" t="s">
        <v>2585</v>
      </c>
      <c r="E162" s="174" t="s">
        <v>3139</v>
      </c>
      <c r="F162" s="190">
        <v>2996277.19</v>
      </c>
      <c r="G162" s="191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22.5" customHeight="1">
      <c r="A163" s="174" t="s">
        <v>3183</v>
      </c>
      <c r="B163" s="174" t="s">
        <v>133</v>
      </c>
      <c r="C163" s="189">
        <v>2020.0</v>
      </c>
      <c r="D163" s="175" t="s">
        <v>2594</v>
      </c>
      <c r="E163" s="174" t="s">
        <v>3139</v>
      </c>
      <c r="F163" s="190">
        <v>2996277.19</v>
      </c>
      <c r="G163" s="191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22.5" customHeight="1">
      <c r="A164" s="174" t="s">
        <v>3185</v>
      </c>
      <c r="B164" s="174" t="s">
        <v>133</v>
      </c>
      <c r="C164" s="189">
        <v>2020.0</v>
      </c>
      <c r="D164" s="175" t="s">
        <v>2739</v>
      </c>
      <c r="E164" s="174" t="s">
        <v>3139</v>
      </c>
      <c r="F164" s="190">
        <v>2996277.19</v>
      </c>
      <c r="G164" s="191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22.5" customHeight="1">
      <c r="A165" s="174" t="s">
        <v>3187</v>
      </c>
      <c r="B165" s="174" t="s">
        <v>133</v>
      </c>
      <c r="C165" s="189">
        <v>2020.0</v>
      </c>
      <c r="D165" s="175" t="s">
        <v>2541</v>
      </c>
      <c r="E165" s="174" t="s">
        <v>3139</v>
      </c>
      <c r="F165" s="190">
        <v>2996277.19</v>
      </c>
      <c r="G165" s="191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22.5" customHeight="1">
      <c r="A166" s="174" t="s">
        <v>3189</v>
      </c>
      <c r="B166" s="174" t="s">
        <v>133</v>
      </c>
      <c r="C166" s="189">
        <v>2020.0</v>
      </c>
      <c r="D166" s="175" t="s">
        <v>2553</v>
      </c>
      <c r="E166" s="174" t="s">
        <v>3139</v>
      </c>
      <c r="F166" s="190">
        <v>2996277.19</v>
      </c>
      <c r="G166" s="191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22.5" customHeight="1">
      <c r="A167" s="174" t="s">
        <v>3191</v>
      </c>
      <c r="B167" s="174" t="s">
        <v>133</v>
      </c>
      <c r="C167" s="189">
        <v>2020.0</v>
      </c>
      <c r="D167" s="175" t="s">
        <v>2573</v>
      </c>
      <c r="E167" s="174" t="s">
        <v>3139</v>
      </c>
      <c r="F167" s="190">
        <v>2996277.19</v>
      </c>
      <c r="G167" s="191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22.5" customHeight="1">
      <c r="A168" s="174" t="s">
        <v>3193</v>
      </c>
      <c r="B168" s="174" t="s">
        <v>133</v>
      </c>
      <c r="C168" s="189">
        <v>2020.0</v>
      </c>
      <c r="D168" s="175" t="s">
        <v>2593</v>
      </c>
      <c r="E168" s="174" t="s">
        <v>3139</v>
      </c>
      <c r="F168" s="190">
        <v>2996277.19</v>
      </c>
      <c r="G168" s="191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22.5" customHeight="1">
      <c r="A169" s="174" t="s">
        <v>3195</v>
      </c>
      <c r="B169" s="174" t="s">
        <v>133</v>
      </c>
      <c r="C169" s="189">
        <v>2020.0</v>
      </c>
      <c r="D169" s="175" t="s">
        <v>2616</v>
      </c>
      <c r="E169" s="174" t="s">
        <v>3139</v>
      </c>
      <c r="F169" s="190">
        <v>2996277.19</v>
      </c>
      <c r="G169" s="191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22.5" customHeight="1">
      <c r="A170" s="174" t="s">
        <v>3196</v>
      </c>
      <c r="B170" s="174" t="s">
        <v>133</v>
      </c>
      <c r="C170" s="189">
        <v>2020.0</v>
      </c>
      <c r="D170" s="175" t="s">
        <v>2742</v>
      </c>
      <c r="E170" s="174" t="s">
        <v>3139</v>
      </c>
      <c r="F170" s="190">
        <v>2996277.19</v>
      </c>
      <c r="G170" s="191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22.5" customHeight="1">
      <c r="A171" s="174" t="s">
        <v>3198</v>
      </c>
      <c r="B171" s="174" t="s">
        <v>133</v>
      </c>
      <c r="C171" s="189">
        <v>2020.0</v>
      </c>
      <c r="D171" s="175" t="s">
        <v>2496</v>
      </c>
      <c r="E171" s="174" t="s">
        <v>3139</v>
      </c>
      <c r="F171" s="190">
        <v>2996277.19</v>
      </c>
      <c r="G171" s="191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22.5" customHeight="1">
      <c r="A172" s="174" t="s">
        <v>3201</v>
      </c>
      <c r="B172" s="174" t="s">
        <v>133</v>
      </c>
      <c r="C172" s="189">
        <v>2021.0</v>
      </c>
      <c r="D172" s="175" t="s">
        <v>2495</v>
      </c>
      <c r="E172" s="174" t="s">
        <v>3139</v>
      </c>
      <c r="F172" s="190">
        <v>3096053.66</v>
      </c>
      <c r="G172" s="191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22.5" customHeight="1">
      <c r="A173" s="174" t="s">
        <v>3202</v>
      </c>
      <c r="B173" s="174" t="s">
        <v>133</v>
      </c>
      <c r="C173" s="189">
        <v>2021.0</v>
      </c>
      <c r="D173" s="175" t="s">
        <v>2834</v>
      </c>
      <c r="E173" s="174" t="s">
        <v>3139</v>
      </c>
      <c r="F173" s="190">
        <v>3096053.66</v>
      </c>
      <c r="G173" s="191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22.5" customHeight="1">
      <c r="A174" s="174" t="s">
        <v>3204</v>
      </c>
      <c r="B174" s="174" t="s">
        <v>133</v>
      </c>
      <c r="C174" s="189">
        <v>2021.0</v>
      </c>
      <c r="D174" s="175" t="s">
        <v>2585</v>
      </c>
      <c r="E174" s="174" t="s">
        <v>3139</v>
      </c>
      <c r="F174" s="190">
        <v>3096053.66</v>
      </c>
      <c r="G174" s="191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22.5" customHeight="1">
      <c r="A175" s="174" t="s">
        <v>3206</v>
      </c>
      <c r="B175" s="174" t="s">
        <v>133</v>
      </c>
      <c r="C175" s="189">
        <v>2021.0</v>
      </c>
      <c r="D175" s="175" t="s">
        <v>2594</v>
      </c>
      <c r="E175" s="174" t="s">
        <v>3139</v>
      </c>
      <c r="F175" s="190">
        <v>3096053.66</v>
      </c>
      <c r="G175" s="191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22.5" customHeight="1">
      <c r="A176" s="174" t="s">
        <v>3208</v>
      </c>
      <c r="B176" s="174" t="s">
        <v>133</v>
      </c>
      <c r="C176" s="189">
        <v>2021.0</v>
      </c>
      <c r="D176" s="175" t="s">
        <v>2739</v>
      </c>
      <c r="E176" s="174" t="s">
        <v>3139</v>
      </c>
      <c r="F176" s="190">
        <v>3096053.66</v>
      </c>
      <c r="G176" s="191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22.5" customHeight="1">
      <c r="A177" s="174" t="s">
        <v>3210</v>
      </c>
      <c r="B177" s="174" t="s">
        <v>133</v>
      </c>
      <c r="C177" s="189">
        <v>2021.0</v>
      </c>
      <c r="D177" s="175" t="s">
        <v>2541</v>
      </c>
      <c r="E177" s="174" t="s">
        <v>3139</v>
      </c>
      <c r="F177" s="190">
        <v>3096053.66</v>
      </c>
      <c r="G177" s="191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22.5" customHeight="1">
      <c r="A178" s="174" t="s">
        <v>3212</v>
      </c>
      <c r="B178" s="174" t="s">
        <v>133</v>
      </c>
      <c r="C178" s="189">
        <v>2021.0</v>
      </c>
      <c r="D178" s="175" t="s">
        <v>2553</v>
      </c>
      <c r="E178" s="174" t="s">
        <v>3139</v>
      </c>
      <c r="F178" s="190">
        <v>3096053.66</v>
      </c>
      <c r="G178" s="191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22.5" customHeight="1">
      <c r="A179" s="174" t="s">
        <v>3214</v>
      </c>
      <c r="B179" s="174" t="s">
        <v>133</v>
      </c>
      <c r="C179" s="189">
        <v>2021.0</v>
      </c>
      <c r="D179" s="175" t="s">
        <v>2573</v>
      </c>
      <c r="E179" s="174" t="s">
        <v>3139</v>
      </c>
      <c r="F179" s="190">
        <v>3096053.66</v>
      </c>
      <c r="G179" s="191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22.5" customHeight="1">
      <c r="A180" s="174" t="s">
        <v>3216</v>
      </c>
      <c r="B180" s="174" t="s">
        <v>133</v>
      </c>
      <c r="C180" s="189">
        <v>2021.0</v>
      </c>
      <c r="D180" s="175" t="s">
        <v>2593</v>
      </c>
      <c r="E180" s="174" t="s">
        <v>3139</v>
      </c>
      <c r="F180" s="190">
        <v>3096053.66</v>
      </c>
      <c r="G180" s="191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22.5" customHeight="1">
      <c r="A181" s="174" t="s">
        <v>3218</v>
      </c>
      <c r="B181" s="174" t="s">
        <v>133</v>
      </c>
      <c r="C181" s="189">
        <v>2021.0</v>
      </c>
      <c r="D181" s="175" t="s">
        <v>2616</v>
      </c>
      <c r="E181" s="174" t="s">
        <v>3139</v>
      </c>
      <c r="F181" s="190">
        <v>3096053.66</v>
      </c>
      <c r="G181" s="191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22.5" customHeight="1">
      <c r="A182" s="174" t="s">
        <v>3220</v>
      </c>
      <c r="B182" s="174" t="s">
        <v>133</v>
      </c>
      <c r="C182" s="189">
        <v>2021.0</v>
      </c>
      <c r="D182" s="175" t="s">
        <v>2742</v>
      </c>
      <c r="E182" s="174" t="s">
        <v>3139</v>
      </c>
      <c r="F182" s="190">
        <v>3096053.66</v>
      </c>
      <c r="G182" s="191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22.5" customHeight="1">
      <c r="A183" s="174" t="s">
        <v>3222</v>
      </c>
      <c r="B183" s="174" t="s">
        <v>133</v>
      </c>
      <c r="C183" s="189">
        <v>2021.0</v>
      </c>
      <c r="D183" s="175" t="s">
        <v>2496</v>
      </c>
      <c r="E183" s="174" t="s">
        <v>3139</v>
      </c>
      <c r="F183" s="190">
        <v>3096053.66</v>
      </c>
      <c r="G183" s="191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22.5" customHeight="1">
      <c r="A184" s="174" t="s">
        <v>3224</v>
      </c>
      <c r="B184" s="174" t="s">
        <v>133</v>
      </c>
      <c r="C184" s="189">
        <v>2022.0</v>
      </c>
      <c r="D184" s="175" t="s">
        <v>2495</v>
      </c>
      <c r="E184" s="174" t="s">
        <v>3139</v>
      </c>
      <c r="F184" s="190">
        <v>3324193.86</v>
      </c>
      <c r="G184" s="191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22.5" customHeight="1">
      <c r="A185" s="174" t="s">
        <v>3226</v>
      </c>
      <c r="B185" s="174" t="s">
        <v>133</v>
      </c>
      <c r="C185" s="189">
        <v>2022.0</v>
      </c>
      <c r="D185" s="175" t="s">
        <v>2834</v>
      </c>
      <c r="E185" s="174" t="s">
        <v>3139</v>
      </c>
      <c r="F185" s="190">
        <v>3324193.86</v>
      </c>
      <c r="G185" s="191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22.5" customHeight="1">
      <c r="A186" s="174" t="s">
        <v>3228</v>
      </c>
      <c r="B186" s="174" t="s">
        <v>133</v>
      </c>
      <c r="C186" s="189">
        <v>2022.0</v>
      </c>
      <c r="D186" s="175" t="s">
        <v>2585</v>
      </c>
      <c r="E186" s="174" t="s">
        <v>3139</v>
      </c>
      <c r="F186" s="190">
        <v>3324193.86</v>
      </c>
      <c r="G186" s="191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22.5" customHeight="1">
      <c r="A187" s="174" t="s">
        <v>3230</v>
      </c>
      <c r="B187" s="174" t="s">
        <v>133</v>
      </c>
      <c r="C187" s="189">
        <v>2022.0</v>
      </c>
      <c r="D187" s="175" t="s">
        <v>2594</v>
      </c>
      <c r="E187" s="174" t="s">
        <v>3139</v>
      </c>
      <c r="F187" s="190">
        <v>3324193.86</v>
      </c>
      <c r="G187" s="191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22.5" customHeight="1">
      <c r="A188" s="174" t="s">
        <v>3232</v>
      </c>
      <c r="B188" s="174" t="s">
        <v>133</v>
      </c>
      <c r="C188" s="189">
        <v>2022.0</v>
      </c>
      <c r="D188" s="175" t="s">
        <v>2739</v>
      </c>
      <c r="E188" s="174" t="s">
        <v>3139</v>
      </c>
      <c r="F188" s="190">
        <v>3324193.86</v>
      </c>
      <c r="G188" s="191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22.5" customHeight="1">
      <c r="A189" s="174" t="s">
        <v>3234</v>
      </c>
      <c r="B189" s="174" t="s">
        <v>133</v>
      </c>
      <c r="C189" s="189">
        <v>2022.0</v>
      </c>
      <c r="D189" s="175" t="s">
        <v>2541</v>
      </c>
      <c r="E189" s="174" t="s">
        <v>3139</v>
      </c>
      <c r="F189" s="190">
        <v>3324193.86</v>
      </c>
      <c r="G189" s="191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22.5" customHeight="1">
      <c r="A190" s="174" t="s">
        <v>3236</v>
      </c>
      <c r="B190" s="174" t="s">
        <v>133</v>
      </c>
      <c r="C190" s="189">
        <v>2022.0</v>
      </c>
      <c r="D190" s="175" t="s">
        <v>2553</v>
      </c>
      <c r="E190" s="174" t="s">
        <v>3139</v>
      </c>
      <c r="F190" s="190">
        <v>3324193.86</v>
      </c>
      <c r="G190" s="191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22.5" customHeight="1">
      <c r="A191" s="174" t="s">
        <v>3238</v>
      </c>
      <c r="B191" s="174" t="s">
        <v>133</v>
      </c>
      <c r="C191" s="189">
        <v>2022.0</v>
      </c>
      <c r="D191" s="175" t="s">
        <v>2573</v>
      </c>
      <c r="E191" s="174" t="s">
        <v>3139</v>
      </c>
      <c r="F191" s="190">
        <v>3324193.86</v>
      </c>
      <c r="G191" s="191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22.5" customHeight="1">
      <c r="A192" s="174" t="s">
        <v>3240</v>
      </c>
      <c r="B192" s="174" t="s">
        <v>133</v>
      </c>
      <c r="C192" s="189">
        <v>2022.0</v>
      </c>
      <c r="D192" s="175" t="s">
        <v>2593</v>
      </c>
      <c r="E192" s="174" t="s">
        <v>3139</v>
      </c>
      <c r="F192" s="190">
        <v>3324193.86</v>
      </c>
      <c r="G192" s="191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22.5" customHeight="1">
      <c r="A193" s="174" t="s">
        <v>3242</v>
      </c>
      <c r="B193" s="174" t="s">
        <v>133</v>
      </c>
      <c r="C193" s="189">
        <v>2022.0</v>
      </c>
      <c r="D193" s="175" t="s">
        <v>2616</v>
      </c>
      <c r="E193" s="174" t="s">
        <v>3139</v>
      </c>
      <c r="F193" s="190">
        <v>3324193.86</v>
      </c>
      <c r="G193" s="191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22.5" customHeight="1">
      <c r="A194" s="174" t="s">
        <v>3244</v>
      </c>
      <c r="B194" s="174" t="s">
        <v>133</v>
      </c>
      <c r="C194" s="189">
        <v>2022.0</v>
      </c>
      <c r="D194" s="175" t="s">
        <v>2742</v>
      </c>
      <c r="E194" s="174" t="s">
        <v>3139</v>
      </c>
      <c r="F194" s="190">
        <v>3324193.86</v>
      </c>
      <c r="G194" s="191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22.5" customHeight="1">
      <c r="A195" s="174" t="s">
        <v>3246</v>
      </c>
      <c r="B195" s="174" t="s">
        <v>133</v>
      </c>
      <c r="C195" s="189">
        <v>2022.0</v>
      </c>
      <c r="D195" s="175" t="s">
        <v>2496</v>
      </c>
      <c r="E195" s="174" t="s">
        <v>3139</v>
      </c>
      <c r="F195" s="190">
        <v>3324193.86</v>
      </c>
      <c r="G195" s="191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22.5" customHeight="1">
      <c r="A196" s="174" t="s">
        <v>3248</v>
      </c>
      <c r="B196" s="174" t="s">
        <v>133</v>
      </c>
      <c r="C196" s="189">
        <v>2023.0</v>
      </c>
      <c r="D196" s="175" t="s">
        <v>2495</v>
      </c>
      <c r="E196" s="174" t="s">
        <v>3139</v>
      </c>
      <c r="F196" s="190">
        <v>3583131.93</v>
      </c>
      <c r="G196" s="191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22.5" customHeight="1">
      <c r="A197" s="174" t="s">
        <v>3250</v>
      </c>
      <c r="B197" s="174" t="s">
        <v>133</v>
      </c>
      <c r="C197" s="189">
        <v>2023.0</v>
      </c>
      <c r="D197" s="175" t="s">
        <v>2834</v>
      </c>
      <c r="E197" s="174" t="s">
        <v>3139</v>
      </c>
      <c r="F197" s="190">
        <v>3583131.93</v>
      </c>
      <c r="G197" s="191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22.5" customHeight="1">
      <c r="A198" s="174" t="s">
        <v>3252</v>
      </c>
      <c r="B198" s="174" t="s">
        <v>133</v>
      </c>
      <c r="C198" s="189">
        <v>2023.0</v>
      </c>
      <c r="D198" s="175" t="s">
        <v>2585</v>
      </c>
      <c r="E198" s="174" t="s">
        <v>3139</v>
      </c>
      <c r="F198" s="190">
        <v>3583131.93</v>
      </c>
      <c r="G198" s="191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22.5" customHeight="1">
      <c r="A199" s="174" t="s">
        <v>3253</v>
      </c>
      <c r="B199" s="174" t="s">
        <v>133</v>
      </c>
      <c r="C199" s="189">
        <v>2023.0</v>
      </c>
      <c r="D199" s="175" t="s">
        <v>2594</v>
      </c>
      <c r="E199" s="174" t="s">
        <v>3139</v>
      </c>
      <c r="F199" s="190">
        <v>3583131.93</v>
      </c>
      <c r="G199" s="191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22.5" customHeight="1">
      <c r="A200" s="174" t="s">
        <v>3255</v>
      </c>
      <c r="B200" s="174" t="s">
        <v>133</v>
      </c>
      <c r="C200" s="189">
        <v>2023.0</v>
      </c>
      <c r="D200" s="175" t="s">
        <v>2739</v>
      </c>
      <c r="E200" s="174" t="s">
        <v>3139</v>
      </c>
      <c r="F200" s="190">
        <v>8568435.48</v>
      </c>
      <c r="G200" s="191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22.5" customHeight="1">
      <c r="A201" s="174" t="s">
        <v>3257</v>
      </c>
      <c r="B201" s="174" t="s">
        <v>133</v>
      </c>
      <c r="C201" s="189">
        <v>2023.0</v>
      </c>
      <c r="D201" s="175" t="s">
        <v>2541</v>
      </c>
      <c r="E201" s="174" t="s">
        <v>3139</v>
      </c>
      <c r="F201" s="190">
        <v>8568435.48</v>
      </c>
      <c r="G201" s="191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22.5" customHeight="1">
      <c r="A202" s="174" t="s">
        <v>3259</v>
      </c>
      <c r="B202" s="174" t="s">
        <v>133</v>
      </c>
      <c r="C202" s="189">
        <v>2023.0</v>
      </c>
      <c r="D202" s="175" t="s">
        <v>2553</v>
      </c>
      <c r="E202" s="174" t="s">
        <v>3139</v>
      </c>
      <c r="F202" s="190">
        <v>8568435.48</v>
      </c>
      <c r="G202" s="191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22.5" customHeight="1">
      <c r="A203" s="174" t="s">
        <v>3261</v>
      </c>
      <c r="B203" s="174" t="s">
        <v>133</v>
      </c>
      <c r="C203" s="189">
        <v>2023.0</v>
      </c>
      <c r="D203" s="175" t="s">
        <v>2573</v>
      </c>
      <c r="E203" s="174" t="s">
        <v>3139</v>
      </c>
      <c r="F203" s="190">
        <v>8568435.48</v>
      </c>
      <c r="G203" s="191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22.5" customHeight="1">
      <c r="A204" s="174" t="s">
        <v>3263</v>
      </c>
      <c r="B204" s="174" t="s">
        <v>133</v>
      </c>
      <c r="C204" s="189">
        <v>2023.0</v>
      </c>
      <c r="D204" s="175" t="s">
        <v>2593</v>
      </c>
      <c r="E204" s="174" t="s">
        <v>3139</v>
      </c>
      <c r="F204" s="190">
        <v>8568435.48</v>
      </c>
      <c r="G204" s="191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22.5" customHeight="1">
      <c r="A205" s="174" t="s">
        <v>3265</v>
      </c>
      <c r="B205" s="174" t="s">
        <v>133</v>
      </c>
      <c r="C205" s="189">
        <v>2023.0</v>
      </c>
      <c r="D205" s="175" t="s">
        <v>2616</v>
      </c>
      <c r="E205" s="174" t="s">
        <v>3139</v>
      </c>
      <c r="F205" s="190">
        <v>8568435.48</v>
      </c>
      <c r="G205" s="191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22.5" customHeight="1">
      <c r="A206" s="174" t="s">
        <v>3267</v>
      </c>
      <c r="B206" s="174" t="s">
        <v>133</v>
      </c>
      <c r="C206" s="189">
        <v>2023.0</v>
      </c>
      <c r="D206" s="175" t="s">
        <v>2742</v>
      </c>
      <c r="E206" s="174" t="s">
        <v>3139</v>
      </c>
      <c r="F206" s="190">
        <v>8568435.48</v>
      </c>
      <c r="G206" s="191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22.5" customHeight="1">
      <c r="A207" s="174" t="s">
        <v>3269</v>
      </c>
      <c r="B207" s="174" t="s">
        <v>133</v>
      </c>
      <c r="C207" s="189">
        <v>2023.0</v>
      </c>
      <c r="D207" s="175" t="s">
        <v>2496</v>
      </c>
      <c r="E207" s="174" t="s">
        <v>3139</v>
      </c>
      <c r="F207" s="190">
        <v>8568435.48</v>
      </c>
      <c r="G207" s="191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22.5" customHeight="1">
      <c r="A208" s="174" t="s">
        <v>3271</v>
      </c>
      <c r="B208" s="174" t="s">
        <v>133</v>
      </c>
      <c r="C208" s="189">
        <v>2024.0</v>
      </c>
      <c r="D208" s="175" t="s">
        <v>2495</v>
      </c>
      <c r="E208" s="174" t="s">
        <v>3139</v>
      </c>
      <c r="F208" s="190">
        <v>8938589.21</v>
      </c>
      <c r="G208" s="191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22.5" customHeight="1">
      <c r="A209" s="174" t="s">
        <v>3273</v>
      </c>
      <c r="B209" s="174" t="s">
        <v>133</v>
      </c>
      <c r="C209" s="189">
        <v>2024.0</v>
      </c>
      <c r="D209" s="175" t="s">
        <v>2834</v>
      </c>
      <c r="E209" s="174" t="s">
        <v>3139</v>
      </c>
      <c r="F209" s="190">
        <v>8938589.21</v>
      </c>
      <c r="G209" s="191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22.5" customHeight="1">
      <c r="A210" s="174" t="s">
        <v>3275</v>
      </c>
      <c r="B210" s="174" t="s">
        <v>133</v>
      </c>
      <c r="C210" s="189">
        <v>2024.0</v>
      </c>
      <c r="D210" s="175" t="s">
        <v>2585</v>
      </c>
      <c r="E210" s="174" t="s">
        <v>3139</v>
      </c>
      <c r="F210" s="190">
        <v>8938589.21</v>
      </c>
      <c r="G210" s="191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22.5" customHeight="1">
      <c r="A211" s="174" t="s">
        <v>3277</v>
      </c>
      <c r="B211" s="174" t="s">
        <v>133</v>
      </c>
      <c r="C211" s="189">
        <v>2024.0</v>
      </c>
      <c r="D211" s="175" t="s">
        <v>2594</v>
      </c>
      <c r="E211" s="174" t="s">
        <v>3139</v>
      </c>
      <c r="F211" s="190">
        <v>8938589.21</v>
      </c>
      <c r="G211" s="191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22.5" customHeight="1">
      <c r="A212" s="174" t="s">
        <v>3279</v>
      </c>
      <c r="B212" s="174" t="s">
        <v>133</v>
      </c>
      <c r="C212" s="189">
        <v>2024.0</v>
      </c>
      <c r="D212" s="175" t="s">
        <v>2739</v>
      </c>
      <c r="E212" s="174" t="s">
        <v>3139</v>
      </c>
      <c r="F212" s="190">
        <v>8938589.21</v>
      </c>
      <c r="G212" s="191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22.5" customHeight="1">
      <c r="A213" s="174" t="s">
        <v>3281</v>
      </c>
      <c r="B213" s="174" t="s">
        <v>133</v>
      </c>
      <c r="C213" s="189">
        <v>2024.0</v>
      </c>
      <c r="D213" s="175" t="s">
        <v>2541</v>
      </c>
      <c r="E213" s="174" t="s">
        <v>3139</v>
      </c>
      <c r="F213" s="190">
        <v>8938589.21</v>
      </c>
      <c r="G213" s="191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22.5" customHeight="1">
      <c r="A214" s="174" t="s">
        <v>3283</v>
      </c>
      <c r="B214" s="174" t="s">
        <v>133</v>
      </c>
      <c r="C214" s="189">
        <v>2024.0</v>
      </c>
      <c r="D214" s="175" t="s">
        <v>2553</v>
      </c>
      <c r="E214" s="174" t="s">
        <v>3139</v>
      </c>
      <c r="F214" s="190">
        <v>7496881.28</v>
      </c>
      <c r="G214" s="191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22.5" customHeight="1">
      <c r="A215" s="174" t="s">
        <v>3285</v>
      </c>
      <c r="B215" s="174" t="s">
        <v>103</v>
      </c>
      <c r="C215" s="189">
        <v>2018.0</v>
      </c>
      <c r="D215" s="175" t="s">
        <v>2739</v>
      </c>
      <c r="E215" s="174" t="s">
        <v>3139</v>
      </c>
      <c r="F215" s="190">
        <v>3006013.82</v>
      </c>
      <c r="G215" s="191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22.5" customHeight="1">
      <c r="A216" s="174" t="s">
        <v>3287</v>
      </c>
      <c r="B216" s="174" t="s">
        <v>103</v>
      </c>
      <c r="C216" s="189">
        <v>2018.0</v>
      </c>
      <c r="D216" s="175" t="s">
        <v>2541</v>
      </c>
      <c r="E216" s="174" t="s">
        <v>3139</v>
      </c>
      <c r="F216" s="190">
        <v>3727457.14</v>
      </c>
      <c r="G216" s="191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22.5" customHeight="1">
      <c r="A217" s="174" t="s">
        <v>3288</v>
      </c>
      <c r="B217" s="174" t="s">
        <v>103</v>
      </c>
      <c r="C217" s="189">
        <v>2018.0</v>
      </c>
      <c r="D217" s="175" t="s">
        <v>2553</v>
      </c>
      <c r="E217" s="174" t="s">
        <v>3139</v>
      </c>
      <c r="F217" s="190">
        <v>3727457.14</v>
      </c>
      <c r="G217" s="191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22.5" customHeight="1">
      <c r="A218" s="174" t="s">
        <v>3290</v>
      </c>
      <c r="B218" s="174" t="s">
        <v>103</v>
      </c>
      <c r="C218" s="189">
        <v>2018.0</v>
      </c>
      <c r="D218" s="175" t="s">
        <v>2573</v>
      </c>
      <c r="E218" s="174" t="s">
        <v>3139</v>
      </c>
      <c r="F218" s="190">
        <v>3727457.14</v>
      </c>
      <c r="G218" s="191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22.5" customHeight="1">
      <c r="A219" s="174" t="s">
        <v>3292</v>
      </c>
      <c r="B219" s="174" t="s">
        <v>103</v>
      </c>
      <c r="C219" s="189">
        <v>2018.0</v>
      </c>
      <c r="D219" s="175" t="s">
        <v>2593</v>
      </c>
      <c r="E219" s="174" t="s">
        <v>3139</v>
      </c>
      <c r="F219" s="190">
        <v>3727457.14</v>
      </c>
      <c r="G219" s="191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22.5" customHeight="1">
      <c r="A220" s="174" t="s">
        <v>3293</v>
      </c>
      <c r="B220" s="174" t="s">
        <v>103</v>
      </c>
      <c r="C220" s="189">
        <v>2018.0</v>
      </c>
      <c r="D220" s="175" t="s">
        <v>2616</v>
      </c>
      <c r="E220" s="174" t="s">
        <v>3139</v>
      </c>
      <c r="F220" s="190">
        <v>3727457.14</v>
      </c>
      <c r="G220" s="191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22.5" customHeight="1">
      <c r="A221" s="174" t="s">
        <v>3295</v>
      </c>
      <c r="B221" s="174" t="s">
        <v>103</v>
      </c>
      <c r="C221" s="189">
        <v>2018.0</v>
      </c>
      <c r="D221" s="175" t="s">
        <v>2742</v>
      </c>
      <c r="E221" s="174" t="s">
        <v>3139</v>
      </c>
      <c r="F221" s="190">
        <v>3727457.14</v>
      </c>
      <c r="G221" s="191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22.5" customHeight="1">
      <c r="A222" s="174" t="s">
        <v>3297</v>
      </c>
      <c r="B222" s="174" t="s">
        <v>103</v>
      </c>
      <c r="C222" s="189">
        <v>2018.0</v>
      </c>
      <c r="D222" s="175" t="s">
        <v>2496</v>
      </c>
      <c r="E222" s="174" t="s">
        <v>3139</v>
      </c>
      <c r="F222" s="190">
        <v>3727457.14</v>
      </c>
      <c r="G222" s="191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22.5" customHeight="1">
      <c r="A223" s="174" t="s">
        <v>3298</v>
      </c>
      <c r="B223" s="174" t="s">
        <v>103</v>
      </c>
      <c r="C223" s="189">
        <v>2019.0</v>
      </c>
      <c r="D223" s="175" t="s">
        <v>2495</v>
      </c>
      <c r="E223" s="174" t="s">
        <v>3139</v>
      </c>
      <c r="F223" s="190">
        <v>3903392.22</v>
      </c>
      <c r="G223" s="191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22.5" customHeight="1">
      <c r="A224" s="174" t="s">
        <v>3300</v>
      </c>
      <c r="B224" s="174" t="s">
        <v>103</v>
      </c>
      <c r="C224" s="189">
        <v>2019.0</v>
      </c>
      <c r="D224" s="175" t="s">
        <v>2834</v>
      </c>
      <c r="E224" s="174" t="s">
        <v>3139</v>
      </c>
      <c r="F224" s="190">
        <v>3903392.22</v>
      </c>
      <c r="G224" s="191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22.5" customHeight="1">
      <c r="A225" s="174" t="s">
        <v>3302</v>
      </c>
      <c r="B225" s="174" t="s">
        <v>103</v>
      </c>
      <c r="C225" s="189">
        <v>2019.0</v>
      </c>
      <c r="D225" s="175" t="s">
        <v>2585</v>
      </c>
      <c r="E225" s="174" t="s">
        <v>3139</v>
      </c>
      <c r="F225" s="190">
        <v>3903392.22</v>
      </c>
      <c r="G225" s="191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22.5" customHeight="1">
      <c r="A226" s="174" t="s">
        <v>3304</v>
      </c>
      <c r="B226" s="174" t="s">
        <v>103</v>
      </c>
      <c r="C226" s="189">
        <v>2019.0</v>
      </c>
      <c r="D226" s="175" t="s">
        <v>2594</v>
      </c>
      <c r="E226" s="174" t="s">
        <v>3139</v>
      </c>
      <c r="F226" s="190">
        <v>3903392.22</v>
      </c>
      <c r="G226" s="191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22.5" customHeight="1">
      <c r="A227" s="174" t="s">
        <v>3305</v>
      </c>
      <c r="B227" s="174" t="s">
        <v>103</v>
      </c>
      <c r="C227" s="189">
        <v>2019.0</v>
      </c>
      <c r="D227" s="175" t="s">
        <v>2739</v>
      </c>
      <c r="E227" s="174" t="s">
        <v>3139</v>
      </c>
      <c r="F227" s="190">
        <v>3903392.22</v>
      </c>
      <c r="G227" s="191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22.5" customHeight="1">
      <c r="A228" s="174" t="s">
        <v>3307</v>
      </c>
      <c r="B228" s="174" t="s">
        <v>103</v>
      </c>
      <c r="C228" s="189">
        <v>2019.0</v>
      </c>
      <c r="D228" s="175" t="s">
        <v>2541</v>
      </c>
      <c r="E228" s="174" t="s">
        <v>3139</v>
      </c>
      <c r="F228" s="190">
        <v>3903392.22</v>
      </c>
      <c r="G228" s="191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22.5" customHeight="1">
      <c r="A229" s="174" t="s">
        <v>3309</v>
      </c>
      <c r="B229" s="174" t="s">
        <v>103</v>
      </c>
      <c r="C229" s="189">
        <v>2019.0</v>
      </c>
      <c r="D229" s="175" t="s">
        <v>2553</v>
      </c>
      <c r="E229" s="174" t="s">
        <v>3139</v>
      </c>
      <c r="F229" s="190">
        <v>3903392.22</v>
      </c>
      <c r="G229" s="191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22.5" customHeight="1">
      <c r="A230" s="174" t="s">
        <v>3311</v>
      </c>
      <c r="B230" s="174" t="s">
        <v>103</v>
      </c>
      <c r="C230" s="189">
        <v>2019.0</v>
      </c>
      <c r="D230" s="175" t="s">
        <v>2573</v>
      </c>
      <c r="E230" s="174" t="s">
        <v>3139</v>
      </c>
      <c r="F230" s="190">
        <v>3903392.22</v>
      </c>
      <c r="G230" s="191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22.5" customHeight="1">
      <c r="A231" s="174" t="s">
        <v>3312</v>
      </c>
      <c r="B231" s="174" t="s">
        <v>103</v>
      </c>
      <c r="C231" s="189">
        <v>2019.0</v>
      </c>
      <c r="D231" s="175" t="s">
        <v>2593</v>
      </c>
      <c r="E231" s="174" t="s">
        <v>3139</v>
      </c>
      <c r="F231" s="190">
        <v>3903392.22</v>
      </c>
      <c r="G231" s="191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22.5" customHeight="1">
      <c r="A232" s="174" t="s">
        <v>3314</v>
      </c>
      <c r="B232" s="174" t="s">
        <v>103</v>
      </c>
      <c r="C232" s="189">
        <v>2019.0</v>
      </c>
      <c r="D232" s="175" t="s">
        <v>2616</v>
      </c>
      <c r="E232" s="174" t="s">
        <v>3139</v>
      </c>
      <c r="F232" s="190">
        <v>3903392.22</v>
      </c>
      <c r="G232" s="191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22.5" customHeight="1">
      <c r="A233" s="174" t="s">
        <v>3316</v>
      </c>
      <c r="B233" s="174" t="s">
        <v>103</v>
      </c>
      <c r="C233" s="189">
        <v>2019.0</v>
      </c>
      <c r="D233" s="175" t="s">
        <v>2742</v>
      </c>
      <c r="E233" s="174" t="s">
        <v>3139</v>
      </c>
      <c r="F233" s="190">
        <v>3903392.22</v>
      </c>
      <c r="G233" s="191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22.5" customHeight="1">
      <c r="A234" s="174" t="s">
        <v>3317</v>
      </c>
      <c r="B234" s="174" t="s">
        <v>103</v>
      </c>
      <c r="C234" s="189">
        <v>2019.0</v>
      </c>
      <c r="D234" s="175" t="s">
        <v>2496</v>
      </c>
      <c r="E234" s="174" t="s">
        <v>3139</v>
      </c>
      <c r="F234" s="190">
        <v>3903392.22</v>
      </c>
      <c r="G234" s="191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22.5" customHeight="1">
      <c r="A235" s="174" t="s">
        <v>3319</v>
      </c>
      <c r="B235" s="174" t="s">
        <v>103</v>
      </c>
      <c r="C235" s="189">
        <v>2020.0</v>
      </c>
      <c r="D235" s="175" t="s">
        <v>2495</v>
      </c>
      <c r="E235" s="174" t="s">
        <v>3139</v>
      </c>
      <c r="F235" s="190">
        <v>4019329.15</v>
      </c>
      <c r="G235" s="191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22.5" customHeight="1">
      <c r="A236" s="174" t="s">
        <v>3321</v>
      </c>
      <c r="B236" s="174" t="s">
        <v>103</v>
      </c>
      <c r="C236" s="189">
        <v>2020.0</v>
      </c>
      <c r="D236" s="175" t="s">
        <v>2834</v>
      </c>
      <c r="E236" s="174" t="s">
        <v>3139</v>
      </c>
      <c r="F236" s="190">
        <v>4019329.15</v>
      </c>
      <c r="G236" s="191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22.5" customHeight="1">
      <c r="A237" s="174" t="s">
        <v>3323</v>
      </c>
      <c r="B237" s="174" t="s">
        <v>103</v>
      </c>
      <c r="C237" s="189">
        <v>2020.0</v>
      </c>
      <c r="D237" s="175" t="s">
        <v>2585</v>
      </c>
      <c r="E237" s="174" t="s">
        <v>3139</v>
      </c>
      <c r="F237" s="190">
        <v>4019329.15</v>
      </c>
      <c r="G237" s="191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22.5" customHeight="1">
      <c r="A238" s="174" t="s">
        <v>3324</v>
      </c>
      <c r="B238" s="174" t="s">
        <v>103</v>
      </c>
      <c r="C238" s="189">
        <v>2020.0</v>
      </c>
      <c r="D238" s="175" t="s">
        <v>2594</v>
      </c>
      <c r="E238" s="174" t="s">
        <v>3139</v>
      </c>
      <c r="F238" s="190">
        <v>4019329.15</v>
      </c>
      <c r="G238" s="191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22.5" customHeight="1">
      <c r="A239" s="174" t="s">
        <v>3326</v>
      </c>
      <c r="B239" s="174" t="s">
        <v>103</v>
      </c>
      <c r="C239" s="189">
        <v>2020.0</v>
      </c>
      <c r="D239" s="175" t="s">
        <v>2739</v>
      </c>
      <c r="E239" s="174" t="s">
        <v>3139</v>
      </c>
      <c r="F239" s="190">
        <v>4019329.15</v>
      </c>
      <c r="G239" s="191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22.5" customHeight="1">
      <c r="A240" s="174" t="s">
        <v>3327</v>
      </c>
      <c r="B240" s="174" t="s">
        <v>103</v>
      </c>
      <c r="C240" s="189">
        <v>2020.0</v>
      </c>
      <c r="D240" s="175" t="s">
        <v>2541</v>
      </c>
      <c r="E240" s="174" t="s">
        <v>3139</v>
      </c>
      <c r="F240" s="190">
        <v>4019329.15</v>
      </c>
      <c r="G240" s="191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22.5" customHeight="1">
      <c r="A241" s="174" t="s">
        <v>3329</v>
      </c>
      <c r="B241" s="174" t="s">
        <v>103</v>
      </c>
      <c r="C241" s="189">
        <v>2020.0</v>
      </c>
      <c r="D241" s="175" t="s">
        <v>2553</v>
      </c>
      <c r="E241" s="174" t="s">
        <v>3139</v>
      </c>
      <c r="F241" s="190">
        <v>4019329.15</v>
      </c>
      <c r="G241" s="191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22.5" customHeight="1">
      <c r="A242" s="174" t="s">
        <v>3331</v>
      </c>
      <c r="B242" s="174" t="s">
        <v>103</v>
      </c>
      <c r="C242" s="189">
        <v>2020.0</v>
      </c>
      <c r="D242" s="175" t="s">
        <v>2573</v>
      </c>
      <c r="E242" s="174" t="s">
        <v>3139</v>
      </c>
      <c r="F242" s="190">
        <v>4019329.15</v>
      </c>
      <c r="G242" s="191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22.5" customHeight="1">
      <c r="A243" s="174" t="s">
        <v>3333</v>
      </c>
      <c r="B243" s="174" t="s">
        <v>103</v>
      </c>
      <c r="C243" s="189">
        <v>2020.0</v>
      </c>
      <c r="D243" s="175" t="s">
        <v>2593</v>
      </c>
      <c r="E243" s="174" t="s">
        <v>3139</v>
      </c>
      <c r="F243" s="190">
        <v>4019329.15</v>
      </c>
      <c r="G243" s="191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22.5" customHeight="1">
      <c r="A244" s="174" t="s">
        <v>3335</v>
      </c>
      <c r="B244" s="174" t="s">
        <v>103</v>
      </c>
      <c r="C244" s="189">
        <v>2020.0</v>
      </c>
      <c r="D244" s="175" t="s">
        <v>2616</v>
      </c>
      <c r="E244" s="174" t="s">
        <v>3139</v>
      </c>
      <c r="F244" s="190">
        <v>4019329.15</v>
      </c>
      <c r="G244" s="191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22.5" customHeight="1">
      <c r="A245" s="174" t="s">
        <v>3337</v>
      </c>
      <c r="B245" s="174" t="s">
        <v>103</v>
      </c>
      <c r="C245" s="189">
        <v>2020.0</v>
      </c>
      <c r="D245" s="175" t="s">
        <v>2742</v>
      </c>
      <c r="E245" s="174" t="s">
        <v>3139</v>
      </c>
      <c r="F245" s="190">
        <v>4019329.15</v>
      </c>
      <c r="G245" s="191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22.5" customHeight="1">
      <c r="A246" s="174" t="s">
        <v>3338</v>
      </c>
      <c r="B246" s="174" t="s">
        <v>103</v>
      </c>
      <c r="C246" s="189">
        <v>2020.0</v>
      </c>
      <c r="D246" s="175" t="s">
        <v>2496</v>
      </c>
      <c r="E246" s="174" t="s">
        <v>3139</v>
      </c>
      <c r="F246" s="190">
        <v>4019329.15</v>
      </c>
      <c r="G246" s="191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22.5" customHeight="1">
      <c r="A247" s="174" t="s">
        <v>3340</v>
      </c>
      <c r="B247" s="174" t="s">
        <v>103</v>
      </c>
      <c r="C247" s="189">
        <v>2021.0</v>
      </c>
      <c r="D247" s="175" t="s">
        <v>2495</v>
      </c>
      <c r="E247" s="174" t="s">
        <v>3139</v>
      </c>
      <c r="F247" s="190">
        <v>4153173.39</v>
      </c>
      <c r="G247" s="191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22.5" customHeight="1">
      <c r="A248" s="174" t="s">
        <v>3342</v>
      </c>
      <c r="B248" s="174" t="s">
        <v>103</v>
      </c>
      <c r="C248" s="189">
        <v>2021.0</v>
      </c>
      <c r="D248" s="175" t="s">
        <v>2834</v>
      </c>
      <c r="E248" s="174" t="s">
        <v>3139</v>
      </c>
      <c r="F248" s="190">
        <v>4153173.39</v>
      </c>
      <c r="G248" s="191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22.5" customHeight="1">
      <c r="A249" s="174" t="s">
        <v>3344</v>
      </c>
      <c r="B249" s="174" t="s">
        <v>103</v>
      </c>
      <c r="C249" s="189">
        <v>2021.0</v>
      </c>
      <c r="D249" s="175" t="s">
        <v>2585</v>
      </c>
      <c r="E249" s="174" t="s">
        <v>3139</v>
      </c>
      <c r="F249" s="190">
        <v>4153173.39</v>
      </c>
      <c r="G249" s="191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22.5" customHeight="1">
      <c r="A250" s="174" t="s">
        <v>3346</v>
      </c>
      <c r="B250" s="174" t="s">
        <v>103</v>
      </c>
      <c r="C250" s="189">
        <v>2021.0</v>
      </c>
      <c r="D250" s="175" t="s">
        <v>2594</v>
      </c>
      <c r="E250" s="174" t="s">
        <v>3139</v>
      </c>
      <c r="F250" s="190">
        <v>4153173.39</v>
      </c>
      <c r="G250" s="191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22.5" customHeight="1">
      <c r="A251" s="174" t="s">
        <v>3348</v>
      </c>
      <c r="B251" s="174" t="s">
        <v>103</v>
      </c>
      <c r="C251" s="189">
        <v>2021.0</v>
      </c>
      <c r="D251" s="175" t="s">
        <v>2739</v>
      </c>
      <c r="E251" s="174" t="s">
        <v>3139</v>
      </c>
      <c r="F251" s="190">
        <v>4153173.39</v>
      </c>
      <c r="G251" s="191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22.5" customHeight="1">
      <c r="A252" s="174" t="s">
        <v>3350</v>
      </c>
      <c r="B252" s="174" t="s">
        <v>103</v>
      </c>
      <c r="C252" s="189">
        <v>2021.0</v>
      </c>
      <c r="D252" s="175" t="s">
        <v>2541</v>
      </c>
      <c r="E252" s="174" t="s">
        <v>3139</v>
      </c>
      <c r="F252" s="190">
        <v>4153173.39</v>
      </c>
      <c r="G252" s="191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22.5" customHeight="1">
      <c r="A253" s="174" t="s">
        <v>3352</v>
      </c>
      <c r="B253" s="174" t="s">
        <v>103</v>
      </c>
      <c r="C253" s="189">
        <v>2021.0</v>
      </c>
      <c r="D253" s="175" t="s">
        <v>2553</v>
      </c>
      <c r="E253" s="174" t="s">
        <v>3139</v>
      </c>
      <c r="F253" s="190">
        <v>4153173.39</v>
      </c>
      <c r="G253" s="191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22.5" customHeight="1">
      <c r="A254" s="174" t="s">
        <v>3354</v>
      </c>
      <c r="B254" s="174" t="s">
        <v>103</v>
      </c>
      <c r="C254" s="189">
        <v>2021.0</v>
      </c>
      <c r="D254" s="175" t="s">
        <v>2573</v>
      </c>
      <c r="E254" s="174" t="s">
        <v>3139</v>
      </c>
      <c r="F254" s="190">
        <v>4153173.39</v>
      </c>
      <c r="G254" s="191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22.5" customHeight="1">
      <c r="A255" s="174" t="s">
        <v>3356</v>
      </c>
      <c r="B255" s="174" t="s">
        <v>103</v>
      </c>
      <c r="C255" s="189">
        <v>2021.0</v>
      </c>
      <c r="D255" s="175" t="s">
        <v>2593</v>
      </c>
      <c r="E255" s="174" t="s">
        <v>3139</v>
      </c>
      <c r="F255" s="190">
        <v>4153173.39</v>
      </c>
      <c r="G255" s="191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22.5" customHeight="1">
      <c r="A256" s="174" t="s">
        <v>3358</v>
      </c>
      <c r="B256" s="174" t="s">
        <v>103</v>
      </c>
      <c r="C256" s="189">
        <v>2021.0</v>
      </c>
      <c r="D256" s="175" t="s">
        <v>2616</v>
      </c>
      <c r="E256" s="174" t="s">
        <v>3139</v>
      </c>
      <c r="F256" s="190">
        <v>4153173.39</v>
      </c>
      <c r="G256" s="191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22.5" customHeight="1">
      <c r="A257" s="174" t="s">
        <v>3360</v>
      </c>
      <c r="B257" s="174" t="s">
        <v>103</v>
      </c>
      <c r="C257" s="189">
        <v>2021.0</v>
      </c>
      <c r="D257" s="175" t="s">
        <v>2742</v>
      </c>
      <c r="E257" s="174" t="s">
        <v>3139</v>
      </c>
      <c r="F257" s="190">
        <v>4153173.39</v>
      </c>
      <c r="G257" s="191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22.5" customHeight="1">
      <c r="A258" s="174" t="s">
        <v>3362</v>
      </c>
      <c r="B258" s="174" t="s">
        <v>103</v>
      </c>
      <c r="C258" s="189">
        <v>2021.0</v>
      </c>
      <c r="D258" s="175" t="s">
        <v>2496</v>
      </c>
      <c r="E258" s="174" t="s">
        <v>3139</v>
      </c>
      <c r="F258" s="190">
        <v>4153173.39</v>
      </c>
      <c r="G258" s="191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22.5" customHeight="1">
      <c r="A259" s="174" t="s">
        <v>3364</v>
      </c>
      <c r="B259" s="174" t="s">
        <v>103</v>
      </c>
      <c r="C259" s="189">
        <v>2022.0</v>
      </c>
      <c r="D259" s="175" t="s">
        <v>2495</v>
      </c>
      <c r="E259" s="174" t="s">
        <v>3139</v>
      </c>
      <c r="F259" s="190">
        <v>4459210.03</v>
      </c>
      <c r="G259" s="191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22.5" customHeight="1">
      <c r="A260" s="174" t="s">
        <v>3366</v>
      </c>
      <c r="B260" s="174" t="s">
        <v>103</v>
      </c>
      <c r="C260" s="189">
        <v>2022.0</v>
      </c>
      <c r="D260" s="175" t="s">
        <v>2834</v>
      </c>
      <c r="E260" s="174" t="s">
        <v>3139</v>
      </c>
      <c r="F260" s="190">
        <v>4459210.03</v>
      </c>
      <c r="G260" s="191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22.5" customHeight="1">
      <c r="A261" s="174" t="s">
        <v>3367</v>
      </c>
      <c r="B261" s="174" t="s">
        <v>103</v>
      </c>
      <c r="C261" s="189">
        <v>2022.0</v>
      </c>
      <c r="D261" s="175" t="s">
        <v>2585</v>
      </c>
      <c r="E261" s="174" t="s">
        <v>3139</v>
      </c>
      <c r="F261" s="190">
        <v>4459210.03</v>
      </c>
      <c r="G261" s="191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22.5" customHeight="1">
      <c r="A262" s="174" t="s">
        <v>3370</v>
      </c>
      <c r="B262" s="174" t="s">
        <v>103</v>
      </c>
      <c r="C262" s="189">
        <v>2022.0</v>
      </c>
      <c r="D262" s="175" t="s">
        <v>2594</v>
      </c>
      <c r="E262" s="174" t="s">
        <v>3139</v>
      </c>
      <c r="F262" s="190">
        <v>4459210.03</v>
      </c>
      <c r="G262" s="191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22.5" customHeight="1">
      <c r="A263" s="174" t="s">
        <v>3372</v>
      </c>
      <c r="B263" s="174" t="s">
        <v>103</v>
      </c>
      <c r="C263" s="189">
        <v>2022.0</v>
      </c>
      <c r="D263" s="175" t="s">
        <v>2739</v>
      </c>
      <c r="E263" s="174" t="s">
        <v>3139</v>
      </c>
      <c r="F263" s="190">
        <v>4459210.03</v>
      </c>
      <c r="G263" s="191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22.5" customHeight="1">
      <c r="A264" s="174" t="s">
        <v>3374</v>
      </c>
      <c r="B264" s="174" t="s">
        <v>103</v>
      </c>
      <c r="C264" s="189">
        <v>2022.0</v>
      </c>
      <c r="D264" s="175" t="s">
        <v>2541</v>
      </c>
      <c r="E264" s="174" t="s">
        <v>3139</v>
      </c>
      <c r="F264" s="190">
        <v>4459210.03</v>
      </c>
      <c r="G264" s="191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22.5" customHeight="1">
      <c r="A265" s="174" t="s">
        <v>3376</v>
      </c>
      <c r="B265" s="174" t="s">
        <v>103</v>
      </c>
      <c r="C265" s="189">
        <v>2022.0</v>
      </c>
      <c r="D265" s="175" t="s">
        <v>2553</v>
      </c>
      <c r="E265" s="174" t="s">
        <v>3139</v>
      </c>
      <c r="F265" s="190">
        <v>4459210.03</v>
      </c>
      <c r="G265" s="191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22.5" customHeight="1">
      <c r="A266" s="174" t="s">
        <v>3377</v>
      </c>
      <c r="B266" s="174" t="s">
        <v>103</v>
      </c>
      <c r="C266" s="189">
        <v>2022.0</v>
      </c>
      <c r="D266" s="175" t="s">
        <v>2573</v>
      </c>
      <c r="E266" s="174" t="s">
        <v>3139</v>
      </c>
      <c r="F266" s="190">
        <v>4459210.03</v>
      </c>
      <c r="G266" s="191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22.5" customHeight="1">
      <c r="A267" s="174" t="s">
        <v>3379</v>
      </c>
      <c r="B267" s="174" t="s">
        <v>103</v>
      </c>
      <c r="C267" s="189">
        <v>2022.0</v>
      </c>
      <c r="D267" s="175" t="s">
        <v>2593</v>
      </c>
      <c r="E267" s="174" t="s">
        <v>3139</v>
      </c>
      <c r="F267" s="190">
        <v>4459210.03</v>
      </c>
      <c r="G267" s="191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22.5" customHeight="1">
      <c r="A268" s="174" t="s">
        <v>3381</v>
      </c>
      <c r="B268" s="174" t="s">
        <v>103</v>
      </c>
      <c r="C268" s="189">
        <v>2022.0</v>
      </c>
      <c r="D268" s="175" t="s">
        <v>2616</v>
      </c>
      <c r="E268" s="174" t="s">
        <v>3139</v>
      </c>
      <c r="F268" s="190">
        <v>4459210.03</v>
      </c>
      <c r="G268" s="191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22.5" customHeight="1">
      <c r="A269" s="174" t="s">
        <v>3383</v>
      </c>
      <c r="B269" s="174" t="s">
        <v>103</v>
      </c>
      <c r="C269" s="189">
        <v>2022.0</v>
      </c>
      <c r="D269" s="175" t="s">
        <v>2742</v>
      </c>
      <c r="E269" s="174" t="s">
        <v>3139</v>
      </c>
      <c r="F269" s="190">
        <v>4459210.03</v>
      </c>
      <c r="G269" s="191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22.5" customHeight="1">
      <c r="A270" s="174" t="s">
        <v>3385</v>
      </c>
      <c r="B270" s="174" t="s">
        <v>103</v>
      </c>
      <c r="C270" s="189">
        <v>2022.0</v>
      </c>
      <c r="D270" s="175" t="s">
        <v>2496</v>
      </c>
      <c r="E270" s="174" t="s">
        <v>3139</v>
      </c>
      <c r="F270" s="190">
        <v>4459210.03</v>
      </c>
      <c r="G270" s="191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22.5" customHeight="1">
      <c r="A271" s="174" t="s">
        <v>3387</v>
      </c>
      <c r="B271" s="174" t="s">
        <v>103</v>
      </c>
      <c r="C271" s="189">
        <v>2023.0</v>
      </c>
      <c r="D271" s="175" t="s">
        <v>2495</v>
      </c>
      <c r="E271" s="174" t="s">
        <v>3139</v>
      </c>
      <c r="F271" s="190">
        <v>4806560.17</v>
      </c>
      <c r="G271" s="191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22.5" customHeight="1">
      <c r="A272" s="174" t="s">
        <v>3389</v>
      </c>
      <c r="B272" s="174" t="s">
        <v>103</v>
      </c>
      <c r="C272" s="189">
        <v>2023.0</v>
      </c>
      <c r="D272" s="175" t="s">
        <v>2834</v>
      </c>
      <c r="E272" s="174" t="s">
        <v>3139</v>
      </c>
      <c r="F272" s="190">
        <v>4806560.17</v>
      </c>
      <c r="G272" s="191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22.5" customHeight="1">
      <c r="A273" s="174" t="s">
        <v>3391</v>
      </c>
      <c r="B273" s="174" t="s">
        <v>103</v>
      </c>
      <c r="C273" s="189">
        <v>2023.0</v>
      </c>
      <c r="D273" s="175" t="s">
        <v>2585</v>
      </c>
      <c r="E273" s="174" t="s">
        <v>3139</v>
      </c>
      <c r="F273" s="190">
        <v>4806560.17</v>
      </c>
      <c r="G273" s="191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22.5" customHeight="1">
      <c r="A274" s="174" t="s">
        <v>3393</v>
      </c>
      <c r="B274" s="174" t="s">
        <v>103</v>
      </c>
      <c r="C274" s="189">
        <v>2023.0</v>
      </c>
      <c r="D274" s="175" t="s">
        <v>2594</v>
      </c>
      <c r="E274" s="174" t="s">
        <v>3139</v>
      </c>
      <c r="F274" s="190">
        <v>4806560.17</v>
      </c>
      <c r="G274" s="191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22.5" customHeight="1">
      <c r="A275" s="174" t="s">
        <v>3395</v>
      </c>
      <c r="B275" s="174" t="s">
        <v>103</v>
      </c>
      <c r="C275" s="189">
        <v>2023.0</v>
      </c>
      <c r="D275" s="175" t="s">
        <v>2739</v>
      </c>
      <c r="E275" s="174" t="s">
        <v>3139</v>
      </c>
      <c r="F275" s="190">
        <v>1.149405089E7</v>
      </c>
      <c r="G275" s="191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22.5" customHeight="1">
      <c r="A276" s="174" t="s">
        <v>3397</v>
      </c>
      <c r="B276" s="174" t="s">
        <v>103</v>
      </c>
      <c r="C276" s="189">
        <v>2023.0</v>
      </c>
      <c r="D276" s="175" t="s">
        <v>2541</v>
      </c>
      <c r="E276" s="174" t="s">
        <v>3139</v>
      </c>
      <c r="F276" s="190">
        <v>1.149405089E7</v>
      </c>
      <c r="G276" s="191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22.5" customHeight="1">
      <c r="A277" s="174" t="s">
        <v>3399</v>
      </c>
      <c r="B277" s="174" t="s">
        <v>103</v>
      </c>
      <c r="C277" s="189">
        <v>2023.0</v>
      </c>
      <c r="D277" s="175" t="s">
        <v>2553</v>
      </c>
      <c r="E277" s="174" t="s">
        <v>3139</v>
      </c>
      <c r="F277" s="190">
        <v>1.149405089E7</v>
      </c>
      <c r="G277" s="191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22.5" customHeight="1">
      <c r="A278" s="174" t="s">
        <v>3401</v>
      </c>
      <c r="B278" s="174" t="s">
        <v>103</v>
      </c>
      <c r="C278" s="189">
        <v>2023.0</v>
      </c>
      <c r="D278" s="175" t="s">
        <v>2573</v>
      </c>
      <c r="E278" s="174" t="s">
        <v>3139</v>
      </c>
      <c r="F278" s="190">
        <v>1.149405089E7</v>
      </c>
      <c r="G278" s="191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22.5" customHeight="1">
      <c r="A279" s="174" t="s">
        <v>3403</v>
      </c>
      <c r="B279" s="174" t="s">
        <v>103</v>
      </c>
      <c r="C279" s="189">
        <v>2023.0</v>
      </c>
      <c r="D279" s="175" t="s">
        <v>2593</v>
      </c>
      <c r="E279" s="174" t="s">
        <v>3139</v>
      </c>
      <c r="F279" s="190">
        <v>1.149405089E7</v>
      </c>
      <c r="G279" s="191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22.5" customHeight="1">
      <c r="A280" s="174" t="s">
        <v>3405</v>
      </c>
      <c r="B280" s="174" t="s">
        <v>103</v>
      </c>
      <c r="C280" s="189">
        <v>2023.0</v>
      </c>
      <c r="D280" s="175" t="s">
        <v>2616</v>
      </c>
      <c r="E280" s="174" t="s">
        <v>3139</v>
      </c>
      <c r="F280" s="190">
        <v>1.149405089E7</v>
      </c>
      <c r="G280" s="191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22.5" customHeight="1">
      <c r="A281" s="174" t="s">
        <v>3407</v>
      </c>
      <c r="B281" s="174" t="s">
        <v>103</v>
      </c>
      <c r="C281" s="189">
        <v>2023.0</v>
      </c>
      <c r="D281" s="175" t="s">
        <v>2742</v>
      </c>
      <c r="E281" s="174" t="s">
        <v>3139</v>
      </c>
      <c r="F281" s="190">
        <v>1.149405089E7</v>
      </c>
      <c r="G281" s="191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22.5" customHeight="1">
      <c r="A282" s="174" t="s">
        <v>3409</v>
      </c>
      <c r="B282" s="174" t="s">
        <v>103</v>
      </c>
      <c r="C282" s="189">
        <v>2023.0</v>
      </c>
      <c r="D282" s="175" t="s">
        <v>2496</v>
      </c>
      <c r="E282" s="174" t="s">
        <v>3139</v>
      </c>
      <c r="F282" s="190">
        <v>1.149405089E7</v>
      </c>
      <c r="G282" s="191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22.5" customHeight="1">
      <c r="A283" s="174" t="s">
        <v>3411</v>
      </c>
      <c r="B283" s="174" t="s">
        <v>103</v>
      </c>
      <c r="C283" s="189">
        <v>2024.0</v>
      </c>
      <c r="D283" s="175" t="s">
        <v>2495</v>
      </c>
      <c r="E283" s="174" t="s">
        <v>3139</v>
      </c>
      <c r="F283" s="190">
        <v>1.199059029E7</v>
      </c>
      <c r="G283" s="191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22.5" customHeight="1">
      <c r="A284" s="174" t="s">
        <v>3413</v>
      </c>
      <c r="B284" s="174" t="s">
        <v>103</v>
      </c>
      <c r="C284" s="189">
        <v>2024.0</v>
      </c>
      <c r="D284" s="175" t="s">
        <v>2834</v>
      </c>
      <c r="E284" s="174" t="s">
        <v>3139</v>
      </c>
      <c r="F284" s="190">
        <v>4548154.94</v>
      </c>
      <c r="G284" s="191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22.5" customHeight="1">
      <c r="A285" s="174" t="s">
        <v>3415</v>
      </c>
      <c r="B285" s="174" t="s">
        <v>28</v>
      </c>
      <c r="C285" s="189">
        <v>2018.0</v>
      </c>
      <c r="D285" s="175" t="s">
        <v>2541</v>
      </c>
      <c r="E285" s="174" t="s">
        <v>2818</v>
      </c>
      <c r="F285" s="190">
        <v>177357.66</v>
      </c>
      <c r="G285" s="191">
        <v>177357.66</v>
      </c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22.5" customHeight="1">
      <c r="A286" s="174" t="s">
        <v>3417</v>
      </c>
      <c r="B286" s="174" t="s">
        <v>28</v>
      </c>
      <c r="C286" s="189">
        <v>2018.0</v>
      </c>
      <c r="D286" s="175" t="s">
        <v>2553</v>
      </c>
      <c r="E286" s="174" t="s">
        <v>2818</v>
      </c>
      <c r="F286" s="190">
        <v>1330182.46</v>
      </c>
      <c r="G286" s="191">
        <v>1330182.46</v>
      </c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22.5" customHeight="1">
      <c r="A287" s="174" t="s">
        <v>3419</v>
      </c>
      <c r="B287" s="174" t="s">
        <v>28</v>
      </c>
      <c r="C287" s="189">
        <v>2018.0</v>
      </c>
      <c r="D287" s="175" t="s">
        <v>2573</v>
      </c>
      <c r="E287" s="174" t="s">
        <v>2818</v>
      </c>
      <c r="F287" s="190">
        <v>1330182.46</v>
      </c>
      <c r="G287" s="191">
        <v>1330182.46</v>
      </c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22.5" customHeight="1">
      <c r="A288" s="174" t="s">
        <v>3421</v>
      </c>
      <c r="B288" s="174" t="s">
        <v>28</v>
      </c>
      <c r="C288" s="189">
        <v>2018.0</v>
      </c>
      <c r="D288" s="175" t="s">
        <v>2593</v>
      </c>
      <c r="E288" s="174" t="s">
        <v>2818</v>
      </c>
      <c r="F288" s="190">
        <v>1330182.46</v>
      </c>
      <c r="G288" s="191">
        <v>1330182.46</v>
      </c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22.5" customHeight="1">
      <c r="A289" s="174" t="s">
        <v>3423</v>
      </c>
      <c r="B289" s="174" t="s">
        <v>28</v>
      </c>
      <c r="C289" s="189">
        <v>2018.0</v>
      </c>
      <c r="D289" s="175" t="s">
        <v>2616</v>
      </c>
      <c r="E289" s="174" t="s">
        <v>2818</v>
      </c>
      <c r="F289" s="190">
        <v>1330182.46</v>
      </c>
      <c r="G289" s="191">
        <v>1330182.46</v>
      </c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22.5" customHeight="1">
      <c r="A290" s="174" t="s">
        <v>3425</v>
      </c>
      <c r="B290" s="174" t="s">
        <v>28</v>
      </c>
      <c r="C290" s="189">
        <v>2018.0</v>
      </c>
      <c r="D290" s="175" t="s">
        <v>2742</v>
      </c>
      <c r="E290" s="174" t="s">
        <v>2818</v>
      </c>
      <c r="F290" s="190">
        <v>1330182.46</v>
      </c>
      <c r="G290" s="191">
        <v>1330182.46</v>
      </c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22.5" customHeight="1">
      <c r="A291" s="174" t="s">
        <v>3427</v>
      </c>
      <c r="B291" s="174" t="s">
        <v>28</v>
      </c>
      <c r="C291" s="189">
        <v>2018.0</v>
      </c>
      <c r="D291" s="175" t="s">
        <v>2496</v>
      </c>
      <c r="E291" s="174" t="s">
        <v>2818</v>
      </c>
      <c r="F291" s="190">
        <v>1330182.46</v>
      </c>
      <c r="G291" s="191">
        <v>1330182.46</v>
      </c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22.5" customHeight="1">
      <c r="A292" s="174" t="s">
        <v>3429</v>
      </c>
      <c r="B292" s="174" t="s">
        <v>28</v>
      </c>
      <c r="C292" s="189">
        <v>2019.0</v>
      </c>
      <c r="D292" s="175" t="s">
        <v>2495</v>
      </c>
      <c r="E292" s="174" t="s">
        <v>2818</v>
      </c>
      <c r="F292" s="190">
        <v>1392966.76</v>
      </c>
      <c r="G292" s="191">
        <v>1392966.76</v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22.5" customHeight="1">
      <c r="A293" s="174" t="s">
        <v>3431</v>
      </c>
      <c r="B293" s="174" t="s">
        <v>28</v>
      </c>
      <c r="C293" s="189">
        <v>2019.0</v>
      </c>
      <c r="D293" s="175" t="s">
        <v>2834</v>
      </c>
      <c r="E293" s="174" t="s">
        <v>2818</v>
      </c>
      <c r="F293" s="190">
        <v>1392966.76</v>
      </c>
      <c r="G293" s="191">
        <v>1392966.76</v>
      </c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22.5" customHeight="1">
      <c r="A294" s="174" t="s">
        <v>3433</v>
      </c>
      <c r="B294" s="174" t="s">
        <v>28</v>
      </c>
      <c r="C294" s="189">
        <v>2019.0</v>
      </c>
      <c r="D294" s="175" t="s">
        <v>2585</v>
      </c>
      <c r="E294" s="174" t="s">
        <v>2818</v>
      </c>
      <c r="F294" s="190">
        <v>1392966.76</v>
      </c>
      <c r="G294" s="191">
        <v>1392966.76</v>
      </c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22.5" customHeight="1">
      <c r="A295" s="174" t="s">
        <v>3435</v>
      </c>
      <c r="B295" s="174" t="s">
        <v>28</v>
      </c>
      <c r="C295" s="189">
        <v>2019.0</v>
      </c>
      <c r="D295" s="175" t="s">
        <v>2594</v>
      </c>
      <c r="E295" s="174" t="s">
        <v>2818</v>
      </c>
      <c r="F295" s="190">
        <v>1392966.76</v>
      </c>
      <c r="G295" s="191">
        <v>1392966.76</v>
      </c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22.5" customHeight="1">
      <c r="A296" s="174" t="s">
        <v>3437</v>
      </c>
      <c r="B296" s="174" t="s">
        <v>28</v>
      </c>
      <c r="C296" s="189">
        <v>2019.0</v>
      </c>
      <c r="D296" s="175" t="s">
        <v>2739</v>
      </c>
      <c r="E296" s="174" t="s">
        <v>2818</v>
      </c>
      <c r="F296" s="190">
        <v>1392966.76</v>
      </c>
      <c r="G296" s="191">
        <v>1392966.76</v>
      </c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22.5" customHeight="1">
      <c r="A297" s="174" t="s">
        <v>3439</v>
      </c>
      <c r="B297" s="174" t="s">
        <v>28</v>
      </c>
      <c r="C297" s="189">
        <v>2019.0</v>
      </c>
      <c r="D297" s="175" t="s">
        <v>2541</v>
      </c>
      <c r="E297" s="174" t="s">
        <v>2818</v>
      </c>
      <c r="F297" s="190">
        <v>1392966.76</v>
      </c>
      <c r="G297" s="191">
        <v>1392966.76</v>
      </c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22.5" customHeight="1">
      <c r="A298" s="174" t="s">
        <v>3441</v>
      </c>
      <c r="B298" s="174" t="s">
        <v>28</v>
      </c>
      <c r="C298" s="189">
        <v>2019.0</v>
      </c>
      <c r="D298" s="175" t="s">
        <v>2553</v>
      </c>
      <c r="E298" s="174" t="s">
        <v>2818</v>
      </c>
      <c r="F298" s="190">
        <v>1392966.76</v>
      </c>
      <c r="G298" s="191">
        <v>1392966.76</v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22.5" customHeight="1">
      <c r="A299" s="174" t="s">
        <v>3442</v>
      </c>
      <c r="B299" s="174" t="s">
        <v>28</v>
      </c>
      <c r="C299" s="189">
        <v>2019.0</v>
      </c>
      <c r="D299" s="175" t="s">
        <v>2573</v>
      </c>
      <c r="E299" s="174" t="s">
        <v>2818</v>
      </c>
      <c r="F299" s="190">
        <v>1392966.76</v>
      </c>
      <c r="G299" s="191">
        <v>1392966.76</v>
      </c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22.5" customHeight="1">
      <c r="A300" s="174" t="s">
        <v>3444</v>
      </c>
      <c r="B300" s="174" t="s">
        <v>28</v>
      </c>
      <c r="C300" s="189">
        <v>2019.0</v>
      </c>
      <c r="D300" s="175" t="s">
        <v>2593</v>
      </c>
      <c r="E300" s="174" t="s">
        <v>2818</v>
      </c>
      <c r="F300" s="190">
        <v>1392966.76</v>
      </c>
      <c r="G300" s="191">
        <v>1392966.76</v>
      </c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22.5" customHeight="1">
      <c r="A301" s="174" t="s">
        <v>3446</v>
      </c>
      <c r="B301" s="174" t="s">
        <v>28</v>
      </c>
      <c r="C301" s="189">
        <v>2019.0</v>
      </c>
      <c r="D301" s="175" t="s">
        <v>2616</v>
      </c>
      <c r="E301" s="174" t="s">
        <v>2818</v>
      </c>
      <c r="F301" s="190">
        <v>1392966.76</v>
      </c>
      <c r="G301" s="191">
        <v>1392966.76</v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22.5" customHeight="1">
      <c r="A302" s="174" t="s">
        <v>3448</v>
      </c>
      <c r="B302" s="174" t="s">
        <v>28</v>
      </c>
      <c r="C302" s="189">
        <v>2019.0</v>
      </c>
      <c r="D302" s="175" t="s">
        <v>2742</v>
      </c>
      <c r="E302" s="174" t="s">
        <v>2818</v>
      </c>
      <c r="F302" s="190">
        <v>1392966.76</v>
      </c>
      <c r="G302" s="191">
        <v>1392966.76</v>
      </c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22.5" customHeight="1">
      <c r="A303" s="174" t="s">
        <v>3450</v>
      </c>
      <c r="B303" s="174" t="s">
        <v>28</v>
      </c>
      <c r="C303" s="189">
        <v>2019.0</v>
      </c>
      <c r="D303" s="175" t="s">
        <v>2496</v>
      </c>
      <c r="E303" s="174" t="s">
        <v>2818</v>
      </c>
      <c r="F303" s="190">
        <v>1392966.76</v>
      </c>
      <c r="G303" s="191">
        <v>1392966.76</v>
      </c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22.5" customHeight="1">
      <c r="A304" s="174" t="s">
        <v>3452</v>
      </c>
      <c r="B304" s="174" t="s">
        <v>28</v>
      </c>
      <c r="C304" s="189">
        <v>2020.0</v>
      </c>
      <c r="D304" s="175" t="s">
        <v>2495</v>
      </c>
      <c r="E304" s="174" t="s">
        <v>2818</v>
      </c>
      <c r="F304" s="190">
        <v>1434340.07</v>
      </c>
      <c r="G304" s="191">
        <v>1434340.07</v>
      </c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22.5" customHeight="1">
      <c r="A305" s="174" t="s">
        <v>3455</v>
      </c>
      <c r="B305" s="174" t="s">
        <v>28</v>
      </c>
      <c r="C305" s="189">
        <v>2020.0</v>
      </c>
      <c r="D305" s="175" t="s">
        <v>2834</v>
      </c>
      <c r="E305" s="174" t="s">
        <v>2818</v>
      </c>
      <c r="F305" s="190">
        <v>1434340.07</v>
      </c>
      <c r="G305" s="191">
        <v>1434340.07</v>
      </c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22.5" customHeight="1">
      <c r="A306" s="174" t="s">
        <v>3457</v>
      </c>
      <c r="B306" s="174" t="s">
        <v>28</v>
      </c>
      <c r="C306" s="189">
        <v>2020.0</v>
      </c>
      <c r="D306" s="175" t="s">
        <v>2585</v>
      </c>
      <c r="E306" s="174" t="s">
        <v>2818</v>
      </c>
      <c r="F306" s="190">
        <v>1434340.07</v>
      </c>
      <c r="G306" s="191">
        <v>1434340.07</v>
      </c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22.5" customHeight="1">
      <c r="A307" s="174" t="s">
        <v>3459</v>
      </c>
      <c r="B307" s="174" t="s">
        <v>28</v>
      </c>
      <c r="C307" s="189">
        <v>2020.0</v>
      </c>
      <c r="D307" s="175" t="s">
        <v>2594</v>
      </c>
      <c r="E307" s="174" t="s">
        <v>2818</v>
      </c>
      <c r="F307" s="190">
        <v>1434340.07</v>
      </c>
      <c r="G307" s="191">
        <v>1434340.07</v>
      </c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22.5" customHeight="1">
      <c r="A308" s="174" t="s">
        <v>3461</v>
      </c>
      <c r="B308" s="174" t="s">
        <v>28</v>
      </c>
      <c r="C308" s="189">
        <v>2020.0</v>
      </c>
      <c r="D308" s="175" t="s">
        <v>2739</v>
      </c>
      <c r="E308" s="174" t="s">
        <v>2818</v>
      </c>
      <c r="F308" s="190">
        <v>1434340.07</v>
      </c>
      <c r="G308" s="191">
        <v>1434340.07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22.5" customHeight="1">
      <c r="A309" s="174" t="s">
        <v>3462</v>
      </c>
      <c r="B309" s="174" t="s">
        <v>28</v>
      </c>
      <c r="C309" s="189">
        <v>2020.0</v>
      </c>
      <c r="D309" s="175" t="s">
        <v>2541</v>
      </c>
      <c r="E309" s="174" t="s">
        <v>2818</v>
      </c>
      <c r="F309" s="190">
        <v>1434340.07</v>
      </c>
      <c r="G309" s="191">
        <v>1434340.07</v>
      </c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22.5" customHeight="1">
      <c r="A310" s="174" t="s">
        <v>3464</v>
      </c>
      <c r="B310" s="174" t="s">
        <v>28</v>
      </c>
      <c r="C310" s="189">
        <v>2020.0</v>
      </c>
      <c r="D310" s="175" t="s">
        <v>2553</v>
      </c>
      <c r="E310" s="174" t="s">
        <v>2818</v>
      </c>
      <c r="F310" s="190">
        <v>1434340.07</v>
      </c>
      <c r="G310" s="191">
        <v>1434340.07</v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22.5" customHeight="1">
      <c r="A311" s="174" t="s">
        <v>3466</v>
      </c>
      <c r="B311" s="174" t="s">
        <v>28</v>
      </c>
      <c r="C311" s="189">
        <v>2020.0</v>
      </c>
      <c r="D311" s="175" t="s">
        <v>2573</v>
      </c>
      <c r="E311" s="174" t="s">
        <v>2818</v>
      </c>
      <c r="F311" s="190">
        <v>1434340.07</v>
      </c>
      <c r="G311" s="191">
        <v>1434340.07</v>
      </c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22.5" customHeight="1">
      <c r="A312" s="174" t="s">
        <v>3468</v>
      </c>
      <c r="B312" s="174" t="s">
        <v>28</v>
      </c>
      <c r="C312" s="189">
        <v>2020.0</v>
      </c>
      <c r="D312" s="175" t="s">
        <v>2593</v>
      </c>
      <c r="E312" s="174" t="s">
        <v>2818</v>
      </c>
      <c r="F312" s="190">
        <v>1434340.07</v>
      </c>
      <c r="G312" s="191">
        <v>1434340.07</v>
      </c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22.5" customHeight="1">
      <c r="A313" s="174" t="s">
        <v>3470</v>
      </c>
      <c r="B313" s="174" t="s">
        <v>28</v>
      </c>
      <c r="C313" s="189">
        <v>2020.0</v>
      </c>
      <c r="D313" s="175" t="s">
        <v>2616</v>
      </c>
      <c r="E313" s="174" t="s">
        <v>2818</v>
      </c>
      <c r="F313" s="190">
        <v>1434340.07</v>
      </c>
      <c r="G313" s="191">
        <v>1434340.07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22.5" customHeight="1">
      <c r="A314" s="174" t="s">
        <v>3472</v>
      </c>
      <c r="B314" s="174" t="s">
        <v>28</v>
      </c>
      <c r="C314" s="189">
        <v>2020.0</v>
      </c>
      <c r="D314" s="175" t="s">
        <v>2742</v>
      </c>
      <c r="E314" s="174" t="s">
        <v>2818</v>
      </c>
      <c r="F314" s="190">
        <v>1434340.07</v>
      </c>
      <c r="G314" s="191">
        <v>1434340.07</v>
      </c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22.5" customHeight="1">
      <c r="A315" s="174" t="s">
        <v>3474</v>
      </c>
      <c r="B315" s="174" t="s">
        <v>28</v>
      </c>
      <c r="C315" s="189">
        <v>2020.0</v>
      </c>
      <c r="D315" s="175" t="s">
        <v>2496</v>
      </c>
      <c r="E315" s="174" t="s">
        <v>2818</v>
      </c>
      <c r="F315" s="190">
        <v>1434340.07</v>
      </c>
      <c r="G315" s="191">
        <v>1434340.07</v>
      </c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22.5" customHeight="1">
      <c r="A316" s="174" t="s">
        <v>3476</v>
      </c>
      <c r="B316" s="174" t="s">
        <v>28</v>
      </c>
      <c r="C316" s="189">
        <v>2021.0</v>
      </c>
      <c r="D316" s="175" t="s">
        <v>2495</v>
      </c>
      <c r="E316" s="174" t="s">
        <v>2818</v>
      </c>
      <c r="F316" s="190">
        <v>1482103.81</v>
      </c>
      <c r="G316" s="191">
        <v>1482103.81</v>
      </c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22.5" customHeight="1">
      <c r="A317" s="174" t="s">
        <v>3478</v>
      </c>
      <c r="B317" s="174" t="s">
        <v>28</v>
      </c>
      <c r="C317" s="189">
        <v>2021.0</v>
      </c>
      <c r="D317" s="175" t="s">
        <v>2834</v>
      </c>
      <c r="E317" s="174" t="s">
        <v>2818</v>
      </c>
      <c r="F317" s="190">
        <v>1482103.81</v>
      </c>
      <c r="G317" s="191">
        <v>1482103.81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22.5" customHeight="1">
      <c r="A318" s="174" t="s">
        <v>3480</v>
      </c>
      <c r="B318" s="174" t="s">
        <v>28</v>
      </c>
      <c r="C318" s="189">
        <v>2021.0</v>
      </c>
      <c r="D318" s="175" t="s">
        <v>2585</v>
      </c>
      <c r="E318" s="174" t="s">
        <v>2818</v>
      </c>
      <c r="F318" s="190">
        <v>1482103.81</v>
      </c>
      <c r="G318" s="191">
        <v>1482103.81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22.5" customHeight="1">
      <c r="A319" s="174" t="s">
        <v>3482</v>
      </c>
      <c r="B319" s="174" t="s">
        <v>28</v>
      </c>
      <c r="C319" s="189">
        <v>2021.0</v>
      </c>
      <c r="D319" s="175" t="s">
        <v>2594</v>
      </c>
      <c r="E319" s="174" t="s">
        <v>2818</v>
      </c>
      <c r="F319" s="190">
        <v>1482103.81</v>
      </c>
      <c r="G319" s="191">
        <v>1482103.81</v>
      </c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22.5" customHeight="1">
      <c r="A320" s="174" t="s">
        <v>3484</v>
      </c>
      <c r="B320" s="174" t="s">
        <v>28</v>
      </c>
      <c r="C320" s="189">
        <v>2021.0</v>
      </c>
      <c r="D320" s="175" t="s">
        <v>2739</v>
      </c>
      <c r="E320" s="174" t="s">
        <v>2818</v>
      </c>
      <c r="F320" s="190">
        <v>1482103.81</v>
      </c>
      <c r="G320" s="191">
        <v>1482103.81</v>
      </c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22.5" customHeight="1">
      <c r="A321" s="174" t="s">
        <v>3486</v>
      </c>
      <c r="B321" s="174" t="s">
        <v>28</v>
      </c>
      <c r="C321" s="189">
        <v>2021.0</v>
      </c>
      <c r="D321" s="175" t="s">
        <v>2541</v>
      </c>
      <c r="E321" s="174" t="s">
        <v>2818</v>
      </c>
      <c r="F321" s="190">
        <v>1482103.81</v>
      </c>
      <c r="G321" s="191">
        <v>1482103.81</v>
      </c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22.5" customHeight="1">
      <c r="A322" s="174" t="s">
        <v>3488</v>
      </c>
      <c r="B322" s="174" t="s">
        <v>28</v>
      </c>
      <c r="C322" s="189">
        <v>2021.0</v>
      </c>
      <c r="D322" s="175" t="s">
        <v>2553</v>
      </c>
      <c r="E322" s="174" t="s">
        <v>2818</v>
      </c>
      <c r="F322" s="190">
        <v>1482103.81</v>
      </c>
      <c r="G322" s="191">
        <v>1482103.81</v>
      </c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22.5" customHeight="1">
      <c r="A323" s="174" t="s">
        <v>3490</v>
      </c>
      <c r="B323" s="174" t="s">
        <v>28</v>
      </c>
      <c r="C323" s="189">
        <v>2021.0</v>
      </c>
      <c r="D323" s="175" t="s">
        <v>2573</v>
      </c>
      <c r="E323" s="174" t="s">
        <v>2818</v>
      </c>
      <c r="F323" s="190">
        <v>1482103.81</v>
      </c>
      <c r="G323" s="191">
        <v>1482103.81</v>
      </c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22.5" customHeight="1">
      <c r="A324" s="174" t="s">
        <v>3492</v>
      </c>
      <c r="B324" s="174" t="s">
        <v>28</v>
      </c>
      <c r="C324" s="189">
        <v>2021.0</v>
      </c>
      <c r="D324" s="175" t="s">
        <v>2593</v>
      </c>
      <c r="E324" s="174" t="s">
        <v>2818</v>
      </c>
      <c r="F324" s="190">
        <v>1482103.81</v>
      </c>
      <c r="G324" s="191">
        <v>1482103.81</v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22.5" customHeight="1">
      <c r="A325" s="174" t="s">
        <v>3494</v>
      </c>
      <c r="B325" s="174" t="s">
        <v>28</v>
      </c>
      <c r="C325" s="189">
        <v>2021.0</v>
      </c>
      <c r="D325" s="175" t="s">
        <v>2616</v>
      </c>
      <c r="E325" s="174" t="s">
        <v>2818</v>
      </c>
      <c r="F325" s="190">
        <v>1482103.81</v>
      </c>
      <c r="G325" s="191">
        <v>1482103.81</v>
      </c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22.5" customHeight="1">
      <c r="A326" s="174" t="s">
        <v>3496</v>
      </c>
      <c r="B326" s="174" t="s">
        <v>28</v>
      </c>
      <c r="C326" s="189">
        <v>2021.0</v>
      </c>
      <c r="D326" s="175" t="s">
        <v>2742</v>
      </c>
      <c r="E326" s="174" t="s">
        <v>2818</v>
      </c>
      <c r="F326" s="190">
        <v>1482103.81</v>
      </c>
      <c r="G326" s="191">
        <v>1482103.81</v>
      </c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22.5" customHeight="1">
      <c r="A327" s="174" t="s">
        <v>3498</v>
      </c>
      <c r="B327" s="174" t="s">
        <v>28</v>
      </c>
      <c r="C327" s="189">
        <v>2021.0</v>
      </c>
      <c r="D327" s="175" t="s">
        <v>2496</v>
      </c>
      <c r="E327" s="174" t="s">
        <v>2818</v>
      </c>
      <c r="F327" s="190">
        <v>1482103.81</v>
      </c>
      <c r="G327" s="191">
        <v>1482103.81</v>
      </c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22.5" customHeight="1">
      <c r="A328" s="174" t="s">
        <v>3500</v>
      </c>
      <c r="B328" s="174" t="s">
        <v>169</v>
      </c>
      <c r="C328" s="189">
        <v>2017.0</v>
      </c>
      <c r="D328" s="175" t="s">
        <v>2593</v>
      </c>
      <c r="E328" s="174" t="s">
        <v>2818</v>
      </c>
      <c r="F328" s="190">
        <v>142305.9</v>
      </c>
      <c r="G328" s="191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22.5" customHeight="1">
      <c r="A329" s="174" t="s">
        <v>3502</v>
      </c>
      <c r="B329" s="174" t="s">
        <v>169</v>
      </c>
      <c r="C329" s="189">
        <v>2017.0</v>
      </c>
      <c r="D329" s="175" t="s">
        <v>2616</v>
      </c>
      <c r="E329" s="174" t="s">
        <v>2818</v>
      </c>
      <c r="F329" s="190">
        <v>711529.49</v>
      </c>
      <c r="G329" s="191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22.5" customHeight="1">
      <c r="A330" s="174" t="s">
        <v>3504</v>
      </c>
      <c r="B330" s="174" t="s">
        <v>169</v>
      </c>
      <c r="C330" s="189">
        <v>2017.0</v>
      </c>
      <c r="D330" s="175" t="s">
        <v>2742</v>
      </c>
      <c r="E330" s="174" t="s">
        <v>2818</v>
      </c>
      <c r="F330" s="190">
        <v>711529.49</v>
      </c>
      <c r="G330" s="191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22.5" customHeight="1">
      <c r="A331" s="174" t="s">
        <v>3506</v>
      </c>
      <c r="B331" s="174" t="s">
        <v>169</v>
      </c>
      <c r="C331" s="189">
        <v>2017.0</v>
      </c>
      <c r="D331" s="175" t="s">
        <v>2496</v>
      </c>
      <c r="E331" s="174" t="s">
        <v>2818</v>
      </c>
      <c r="F331" s="190">
        <v>711529.49</v>
      </c>
      <c r="G331" s="191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22.5" customHeight="1">
      <c r="A332" s="174" t="s">
        <v>3508</v>
      </c>
      <c r="B332" s="174" t="s">
        <v>169</v>
      </c>
      <c r="C332" s="189">
        <v>2018.0</v>
      </c>
      <c r="D332" s="175" t="s">
        <v>2495</v>
      </c>
      <c r="E332" s="174" t="s">
        <v>2818</v>
      </c>
      <c r="F332" s="190">
        <v>758702.65</v>
      </c>
      <c r="G332" s="191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22.5" customHeight="1">
      <c r="A333" s="174" t="s">
        <v>3510</v>
      </c>
      <c r="B333" s="174" t="s">
        <v>169</v>
      </c>
      <c r="C333" s="189">
        <v>2018.0</v>
      </c>
      <c r="D333" s="175" t="s">
        <v>2834</v>
      </c>
      <c r="E333" s="174" t="s">
        <v>2818</v>
      </c>
      <c r="F333" s="190">
        <v>758702.65</v>
      </c>
      <c r="G333" s="191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22.5" customHeight="1">
      <c r="A334" s="174" t="s">
        <v>3512</v>
      </c>
      <c r="B334" s="174" t="s">
        <v>169</v>
      </c>
      <c r="C334" s="189">
        <v>2018.0</v>
      </c>
      <c r="D334" s="175" t="s">
        <v>2585</v>
      </c>
      <c r="E334" s="174" t="s">
        <v>2818</v>
      </c>
      <c r="F334" s="190">
        <v>758702.65</v>
      </c>
      <c r="G334" s="191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22.5" customHeight="1">
      <c r="A335" s="174" t="s">
        <v>3514</v>
      </c>
      <c r="B335" s="174" t="s">
        <v>169</v>
      </c>
      <c r="C335" s="189">
        <v>2018.0</v>
      </c>
      <c r="D335" s="175" t="s">
        <v>2594</v>
      </c>
      <c r="E335" s="174" t="s">
        <v>2818</v>
      </c>
      <c r="F335" s="190">
        <v>758702.65</v>
      </c>
      <c r="G335" s="191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22.5" customHeight="1">
      <c r="A336" s="174" t="s">
        <v>3516</v>
      </c>
      <c r="B336" s="174" t="s">
        <v>169</v>
      </c>
      <c r="C336" s="189">
        <v>2018.0</v>
      </c>
      <c r="D336" s="175" t="s">
        <v>2739</v>
      </c>
      <c r="E336" s="174" t="s">
        <v>2818</v>
      </c>
      <c r="F336" s="190">
        <v>758702.65</v>
      </c>
      <c r="G336" s="191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22.5" customHeight="1">
      <c r="A337" s="174" t="s">
        <v>3518</v>
      </c>
      <c r="B337" s="174" t="s">
        <v>169</v>
      </c>
      <c r="C337" s="189">
        <v>2018.0</v>
      </c>
      <c r="D337" s="175" t="s">
        <v>2541</v>
      </c>
      <c r="E337" s="174" t="s">
        <v>2818</v>
      </c>
      <c r="F337" s="190">
        <v>758702.65</v>
      </c>
      <c r="G337" s="191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22.5" customHeight="1">
      <c r="A338" s="174" t="s">
        <v>3520</v>
      </c>
      <c r="B338" s="174" t="s">
        <v>169</v>
      </c>
      <c r="C338" s="189">
        <v>2018.0</v>
      </c>
      <c r="D338" s="175" t="s">
        <v>2553</v>
      </c>
      <c r="E338" s="174" t="s">
        <v>2818</v>
      </c>
      <c r="F338" s="190">
        <v>758702.65</v>
      </c>
      <c r="G338" s="191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22.5" customHeight="1">
      <c r="A339" s="174" t="s">
        <v>3522</v>
      </c>
      <c r="B339" s="174" t="s">
        <v>169</v>
      </c>
      <c r="C339" s="189">
        <v>2018.0</v>
      </c>
      <c r="D339" s="175" t="s">
        <v>2573</v>
      </c>
      <c r="E339" s="174" t="s">
        <v>2818</v>
      </c>
      <c r="F339" s="190">
        <v>758702.65</v>
      </c>
      <c r="G339" s="191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22.5" customHeight="1">
      <c r="A340" s="174" t="s">
        <v>3524</v>
      </c>
      <c r="B340" s="174" t="s">
        <v>169</v>
      </c>
      <c r="C340" s="189">
        <v>2018.0</v>
      </c>
      <c r="D340" s="175" t="s">
        <v>2593</v>
      </c>
      <c r="E340" s="174" t="s">
        <v>2818</v>
      </c>
      <c r="F340" s="190">
        <v>758702.65</v>
      </c>
      <c r="G340" s="191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22.5" customHeight="1">
      <c r="A341" s="174" t="s">
        <v>3526</v>
      </c>
      <c r="B341" s="174" t="s">
        <v>169</v>
      </c>
      <c r="C341" s="189">
        <v>2018.0</v>
      </c>
      <c r="D341" s="175" t="s">
        <v>2616</v>
      </c>
      <c r="E341" s="174" t="s">
        <v>2818</v>
      </c>
      <c r="F341" s="190">
        <v>758702.65</v>
      </c>
      <c r="G341" s="191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22.5" customHeight="1">
      <c r="A342" s="174" t="s">
        <v>3528</v>
      </c>
      <c r="B342" s="174" t="s">
        <v>169</v>
      </c>
      <c r="C342" s="189">
        <v>2018.0</v>
      </c>
      <c r="D342" s="175" t="s">
        <v>2742</v>
      </c>
      <c r="E342" s="174" t="s">
        <v>2818</v>
      </c>
      <c r="F342" s="190">
        <v>758702.65</v>
      </c>
      <c r="G342" s="191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22.5" customHeight="1">
      <c r="A343" s="174" t="s">
        <v>3530</v>
      </c>
      <c r="B343" s="174" t="s">
        <v>169</v>
      </c>
      <c r="C343" s="189">
        <v>2018.0</v>
      </c>
      <c r="D343" s="175" t="s">
        <v>2496</v>
      </c>
      <c r="E343" s="174" t="s">
        <v>2818</v>
      </c>
      <c r="F343" s="190">
        <v>758702.65</v>
      </c>
      <c r="G343" s="191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22.5" customHeight="1">
      <c r="A344" s="174" t="s">
        <v>3532</v>
      </c>
      <c r="B344" s="174" t="s">
        <v>169</v>
      </c>
      <c r="C344" s="189">
        <v>2019.0</v>
      </c>
      <c r="D344" s="175" t="s">
        <v>2495</v>
      </c>
      <c r="E344" s="174" t="s">
        <v>2818</v>
      </c>
      <c r="F344" s="190">
        <v>794513.23</v>
      </c>
      <c r="G344" s="191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22.5" customHeight="1">
      <c r="A345" s="174" t="s">
        <v>3534</v>
      </c>
      <c r="B345" s="174" t="s">
        <v>169</v>
      </c>
      <c r="C345" s="189">
        <v>2019.0</v>
      </c>
      <c r="D345" s="175" t="s">
        <v>2834</v>
      </c>
      <c r="E345" s="174" t="s">
        <v>2818</v>
      </c>
      <c r="F345" s="190">
        <v>794513.23</v>
      </c>
      <c r="G345" s="191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22.5" customHeight="1">
      <c r="A346" s="174" t="s">
        <v>3536</v>
      </c>
      <c r="B346" s="174" t="s">
        <v>169</v>
      </c>
      <c r="C346" s="189">
        <v>2019.0</v>
      </c>
      <c r="D346" s="175" t="s">
        <v>2585</v>
      </c>
      <c r="E346" s="174" t="s">
        <v>2818</v>
      </c>
      <c r="F346" s="190">
        <v>794513.23</v>
      </c>
      <c r="G346" s="191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22.5" customHeight="1">
      <c r="A347" s="174" t="s">
        <v>3538</v>
      </c>
      <c r="B347" s="174" t="s">
        <v>169</v>
      </c>
      <c r="C347" s="189">
        <v>2019.0</v>
      </c>
      <c r="D347" s="175" t="s">
        <v>2594</v>
      </c>
      <c r="E347" s="174" t="s">
        <v>2818</v>
      </c>
      <c r="F347" s="190">
        <v>794513.23</v>
      </c>
      <c r="G347" s="191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22.5" customHeight="1">
      <c r="A348" s="174" t="s">
        <v>3540</v>
      </c>
      <c r="B348" s="174" t="s">
        <v>169</v>
      </c>
      <c r="C348" s="189">
        <v>2019.0</v>
      </c>
      <c r="D348" s="175" t="s">
        <v>2739</v>
      </c>
      <c r="E348" s="174" t="s">
        <v>2818</v>
      </c>
      <c r="F348" s="190">
        <v>794513.23</v>
      </c>
      <c r="G348" s="191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22.5" customHeight="1">
      <c r="A349" s="174" t="s">
        <v>3542</v>
      </c>
      <c r="B349" s="174" t="s">
        <v>169</v>
      </c>
      <c r="C349" s="189">
        <v>2019.0</v>
      </c>
      <c r="D349" s="175" t="s">
        <v>2541</v>
      </c>
      <c r="E349" s="174" t="s">
        <v>2818</v>
      </c>
      <c r="F349" s="190">
        <v>794513.23</v>
      </c>
      <c r="G349" s="191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22.5" customHeight="1">
      <c r="A350" s="174" t="s">
        <v>3544</v>
      </c>
      <c r="B350" s="174" t="s">
        <v>169</v>
      </c>
      <c r="C350" s="189">
        <v>2019.0</v>
      </c>
      <c r="D350" s="175" t="s">
        <v>2553</v>
      </c>
      <c r="E350" s="174" t="s">
        <v>2818</v>
      </c>
      <c r="F350" s="190">
        <v>794513.23</v>
      </c>
      <c r="G350" s="191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22.5" customHeight="1">
      <c r="A351" s="174" t="s">
        <v>3545</v>
      </c>
      <c r="B351" s="174" t="s">
        <v>169</v>
      </c>
      <c r="C351" s="189">
        <v>2019.0</v>
      </c>
      <c r="D351" s="175" t="s">
        <v>2573</v>
      </c>
      <c r="E351" s="174" t="s">
        <v>2818</v>
      </c>
      <c r="F351" s="190">
        <v>794513.23</v>
      </c>
      <c r="G351" s="191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22.5" customHeight="1">
      <c r="A352" s="174" t="s">
        <v>3547</v>
      </c>
      <c r="B352" s="174" t="s">
        <v>169</v>
      </c>
      <c r="C352" s="189">
        <v>2019.0</v>
      </c>
      <c r="D352" s="175" t="s">
        <v>2593</v>
      </c>
      <c r="E352" s="174" t="s">
        <v>2818</v>
      </c>
      <c r="F352" s="190">
        <v>794513.23</v>
      </c>
      <c r="G352" s="191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22.5" customHeight="1">
      <c r="A353" s="174" t="s">
        <v>3549</v>
      </c>
      <c r="B353" s="174" t="s">
        <v>169</v>
      </c>
      <c r="C353" s="189">
        <v>2019.0</v>
      </c>
      <c r="D353" s="175" t="s">
        <v>2616</v>
      </c>
      <c r="E353" s="174" t="s">
        <v>2818</v>
      </c>
      <c r="F353" s="190">
        <v>794513.23</v>
      </c>
      <c r="G353" s="191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22.5" customHeight="1">
      <c r="A354" s="174" t="s">
        <v>3551</v>
      </c>
      <c r="B354" s="174" t="s">
        <v>169</v>
      </c>
      <c r="C354" s="189">
        <v>2019.0</v>
      </c>
      <c r="D354" s="175" t="s">
        <v>2742</v>
      </c>
      <c r="E354" s="174" t="s">
        <v>2818</v>
      </c>
      <c r="F354" s="190">
        <v>794513.23</v>
      </c>
      <c r="G354" s="191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22.5" customHeight="1">
      <c r="A355" s="174" t="s">
        <v>3553</v>
      </c>
      <c r="B355" s="174" t="s">
        <v>169</v>
      </c>
      <c r="C355" s="189">
        <v>2019.0</v>
      </c>
      <c r="D355" s="175" t="s">
        <v>2496</v>
      </c>
      <c r="E355" s="174" t="s">
        <v>2818</v>
      </c>
      <c r="F355" s="190">
        <v>794513.23</v>
      </c>
      <c r="G355" s="191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22.5" customHeight="1">
      <c r="A356" s="174" t="s">
        <v>3555</v>
      </c>
      <c r="B356" s="174" t="s">
        <v>169</v>
      </c>
      <c r="C356" s="189">
        <v>2020.0</v>
      </c>
      <c r="D356" s="175" t="s">
        <v>2495</v>
      </c>
      <c r="E356" s="174" t="s">
        <v>2818</v>
      </c>
      <c r="F356" s="190">
        <v>818111.53</v>
      </c>
      <c r="G356" s="191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22.5" customHeight="1">
      <c r="A357" s="174" t="s">
        <v>3557</v>
      </c>
      <c r="B357" s="174" t="s">
        <v>169</v>
      </c>
      <c r="C357" s="189">
        <v>2020.0</v>
      </c>
      <c r="D357" s="175" t="s">
        <v>2834</v>
      </c>
      <c r="E357" s="174" t="s">
        <v>2818</v>
      </c>
      <c r="F357" s="190">
        <v>818111.53</v>
      </c>
      <c r="G357" s="191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22.5" customHeight="1">
      <c r="A358" s="174" t="s">
        <v>3559</v>
      </c>
      <c r="B358" s="174" t="s">
        <v>169</v>
      </c>
      <c r="C358" s="189">
        <v>2020.0</v>
      </c>
      <c r="D358" s="175" t="s">
        <v>2585</v>
      </c>
      <c r="E358" s="174" t="s">
        <v>2818</v>
      </c>
      <c r="F358" s="190">
        <v>818111.53</v>
      </c>
      <c r="G358" s="191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22.5" customHeight="1">
      <c r="A359" s="174" t="s">
        <v>3561</v>
      </c>
      <c r="B359" s="174" t="s">
        <v>169</v>
      </c>
      <c r="C359" s="189">
        <v>2020.0</v>
      </c>
      <c r="D359" s="175" t="s">
        <v>2594</v>
      </c>
      <c r="E359" s="174" t="s">
        <v>2818</v>
      </c>
      <c r="F359" s="190">
        <v>818111.53</v>
      </c>
      <c r="G359" s="191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22.5" customHeight="1">
      <c r="A360" s="174" t="s">
        <v>3563</v>
      </c>
      <c r="B360" s="174" t="s">
        <v>169</v>
      </c>
      <c r="C360" s="189">
        <v>2020.0</v>
      </c>
      <c r="D360" s="175" t="s">
        <v>2739</v>
      </c>
      <c r="E360" s="174" t="s">
        <v>2818</v>
      </c>
      <c r="F360" s="190">
        <v>818111.53</v>
      </c>
      <c r="G360" s="191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22.5" customHeight="1">
      <c r="A361" s="174" t="s">
        <v>3565</v>
      </c>
      <c r="B361" s="174" t="s">
        <v>169</v>
      </c>
      <c r="C361" s="189">
        <v>2020.0</v>
      </c>
      <c r="D361" s="175" t="s">
        <v>2541</v>
      </c>
      <c r="E361" s="174" t="s">
        <v>2818</v>
      </c>
      <c r="F361" s="190">
        <v>818111.53</v>
      </c>
      <c r="G361" s="191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22.5" customHeight="1">
      <c r="A362" s="174" t="s">
        <v>3567</v>
      </c>
      <c r="B362" s="174" t="s">
        <v>169</v>
      </c>
      <c r="C362" s="189">
        <v>2020.0</v>
      </c>
      <c r="D362" s="175" t="s">
        <v>2553</v>
      </c>
      <c r="E362" s="174" t="s">
        <v>2818</v>
      </c>
      <c r="F362" s="190">
        <v>818111.53</v>
      </c>
      <c r="G362" s="191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22.5" customHeight="1">
      <c r="A363" s="174" t="s">
        <v>3569</v>
      </c>
      <c r="B363" s="174" t="s">
        <v>169</v>
      </c>
      <c r="C363" s="189">
        <v>2020.0</v>
      </c>
      <c r="D363" s="175" t="s">
        <v>2573</v>
      </c>
      <c r="E363" s="174" t="s">
        <v>2818</v>
      </c>
      <c r="F363" s="190">
        <v>818111.53</v>
      </c>
      <c r="G363" s="191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22.5" customHeight="1">
      <c r="A364" s="174" t="s">
        <v>3571</v>
      </c>
      <c r="B364" s="174" t="s">
        <v>169</v>
      </c>
      <c r="C364" s="189">
        <v>2020.0</v>
      </c>
      <c r="D364" s="175" t="s">
        <v>2593</v>
      </c>
      <c r="E364" s="174" t="s">
        <v>2818</v>
      </c>
      <c r="F364" s="190">
        <v>818111.53</v>
      </c>
      <c r="G364" s="191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22.5" customHeight="1">
      <c r="A365" s="174" t="s">
        <v>3573</v>
      </c>
      <c r="B365" s="174" t="s">
        <v>169</v>
      </c>
      <c r="C365" s="189">
        <v>2020.0</v>
      </c>
      <c r="D365" s="175" t="s">
        <v>2616</v>
      </c>
      <c r="E365" s="174" t="s">
        <v>2818</v>
      </c>
      <c r="F365" s="190">
        <v>818111.53</v>
      </c>
      <c r="G365" s="191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22.5" customHeight="1">
      <c r="A366" s="174" t="s">
        <v>3575</v>
      </c>
      <c r="B366" s="174" t="s">
        <v>169</v>
      </c>
      <c r="C366" s="189">
        <v>2020.0</v>
      </c>
      <c r="D366" s="175" t="s">
        <v>2742</v>
      </c>
      <c r="E366" s="174" t="s">
        <v>2818</v>
      </c>
      <c r="F366" s="190">
        <v>818111.53</v>
      </c>
      <c r="G366" s="191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22.5" customHeight="1">
      <c r="A367" s="174" t="s">
        <v>3577</v>
      </c>
      <c r="B367" s="174" t="s">
        <v>169</v>
      </c>
      <c r="C367" s="189">
        <v>2020.0</v>
      </c>
      <c r="D367" s="175" t="s">
        <v>2496</v>
      </c>
      <c r="E367" s="174" t="s">
        <v>2818</v>
      </c>
      <c r="F367" s="190">
        <v>818111.53</v>
      </c>
      <c r="G367" s="191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22.5" customHeight="1">
      <c r="A368" s="174" t="s">
        <v>3579</v>
      </c>
      <c r="B368" s="174" t="s">
        <v>169</v>
      </c>
      <c r="C368" s="189">
        <v>2021.0</v>
      </c>
      <c r="D368" s="175" t="s">
        <v>2495</v>
      </c>
      <c r="E368" s="174" t="s">
        <v>2818</v>
      </c>
      <c r="F368" s="190">
        <v>845354.77</v>
      </c>
      <c r="G368" s="191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22.5" customHeight="1">
      <c r="A369" s="174" t="s">
        <v>3580</v>
      </c>
      <c r="B369" s="174" t="s">
        <v>169</v>
      </c>
      <c r="C369" s="189">
        <v>2021.0</v>
      </c>
      <c r="D369" s="175" t="s">
        <v>2834</v>
      </c>
      <c r="E369" s="174" t="s">
        <v>2818</v>
      </c>
      <c r="F369" s="190">
        <v>845354.77</v>
      </c>
      <c r="G369" s="191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22.5" customHeight="1">
      <c r="A370" s="174" t="s">
        <v>3582</v>
      </c>
      <c r="B370" s="174" t="s">
        <v>169</v>
      </c>
      <c r="C370" s="189">
        <v>2021.0</v>
      </c>
      <c r="D370" s="175" t="s">
        <v>2585</v>
      </c>
      <c r="E370" s="174" t="s">
        <v>2818</v>
      </c>
      <c r="F370" s="190">
        <v>845354.77</v>
      </c>
      <c r="G370" s="191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22.5" customHeight="1">
      <c r="A371" s="174" t="s">
        <v>3584</v>
      </c>
      <c r="B371" s="174" t="s">
        <v>169</v>
      </c>
      <c r="C371" s="189">
        <v>2021.0</v>
      </c>
      <c r="D371" s="175" t="s">
        <v>2594</v>
      </c>
      <c r="E371" s="174" t="s">
        <v>2818</v>
      </c>
      <c r="F371" s="190">
        <v>845354.77</v>
      </c>
      <c r="G371" s="191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22.5" customHeight="1">
      <c r="A372" s="174" t="s">
        <v>3586</v>
      </c>
      <c r="B372" s="174" t="s">
        <v>169</v>
      </c>
      <c r="C372" s="189">
        <v>2021.0</v>
      </c>
      <c r="D372" s="175" t="s">
        <v>2739</v>
      </c>
      <c r="E372" s="174" t="s">
        <v>2818</v>
      </c>
      <c r="F372" s="190">
        <v>845354.77</v>
      </c>
      <c r="G372" s="191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22.5" customHeight="1">
      <c r="A373" s="174" t="s">
        <v>3588</v>
      </c>
      <c r="B373" s="174" t="s">
        <v>169</v>
      </c>
      <c r="C373" s="189">
        <v>2021.0</v>
      </c>
      <c r="D373" s="175" t="s">
        <v>2541</v>
      </c>
      <c r="E373" s="174" t="s">
        <v>2818</v>
      </c>
      <c r="F373" s="190">
        <v>845354.77</v>
      </c>
      <c r="G373" s="191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22.5" customHeight="1">
      <c r="A374" s="174" t="s">
        <v>3590</v>
      </c>
      <c r="B374" s="174" t="s">
        <v>169</v>
      </c>
      <c r="C374" s="189">
        <v>2021.0</v>
      </c>
      <c r="D374" s="175" t="s">
        <v>2553</v>
      </c>
      <c r="E374" s="174" t="s">
        <v>2818</v>
      </c>
      <c r="F374" s="190">
        <v>845354.77</v>
      </c>
      <c r="G374" s="191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22.5" customHeight="1">
      <c r="A375" s="174" t="s">
        <v>3592</v>
      </c>
      <c r="B375" s="174" t="s">
        <v>169</v>
      </c>
      <c r="C375" s="189">
        <v>2021.0</v>
      </c>
      <c r="D375" s="175" t="s">
        <v>2573</v>
      </c>
      <c r="E375" s="174" t="s">
        <v>2818</v>
      </c>
      <c r="F375" s="190">
        <v>845354.77</v>
      </c>
      <c r="G375" s="191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22.5" customHeight="1">
      <c r="A376" s="174" t="s">
        <v>3594</v>
      </c>
      <c r="B376" s="174" t="s">
        <v>169</v>
      </c>
      <c r="C376" s="189">
        <v>2021.0</v>
      </c>
      <c r="D376" s="175" t="s">
        <v>2593</v>
      </c>
      <c r="E376" s="174" t="s">
        <v>2818</v>
      </c>
      <c r="F376" s="190">
        <v>845354.77</v>
      </c>
      <c r="G376" s="191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22.5" customHeight="1">
      <c r="A377" s="174" t="s">
        <v>3596</v>
      </c>
      <c r="B377" s="174" t="s">
        <v>169</v>
      </c>
      <c r="C377" s="189">
        <v>2021.0</v>
      </c>
      <c r="D377" s="175" t="s">
        <v>2616</v>
      </c>
      <c r="E377" s="174" t="s">
        <v>2818</v>
      </c>
      <c r="F377" s="190">
        <v>845354.77</v>
      </c>
      <c r="G377" s="191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22.5" customHeight="1">
      <c r="A378" s="174" t="s">
        <v>3598</v>
      </c>
      <c r="B378" s="174" t="s">
        <v>169</v>
      </c>
      <c r="C378" s="189">
        <v>2021.0</v>
      </c>
      <c r="D378" s="175" t="s">
        <v>2742</v>
      </c>
      <c r="E378" s="174" t="s">
        <v>2818</v>
      </c>
      <c r="F378" s="190">
        <v>845354.77</v>
      </c>
      <c r="G378" s="191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22.5" customHeight="1">
      <c r="A379" s="174" t="s">
        <v>3599</v>
      </c>
      <c r="B379" s="174" t="s">
        <v>169</v>
      </c>
      <c r="C379" s="189">
        <v>2021.0</v>
      </c>
      <c r="D379" s="175" t="s">
        <v>2496</v>
      </c>
      <c r="E379" s="174" t="s">
        <v>2818</v>
      </c>
      <c r="F379" s="190">
        <v>845354.77</v>
      </c>
      <c r="G379" s="191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22.5" customHeight="1">
      <c r="A380" s="174" t="s">
        <v>3601</v>
      </c>
      <c r="B380" s="174" t="s">
        <v>169</v>
      </c>
      <c r="C380" s="189">
        <v>2022.0</v>
      </c>
      <c r="D380" s="175" t="s">
        <v>2495</v>
      </c>
      <c r="E380" s="174" t="s">
        <v>2818</v>
      </c>
      <c r="F380" s="190">
        <v>907647.0</v>
      </c>
      <c r="G380" s="191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22.5" customHeight="1">
      <c r="A381" s="174" t="s">
        <v>3603</v>
      </c>
      <c r="B381" s="174" t="s">
        <v>169</v>
      </c>
      <c r="C381" s="189">
        <v>2022.0</v>
      </c>
      <c r="D381" s="175" t="s">
        <v>2834</v>
      </c>
      <c r="E381" s="174" t="s">
        <v>2818</v>
      </c>
      <c r="F381" s="190">
        <v>907647.0</v>
      </c>
      <c r="G381" s="191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22.5" customHeight="1">
      <c r="A382" s="174" t="s">
        <v>3605</v>
      </c>
      <c r="B382" s="174" t="s">
        <v>169</v>
      </c>
      <c r="C382" s="189">
        <v>2022.0</v>
      </c>
      <c r="D382" s="175" t="s">
        <v>2585</v>
      </c>
      <c r="E382" s="174" t="s">
        <v>2818</v>
      </c>
      <c r="F382" s="190">
        <v>907647.0</v>
      </c>
      <c r="G382" s="191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22.5" customHeight="1">
      <c r="A383" s="174" t="s">
        <v>3607</v>
      </c>
      <c r="B383" s="174" t="s">
        <v>169</v>
      </c>
      <c r="C383" s="189">
        <v>2022.0</v>
      </c>
      <c r="D383" s="175" t="s">
        <v>2594</v>
      </c>
      <c r="E383" s="174" t="s">
        <v>2818</v>
      </c>
      <c r="F383" s="190">
        <v>907647.0</v>
      </c>
      <c r="G383" s="191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22.5" customHeight="1">
      <c r="A384" s="174" t="s">
        <v>3609</v>
      </c>
      <c r="B384" s="174" t="s">
        <v>169</v>
      </c>
      <c r="C384" s="189">
        <v>2022.0</v>
      </c>
      <c r="D384" s="175" t="s">
        <v>2739</v>
      </c>
      <c r="E384" s="174" t="s">
        <v>2818</v>
      </c>
      <c r="F384" s="190">
        <v>907647.0</v>
      </c>
      <c r="G384" s="191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22.5" customHeight="1">
      <c r="A385" s="174" t="s">
        <v>3611</v>
      </c>
      <c r="B385" s="174" t="s">
        <v>169</v>
      </c>
      <c r="C385" s="189">
        <v>2022.0</v>
      </c>
      <c r="D385" s="175" t="s">
        <v>2541</v>
      </c>
      <c r="E385" s="174" t="s">
        <v>2818</v>
      </c>
      <c r="F385" s="190">
        <v>907647.0</v>
      </c>
      <c r="G385" s="191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22.5" customHeight="1">
      <c r="A386" s="174" t="s">
        <v>3613</v>
      </c>
      <c r="B386" s="174" t="s">
        <v>169</v>
      </c>
      <c r="C386" s="189">
        <v>2022.0</v>
      </c>
      <c r="D386" s="175" t="s">
        <v>2553</v>
      </c>
      <c r="E386" s="174" t="s">
        <v>2818</v>
      </c>
      <c r="F386" s="190">
        <v>907646.78</v>
      </c>
      <c r="G386" s="191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22.5" customHeight="1">
      <c r="A387" s="174" t="s">
        <v>3615</v>
      </c>
      <c r="B387" s="174" t="s">
        <v>169</v>
      </c>
      <c r="C387" s="189">
        <v>2022.0</v>
      </c>
      <c r="D387" s="175" t="s">
        <v>2573</v>
      </c>
      <c r="E387" s="174" t="s">
        <v>2818</v>
      </c>
      <c r="F387" s="190">
        <v>907646.78</v>
      </c>
      <c r="G387" s="191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22.5" customHeight="1">
      <c r="A388" s="174" t="s">
        <v>3617</v>
      </c>
      <c r="B388" s="174" t="s">
        <v>169</v>
      </c>
      <c r="C388" s="189">
        <v>2022.0</v>
      </c>
      <c r="D388" s="175" t="s">
        <v>2593</v>
      </c>
      <c r="E388" s="174" t="s">
        <v>2818</v>
      </c>
      <c r="F388" s="190">
        <v>2170469.37</v>
      </c>
      <c r="G388" s="191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22.5" customHeight="1">
      <c r="A389" s="174" t="s">
        <v>3619</v>
      </c>
      <c r="B389" s="174" t="s">
        <v>169</v>
      </c>
      <c r="C389" s="189">
        <v>2022.0</v>
      </c>
      <c r="D389" s="175" t="s">
        <v>2616</v>
      </c>
      <c r="E389" s="174" t="s">
        <v>2818</v>
      </c>
      <c r="F389" s="190">
        <v>2170469.37</v>
      </c>
      <c r="G389" s="191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22.5" customHeight="1">
      <c r="A390" s="174" t="s">
        <v>3621</v>
      </c>
      <c r="B390" s="174" t="s">
        <v>169</v>
      </c>
      <c r="C390" s="189">
        <v>2022.0</v>
      </c>
      <c r="D390" s="175" t="s">
        <v>2742</v>
      </c>
      <c r="E390" s="174" t="s">
        <v>2818</v>
      </c>
      <c r="F390" s="190">
        <v>2170469.37</v>
      </c>
      <c r="G390" s="191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22.5" customHeight="1">
      <c r="A391" s="174" t="s">
        <v>3623</v>
      </c>
      <c r="B391" s="174" t="s">
        <v>169</v>
      </c>
      <c r="C391" s="189">
        <v>2022.0</v>
      </c>
      <c r="D391" s="175" t="s">
        <v>2496</v>
      </c>
      <c r="E391" s="174" t="s">
        <v>2818</v>
      </c>
      <c r="F391" s="190">
        <v>2170469.37</v>
      </c>
      <c r="G391" s="191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22.5" customHeight="1">
      <c r="A392" s="174" t="s">
        <v>3625</v>
      </c>
      <c r="B392" s="174" t="s">
        <v>169</v>
      </c>
      <c r="C392" s="189">
        <v>2023.0</v>
      </c>
      <c r="D392" s="175" t="s">
        <v>2495</v>
      </c>
      <c r="E392" s="174" t="s">
        <v>2818</v>
      </c>
      <c r="F392" s="190">
        <v>2339548.52</v>
      </c>
      <c r="G392" s="191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22.5" customHeight="1">
      <c r="A393" s="174" t="s">
        <v>3627</v>
      </c>
      <c r="B393" s="174" t="s">
        <v>169</v>
      </c>
      <c r="C393" s="189">
        <v>2023.0</v>
      </c>
      <c r="D393" s="175" t="s">
        <v>2834</v>
      </c>
      <c r="E393" s="174" t="s">
        <v>2818</v>
      </c>
      <c r="F393" s="190">
        <v>2339548.52</v>
      </c>
      <c r="G393" s="191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22.5" customHeight="1">
      <c r="A394" s="174" t="s">
        <v>3629</v>
      </c>
      <c r="B394" s="174" t="s">
        <v>169</v>
      </c>
      <c r="C394" s="189">
        <v>2023.0</v>
      </c>
      <c r="D394" s="175" t="s">
        <v>2585</v>
      </c>
      <c r="E394" s="174" t="s">
        <v>2818</v>
      </c>
      <c r="F394" s="190">
        <v>2339548.52</v>
      </c>
      <c r="G394" s="191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22.5" customHeight="1">
      <c r="A395" s="174" t="s">
        <v>3631</v>
      </c>
      <c r="B395" s="174" t="s">
        <v>169</v>
      </c>
      <c r="C395" s="189">
        <v>2023.0</v>
      </c>
      <c r="D395" s="175" t="s">
        <v>2594</v>
      </c>
      <c r="E395" s="174" t="s">
        <v>2818</v>
      </c>
      <c r="F395" s="190">
        <v>2339548.52</v>
      </c>
      <c r="G395" s="191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22.5" customHeight="1">
      <c r="A396" s="174" t="s">
        <v>3633</v>
      </c>
      <c r="B396" s="174" t="s">
        <v>169</v>
      </c>
      <c r="C396" s="189">
        <v>2023.0</v>
      </c>
      <c r="D396" s="175" t="s">
        <v>2739</v>
      </c>
      <c r="E396" s="174" t="s">
        <v>2818</v>
      </c>
      <c r="F396" s="190">
        <v>2339548.52</v>
      </c>
      <c r="G396" s="191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22.5" customHeight="1">
      <c r="A397" s="174" t="s">
        <v>3635</v>
      </c>
      <c r="B397" s="174" t="s">
        <v>169</v>
      </c>
      <c r="C397" s="189">
        <v>2023.0</v>
      </c>
      <c r="D397" s="175" t="s">
        <v>2541</v>
      </c>
      <c r="E397" s="174" t="s">
        <v>2818</v>
      </c>
      <c r="F397" s="190">
        <v>2339548.52</v>
      </c>
      <c r="G397" s="191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22.5" customHeight="1">
      <c r="A398" s="174" t="s">
        <v>3637</v>
      </c>
      <c r="B398" s="174" t="s">
        <v>169</v>
      </c>
      <c r="C398" s="189">
        <v>2023.0</v>
      </c>
      <c r="D398" s="175" t="s">
        <v>2553</v>
      </c>
      <c r="E398" s="174" t="s">
        <v>2818</v>
      </c>
      <c r="F398" s="190">
        <v>2339548.52</v>
      </c>
      <c r="G398" s="191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22.5" customHeight="1">
      <c r="A399" s="174" t="s">
        <v>3639</v>
      </c>
      <c r="B399" s="174" t="s">
        <v>169</v>
      </c>
      <c r="C399" s="189">
        <v>2023.0</v>
      </c>
      <c r="D399" s="175" t="s">
        <v>2573</v>
      </c>
      <c r="E399" s="174" t="s">
        <v>2818</v>
      </c>
      <c r="F399" s="190">
        <v>2339548.52</v>
      </c>
      <c r="G399" s="191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22.5" customHeight="1">
      <c r="A400" s="174" t="s">
        <v>3641</v>
      </c>
      <c r="B400" s="174" t="s">
        <v>169</v>
      </c>
      <c r="C400" s="189">
        <v>2023.0</v>
      </c>
      <c r="D400" s="175" t="s">
        <v>2593</v>
      </c>
      <c r="E400" s="174" t="s">
        <v>2818</v>
      </c>
      <c r="F400" s="190">
        <v>2339548.52</v>
      </c>
      <c r="G400" s="191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22.5" customHeight="1">
      <c r="A401" s="174" t="s">
        <v>3643</v>
      </c>
      <c r="B401" s="174" t="s">
        <v>169</v>
      </c>
      <c r="C401" s="189">
        <v>2023.0</v>
      </c>
      <c r="D401" s="175" t="s">
        <v>2616</v>
      </c>
      <c r="E401" s="174" t="s">
        <v>2818</v>
      </c>
      <c r="F401" s="190">
        <v>2339548.52</v>
      </c>
      <c r="G401" s="191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22.5" customHeight="1">
      <c r="A402" s="174" t="s">
        <v>3645</v>
      </c>
      <c r="B402" s="174" t="s">
        <v>169</v>
      </c>
      <c r="C402" s="189">
        <v>2023.0</v>
      </c>
      <c r="D402" s="175" t="s">
        <v>2742</v>
      </c>
      <c r="E402" s="174" t="s">
        <v>2818</v>
      </c>
      <c r="F402" s="190">
        <v>2339548.52</v>
      </c>
      <c r="G402" s="191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22.5" customHeight="1">
      <c r="A403" s="174" t="s">
        <v>3647</v>
      </c>
      <c r="B403" s="174" t="s">
        <v>169</v>
      </c>
      <c r="C403" s="189">
        <v>2023.0</v>
      </c>
      <c r="D403" s="175" t="s">
        <v>2496</v>
      </c>
      <c r="E403" s="174" t="s">
        <v>2818</v>
      </c>
      <c r="F403" s="190">
        <v>2339548.52</v>
      </c>
      <c r="G403" s="191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22.5" customHeight="1">
      <c r="A404" s="174" t="s">
        <v>3649</v>
      </c>
      <c r="B404" s="174" t="s">
        <v>169</v>
      </c>
      <c r="C404" s="189">
        <v>2024.0</v>
      </c>
      <c r="D404" s="175" t="s">
        <v>2495</v>
      </c>
      <c r="E404" s="174" t="s">
        <v>2818</v>
      </c>
      <c r="F404" s="190">
        <v>2440616.29</v>
      </c>
      <c r="G404" s="191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22.5" customHeight="1">
      <c r="A405" s="174" t="s">
        <v>3651</v>
      </c>
      <c r="B405" s="174" t="s">
        <v>169</v>
      </c>
      <c r="C405" s="189">
        <v>2024.0</v>
      </c>
      <c r="D405" s="175" t="s">
        <v>2834</v>
      </c>
      <c r="E405" s="174" t="s">
        <v>2818</v>
      </c>
      <c r="F405" s="190">
        <v>2440616.29</v>
      </c>
      <c r="G405" s="191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22.5" customHeight="1">
      <c r="A406" s="174" t="s">
        <v>3653</v>
      </c>
      <c r="B406" s="174" t="s">
        <v>169</v>
      </c>
      <c r="C406" s="189">
        <v>2024.0</v>
      </c>
      <c r="D406" s="175" t="s">
        <v>2585</v>
      </c>
      <c r="E406" s="174" t="s">
        <v>2818</v>
      </c>
      <c r="F406" s="190">
        <v>2440616.29</v>
      </c>
      <c r="G406" s="191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22.5" customHeight="1">
      <c r="A407" s="174" t="s">
        <v>3655</v>
      </c>
      <c r="B407" s="174" t="s">
        <v>169</v>
      </c>
      <c r="C407" s="189">
        <v>2024.0</v>
      </c>
      <c r="D407" s="175" t="s">
        <v>2594</v>
      </c>
      <c r="E407" s="174" t="s">
        <v>2818</v>
      </c>
      <c r="F407" s="190">
        <v>2440616.29</v>
      </c>
      <c r="G407" s="191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22.5" customHeight="1">
      <c r="A408" s="174" t="s">
        <v>3657</v>
      </c>
      <c r="B408" s="174" t="s">
        <v>169</v>
      </c>
      <c r="C408" s="189">
        <v>2024.0</v>
      </c>
      <c r="D408" s="175" t="s">
        <v>2739</v>
      </c>
      <c r="E408" s="174" t="s">
        <v>2818</v>
      </c>
      <c r="F408" s="190">
        <v>2440616.29</v>
      </c>
      <c r="G408" s="191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22.5" customHeight="1">
      <c r="A409" s="174" t="s">
        <v>3659</v>
      </c>
      <c r="B409" s="174" t="s">
        <v>169</v>
      </c>
      <c r="C409" s="189">
        <v>2024.0</v>
      </c>
      <c r="D409" s="175" t="s">
        <v>2541</v>
      </c>
      <c r="E409" s="174" t="s">
        <v>2818</v>
      </c>
      <c r="F409" s="190">
        <v>2440616.29</v>
      </c>
      <c r="G409" s="191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22.5" customHeight="1">
      <c r="A410" s="174" t="s">
        <v>3660</v>
      </c>
      <c r="B410" s="174" t="s">
        <v>169</v>
      </c>
      <c r="C410" s="189">
        <v>2024.0</v>
      </c>
      <c r="D410" s="175" t="s">
        <v>2553</v>
      </c>
      <c r="E410" s="174" t="s">
        <v>2818</v>
      </c>
      <c r="F410" s="190">
        <v>2440616.29</v>
      </c>
      <c r="G410" s="191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22.5" customHeight="1">
      <c r="A411" s="174" t="s">
        <v>3662</v>
      </c>
      <c r="B411" s="174" t="s">
        <v>169</v>
      </c>
      <c r="C411" s="189">
        <v>2024.0</v>
      </c>
      <c r="D411" s="175" t="s">
        <v>2573</v>
      </c>
      <c r="E411" s="174" t="s">
        <v>2818</v>
      </c>
      <c r="F411" s="190">
        <v>2440616.29</v>
      </c>
      <c r="G411" s="191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22.5" customHeight="1">
      <c r="A412" s="174" t="s">
        <v>3664</v>
      </c>
      <c r="B412" s="174" t="s">
        <v>169</v>
      </c>
      <c r="C412" s="189">
        <v>2024.0</v>
      </c>
      <c r="D412" s="175" t="s">
        <v>2593</v>
      </c>
      <c r="E412" s="174" t="s">
        <v>2818</v>
      </c>
      <c r="F412" s="190">
        <v>2440616.29</v>
      </c>
      <c r="G412" s="191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22.5" customHeight="1">
      <c r="A413" s="174" t="s">
        <v>3666</v>
      </c>
      <c r="B413" s="174" t="s">
        <v>169</v>
      </c>
      <c r="C413" s="189">
        <v>2024.0</v>
      </c>
      <c r="D413" s="175" t="s">
        <v>2616</v>
      </c>
      <c r="E413" s="174" t="s">
        <v>2818</v>
      </c>
      <c r="F413" s="190">
        <v>2440616.29</v>
      </c>
      <c r="G413" s="191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22.5" customHeight="1">
      <c r="A414" s="174" t="s">
        <v>3668</v>
      </c>
      <c r="B414" s="174" t="s">
        <v>169</v>
      </c>
      <c r="C414" s="189">
        <v>2024.0</v>
      </c>
      <c r="D414" s="175" t="s">
        <v>2742</v>
      </c>
      <c r="E414" s="174" t="s">
        <v>2818</v>
      </c>
      <c r="F414" s="190">
        <v>2440616.29</v>
      </c>
      <c r="G414" s="191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22.5" customHeight="1">
      <c r="A415" s="174" t="s">
        <v>3670</v>
      </c>
      <c r="B415" s="174" t="s">
        <v>188</v>
      </c>
      <c r="C415" s="189">
        <v>2018.0</v>
      </c>
      <c r="D415" s="175" t="s">
        <v>2541</v>
      </c>
      <c r="E415" s="174" t="s">
        <v>2818</v>
      </c>
      <c r="F415" s="190">
        <v>145415.44</v>
      </c>
      <c r="G415" s="191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22.5" customHeight="1">
      <c r="A416" s="174" t="s">
        <v>3672</v>
      </c>
      <c r="B416" s="174" t="s">
        <v>188</v>
      </c>
      <c r="C416" s="189">
        <v>2018.0</v>
      </c>
      <c r="D416" s="175" t="s">
        <v>2553</v>
      </c>
      <c r="E416" s="174" t="s">
        <v>2818</v>
      </c>
      <c r="F416" s="190">
        <v>1090615.8</v>
      </c>
      <c r="G416" s="191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22.5" customHeight="1">
      <c r="A417" s="174" t="s">
        <v>3674</v>
      </c>
      <c r="B417" s="174" t="s">
        <v>188</v>
      </c>
      <c r="C417" s="189">
        <v>2018.0</v>
      </c>
      <c r="D417" s="175" t="s">
        <v>2573</v>
      </c>
      <c r="E417" s="174" t="s">
        <v>2818</v>
      </c>
      <c r="F417" s="190">
        <v>1090615.8</v>
      </c>
      <c r="G417" s="191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22.5" customHeight="1">
      <c r="A418" s="174" t="s">
        <v>3675</v>
      </c>
      <c r="B418" s="174" t="s">
        <v>188</v>
      </c>
      <c r="C418" s="189">
        <v>2018.0</v>
      </c>
      <c r="D418" s="175" t="s">
        <v>2593</v>
      </c>
      <c r="E418" s="174" t="s">
        <v>2818</v>
      </c>
      <c r="F418" s="190">
        <v>1090615.8</v>
      </c>
      <c r="G418" s="191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22.5" customHeight="1">
      <c r="A419" s="174" t="s">
        <v>3677</v>
      </c>
      <c r="B419" s="174" t="s">
        <v>188</v>
      </c>
      <c r="C419" s="189">
        <v>2018.0</v>
      </c>
      <c r="D419" s="175" t="s">
        <v>2616</v>
      </c>
      <c r="E419" s="174" t="s">
        <v>2818</v>
      </c>
      <c r="F419" s="190">
        <v>1090615.8</v>
      </c>
      <c r="G419" s="191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22.5" customHeight="1">
      <c r="A420" s="174" t="s">
        <v>3679</v>
      </c>
      <c r="B420" s="174" t="s">
        <v>188</v>
      </c>
      <c r="C420" s="189">
        <v>2018.0</v>
      </c>
      <c r="D420" s="175" t="s">
        <v>2742</v>
      </c>
      <c r="E420" s="174" t="s">
        <v>2818</v>
      </c>
      <c r="F420" s="190">
        <v>1090615.8</v>
      </c>
      <c r="G420" s="191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22.5" customHeight="1">
      <c r="A421" s="174" t="s">
        <v>3681</v>
      </c>
      <c r="B421" s="174" t="s">
        <v>188</v>
      </c>
      <c r="C421" s="189">
        <v>2018.0</v>
      </c>
      <c r="D421" s="175" t="s">
        <v>2496</v>
      </c>
      <c r="E421" s="174" t="s">
        <v>2818</v>
      </c>
      <c r="F421" s="190">
        <v>1090615.8</v>
      </c>
      <c r="G421" s="191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22.5" customHeight="1">
      <c r="A422" s="174" t="s">
        <v>3684</v>
      </c>
      <c r="B422" s="174" t="s">
        <v>188</v>
      </c>
      <c r="C422" s="189">
        <v>2019.0</v>
      </c>
      <c r="D422" s="175" t="s">
        <v>2495</v>
      </c>
      <c r="E422" s="174" t="s">
        <v>2818</v>
      </c>
      <c r="F422" s="190">
        <v>1142092.6</v>
      </c>
      <c r="G422" s="191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22.5" customHeight="1">
      <c r="A423" s="174" t="s">
        <v>3685</v>
      </c>
      <c r="B423" s="174" t="s">
        <v>188</v>
      </c>
      <c r="C423" s="189">
        <v>2019.0</v>
      </c>
      <c r="D423" s="175" t="s">
        <v>2834</v>
      </c>
      <c r="E423" s="174" t="s">
        <v>2818</v>
      </c>
      <c r="F423" s="190">
        <v>1142092.6</v>
      </c>
      <c r="G423" s="191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22.5" customHeight="1">
      <c r="A424" s="174" t="s">
        <v>3687</v>
      </c>
      <c r="B424" s="174" t="s">
        <v>188</v>
      </c>
      <c r="C424" s="189">
        <v>2019.0</v>
      </c>
      <c r="D424" s="175" t="s">
        <v>2585</v>
      </c>
      <c r="E424" s="174" t="s">
        <v>2818</v>
      </c>
      <c r="F424" s="190">
        <v>1142092.6</v>
      </c>
      <c r="G424" s="191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22.5" customHeight="1">
      <c r="A425" s="174" t="s">
        <v>3689</v>
      </c>
      <c r="B425" s="174" t="s">
        <v>188</v>
      </c>
      <c r="C425" s="189">
        <v>2019.0</v>
      </c>
      <c r="D425" s="175" t="s">
        <v>2594</v>
      </c>
      <c r="E425" s="174" t="s">
        <v>2818</v>
      </c>
      <c r="F425" s="190">
        <v>1142092.6</v>
      </c>
      <c r="G425" s="191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22.5" customHeight="1">
      <c r="A426" s="174" t="s">
        <v>3691</v>
      </c>
      <c r="B426" s="174" t="s">
        <v>188</v>
      </c>
      <c r="C426" s="189">
        <v>2019.0</v>
      </c>
      <c r="D426" s="175" t="s">
        <v>2739</v>
      </c>
      <c r="E426" s="174" t="s">
        <v>2818</v>
      </c>
      <c r="F426" s="190">
        <v>1142092.6</v>
      </c>
      <c r="G426" s="191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22.5" customHeight="1">
      <c r="A427" s="174" t="s">
        <v>3693</v>
      </c>
      <c r="B427" s="174" t="s">
        <v>188</v>
      </c>
      <c r="C427" s="189">
        <v>2019.0</v>
      </c>
      <c r="D427" s="175" t="s">
        <v>2541</v>
      </c>
      <c r="E427" s="174" t="s">
        <v>2818</v>
      </c>
      <c r="F427" s="190">
        <v>1142092.6</v>
      </c>
      <c r="G427" s="191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22.5" customHeight="1">
      <c r="A428" s="174" t="s">
        <v>3695</v>
      </c>
      <c r="B428" s="174" t="s">
        <v>188</v>
      </c>
      <c r="C428" s="189">
        <v>2019.0</v>
      </c>
      <c r="D428" s="175" t="s">
        <v>2553</v>
      </c>
      <c r="E428" s="174" t="s">
        <v>2818</v>
      </c>
      <c r="F428" s="190">
        <v>1142092.6</v>
      </c>
      <c r="G428" s="191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22.5" customHeight="1">
      <c r="A429" s="174" t="s">
        <v>3697</v>
      </c>
      <c r="B429" s="174" t="s">
        <v>188</v>
      </c>
      <c r="C429" s="189">
        <v>2019.0</v>
      </c>
      <c r="D429" s="175" t="s">
        <v>2573</v>
      </c>
      <c r="E429" s="174" t="s">
        <v>2818</v>
      </c>
      <c r="F429" s="190">
        <v>1142092.6</v>
      </c>
      <c r="G429" s="191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22.5" customHeight="1">
      <c r="A430" s="174" t="s">
        <v>3699</v>
      </c>
      <c r="B430" s="174" t="s">
        <v>188</v>
      </c>
      <c r="C430" s="189">
        <v>2019.0</v>
      </c>
      <c r="D430" s="175" t="s">
        <v>2593</v>
      </c>
      <c r="E430" s="174" t="s">
        <v>2818</v>
      </c>
      <c r="F430" s="190">
        <v>1142092.6</v>
      </c>
      <c r="G430" s="191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22.5" customHeight="1">
      <c r="A431" s="174" t="s">
        <v>3701</v>
      </c>
      <c r="B431" s="174" t="s">
        <v>188</v>
      </c>
      <c r="C431" s="189">
        <v>2019.0</v>
      </c>
      <c r="D431" s="175" t="s">
        <v>2616</v>
      </c>
      <c r="E431" s="174" t="s">
        <v>2818</v>
      </c>
      <c r="F431" s="190">
        <v>1142092.6</v>
      </c>
      <c r="G431" s="191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22.5" customHeight="1">
      <c r="A432" s="174" t="s">
        <v>3703</v>
      </c>
      <c r="B432" s="174" t="s">
        <v>188</v>
      </c>
      <c r="C432" s="189">
        <v>2019.0</v>
      </c>
      <c r="D432" s="175" t="s">
        <v>2742</v>
      </c>
      <c r="E432" s="174" t="s">
        <v>2818</v>
      </c>
      <c r="F432" s="190">
        <v>1142092.6</v>
      </c>
      <c r="G432" s="191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22.5" customHeight="1">
      <c r="A433" s="174" t="s">
        <v>3705</v>
      </c>
      <c r="B433" s="174" t="s">
        <v>188</v>
      </c>
      <c r="C433" s="189">
        <v>2019.0</v>
      </c>
      <c r="D433" s="175" t="s">
        <v>2496</v>
      </c>
      <c r="E433" s="174" t="s">
        <v>2818</v>
      </c>
      <c r="F433" s="190">
        <v>1142092.6</v>
      </c>
      <c r="G433" s="191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22.5" customHeight="1">
      <c r="A434" s="174" t="s">
        <v>3707</v>
      </c>
      <c r="B434" s="174" t="s">
        <v>188</v>
      </c>
      <c r="C434" s="189">
        <v>2020.0</v>
      </c>
      <c r="D434" s="175" t="s">
        <v>2495</v>
      </c>
      <c r="E434" s="174" t="s">
        <v>2818</v>
      </c>
      <c r="F434" s="190">
        <v>1176014.56</v>
      </c>
      <c r="G434" s="191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22.5" customHeight="1">
      <c r="A435" s="174" t="s">
        <v>3709</v>
      </c>
      <c r="B435" s="174" t="s">
        <v>188</v>
      </c>
      <c r="C435" s="189">
        <v>2020.0</v>
      </c>
      <c r="D435" s="175" t="s">
        <v>2834</v>
      </c>
      <c r="E435" s="174" t="s">
        <v>2818</v>
      </c>
      <c r="F435" s="190">
        <v>1176014.56</v>
      </c>
      <c r="G435" s="191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22.5" customHeight="1">
      <c r="A436" s="174" t="s">
        <v>3710</v>
      </c>
      <c r="B436" s="174" t="s">
        <v>188</v>
      </c>
      <c r="C436" s="189">
        <v>2020.0</v>
      </c>
      <c r="D436" s="175" t="s">
        <v>2585</v>
      </c>
      <c r="E436" s="174" t="s">
        <v>2818</v>
      </c>
      <c r="F436" s="190">
        <v>1176014.56</v>
      </c>
      <c r="G436" s="191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22.5" customHeight="1">
      <c r="A437" s="174" t="s">
        <v>3712</v>
      </c>
      <c r="B437" s="174" t="s">
        <v>188</v>
      </c>
      <c r="C437" s="189">
        <v>2020.0</v>
      </c>
      <c r="D437" s="175" t="s">
        <v>2594</v>
      </c>
      <c r="E437" s="174" t="s">
        <v>2818</v>
      </c>
      <c r="F437" s="190">
        <v>1176014.56</v>
      </c>
      <c r="G437" s="191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22.5" customHeight="1">
      <c r="A438" s="174" t="s">
        <v>3714</v>
      </c>
      <c r="B438" s="174" t="s">
        <v>188</v>
      </c>
      <c r="C438" s="189">
        <v>2020.0</v>
      </c>
      <c r="D438" s="175" t="s">
        <v>2739</v>
      </c>
      <c r="E438" s="174" t="s">
        <v>2818</v>
      </c>
      <c r="F438" s="190">
        <v>1176014.56</v>
      </c>
      <c r="G438" s="191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22.5" customHeight="1">
      <c r="A439" s="174" t="s">
        <v>3716</v>
      </c>
      <c r="B439" s="174" t="s">
        <v>188</v>
      </c>
      <c r="C439" s="189">
        <v>2020.0</v>
      </c>
      <c r="D439" s="175" t="s">
        <v>2541</v>
      </c>
      <c r="E439" s="174" t="s">
        <v>2818</v>
      </c>
      <c r="F439" s="190">
        <v>1176014.56</v>
      </c>
      <c r="G439" s="191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22.5" customHeight="1">
      <c r="A440" s="174" t="s">
        <v>3717</v>
      </c>
      <c r="B440" s="174" t="s">
        <v>188</v>
      </c>
      <c r="C440" s="189">
        <v>2020.0</v>
      </c>
      <c r="D440" s="175" t="s">
        <v>2553</v>
      </c>
      <c r="E440" s="174" t="s">
        <v>2818</v>
      </c>
      <c r="F440" s="190">
        <v>1176014.56</v>
      </c>
      <c r="G440" s="191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22.5" customHeight="1">
      <c r="A441" s="174" t="s">
        <v>3719</v>
      </c>
      <c r="B441" s="174" t="s">
        <v>188</v>
      </c>
      <c r="C441" s="189">
        <v>2020.0</v>
      </c>
      <c r="D441" s="175" t="s">
        <v>2573</v>
      </c>
      <c r="E441" s="174" t="s">
        <v>2818</v>
      </c>
      <c r="F441" s="190">
        <v>1176014.56</v>
      </c>
      <c r="G441" s="191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22.5" customHeight="1">
      <c r="A442" s="174" t="s">
        <v>3721</v>
      </c>
      <c r="B442" s="174" t="s">
        <v>188</v>
      </c>
      <c r="C442" s="189">
        <v>2020.0</v>
      </c>
      <c r="D442" s="175" t="s">
        <v>2593</v>
      </c>
      <c r="E442" s="174" t="s">
        <v>2818</v>
      </c>
      <c r="F442" s="190">
        <v>1176014.56</v>
      </c>
      <c r="G442" s="191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22.5" customHeight="1">
      <c r="A443" s="174" t="s">
        <v>3723</v>
      </c>
      <c r="B443" s="174" t="s">
        <v>188</v>
      </c>
      <c r="C443" s="189">
        <v>2020.0</v>
      </c>
      <c r="D443" s="175" t="s">
        <v>2616</v>
      </c>
      <c r="E443" s="174" t="s">
        <v>2818</v>
      </c>
      <c r="F443" s="190">
        <v>1176014.56</v>
      </c>
      <c r="G443" s="191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22.5" customHeight="1">
      <c r="A444" s="174" t="s">
        <v>3725</v>
      </c>
      <c r="B444" s="174" t="s">
        <v>188</v>
      </c>
      <c r="C444" s="189">
        <v>2020.0</v>
      </c>
      <c r="D444" s="175" t="s">
        <v>2742</v>
      </c>
      <c r="E444" s="174" t="s">
        <v>2818</v>
      </c>
      <c r="F444" s="190">
        <v>1176014.56</v>
      </c>
      <c r="G444" s="191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22.5" customHeight="1">
      <c r="A445" s="174" t="s">
        <v>3726</v>
      </c>
      <c r="B445" s="174" t="s">
        <v>188</v>
      </c>
      <c r="C445" s="189">
        <v>2020.0</v>
      </c>
      <c r="D445" s="175" t="s">
        <v>2496</v>
      </c>
      <c r="E445" s="174" t="s">
        <v>2818</v>
      </c>
      <c r="F445" s="190">
        <v>1176014.56</v>
      </c>
      <c r="G445" s="191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22.5" customHeight="1">
      <c r="A446" s="174" t="s">
        <v>3728</v>
      </c>
      <c r="B446" s="174" t="s">
        <v>188</v>
      </c>
      <c r="C446" s="189">
        <v>2021.0</v>
      </c>
      <c r="D446" s="175" t="s">
        <v>2495</v>
      </c>
      <c r="E446" s="174" t="s">
        <v>2818</v>
      </c>
      <c r="F446" s="190">
        <v>1215176.02</v>
      </c>
      <c r="G446" s="191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22.5" customHeight="1">
      <c r="A447" s="174" t="s">
        <v>3730</v>
      </c>
      <c r="B447" s="174" t="s">
        <v>188</v>
      </c>
      <c r="C447" s="189">
        <v>2021.0</v>
      </c>
      <c r="D447" s="175" t="s">
        <v>2834</v>
      </c>
      <c r="E447" s="174" t="s">
        <v>2818</v>
      </c>
      <c r="F447" s="190">
        <v>1215176.02</v>
      </c>
      <c r="G447" s="191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22.5" customHeight="1">
      <c r="A448" s="174" t="s">
        <v>3732</v>
      </c>
      <c r="B448" s="174" t="s">
        <v>188</v>
      </c>
      <c r="C448" s="189">
        <v>2021.0</v>
      </c>
      <c r="D448" s="175" t="s">
        <v>2585</v>
      </c>
      <c r="E448" s="174" t="s">
        <v>2818</v>
      </c>
      <c r="F448" s="190">
        <v>1215176.02</v>
      </c>
      <c r="G448" s="191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22.5" customHeight="1">
      <c r="A449" s="174" t="s">
        <v>3734</v>
      </c>
      <c r="B449" s="174" t="s">
        <v>188</v>
      </c>
      <c r="C449" s="189">
        <v>2021.0</v>
      </c>
      <c r="D449" s="175" t="s">
        <v>2594</v>
      </c>
      <c r="E449" s="174" t="s">
        <v>2818</v>
      </c>
      <c r="F449" s="190">
        <v>1215176.02</v>
      </c>
      <c r="G449" s="191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22.5" customHeight="1">
      <c r="A450" s="174" t="s">
        <v>3735</v>
      </c>
      <c r="B450" s="174" t="s">
        <v>188</v>
      </c>
      <c r="C450" s="189">
        <v>2021.0</v>
      </c>
      <c r="D450" s="175" t="s">
        <v>2739</v>
      </c>
      <c r="E450" s="174" t="s">
        <v>2818</v>
      </c>
      <c r="F450" s="190">
        <v>1215176.02</v>
      </c>
      <c r="G450" s="191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22.5" customHeight="1">
      <c r="A451" s="174" t="s">
        <v>3737</v>
      </c>
      <c r="B451" s="174" t="s">
        <v>188</v>
      </c>
      <c r="C451" s="189">
        <v>2021.0</v>
      </c>
      <c r="D451" s="175" t="s">
        <v>2541</v>
      </c>
      <c r="E451" s="174" t="s">
        <v>2818</v>
      </c>
      <c r="F451" s="190">
        <v>1215176.02</v>
      </c>
      <c r="G451" s="191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22.5" customHeight="1">
      <c r="A452" s="174" t="s">
        <v>3739</v>
      </c>
      <c r="B452" s="174" t="s">
        <v>188</v>
      </c>
      <c r="C452" s="189">
        <v>2021.0</v>
      </c>
      <c r="D452" s="175" t="s">
        <v>2553</v>
      </c>
      <c r="E452" s="174" t="s">
        <v>2818</v>
      </c>
      <c r="F452" s="190">
        <v>1215176.02</v>
      </c>
      <c r="G452" s="191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22.5" customHeight="1">
      <c r="A453" s="174" t="s">
        <v>3741</v>
      </c>
      <c r="B453" s="174" t="s">
        <v>188</v>
      </c>
      <c r="C453" s="189">
        <v>2021.0</v>
      </c>
      <c r="D453" s="175" t="s">
        <v>2573</v>
      </c>
      <c r="E453" s="174" t="s">
        <v>2818</v>
      </c>
      <c r="F453" s="190">
        <v>1215176.02</v>
      </c>
      <c r="G453" s="191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22.5" customHeight="1">
      <c r="A454" s="174" t="s">
        <v>3743</v>
      </c>
      <c r="B454" s="174" t="s">
        <v>188</v>
      </c>
      <c r="C454" s="189">
        <v>2021.0</v>
      </c>
      <c r="D454" s="175" t="s">
        <v>2593</v>
      </c>
      <c r="E454" s="174" t="s">
        <v>2818</v>
      </c>
      <c r="F454" s="190">
        <v>1215176.02</v>
      </c>
      <c r="G454" s="191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22.5" customHeight="1">
      <c r="A455" s="174" t="s">
        <v>3745</v>
      </c>
      <c r="B455" s="174" t="s">
        <v>188</v>
      </c>
      <c r="C455" s="189">
        <v>2021.0</v>
      </c>
      <c r="D455" s="175" t="s">
        <v>2616</v>
      </c>
      <c r="E455" s="174" t="s">
        <v>2818</v>
      </c>
      <c r="F455" s="190">
        <v>1215176.02</v>
      </c>
      <c r="G455" s="191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22.5" customHeight="1">
      <c r="A456" s="174" t="s">
        <v>3747</v>
      </c>
      <c r="B456" s="174" t="s">
        <v>188</v>
      </c>
      <c r="C456" s="189">
        <v>2021.0</v>
      </c>
      <c r="D456" s="175" t="s">
        <v>2742</v>
      </c>
      <c r="E456" s="174" t="s">
        <v>2818</v>
      </c>
      <c r="F456" s="190">
        <v>1215176.02</v>
      </c>
      <c r="G456" s="191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22.5" customHeight="1">
      <c r="A457" s="174" t="s">
        <v>3749</v>
      </c>
      <c r="B457" s="174" t="s">
        <v>188</v>
      </c>
      <c r="C457" s="189">
        <v>2021.0</v>
      </c>
      <c r="D457" s="175" t="s">
        <v>2496</v>
      </c>
      <c r="E457" s="174" t="s">
        <v>2818</v>
      </c>
      <c r="F457" s="190">
        <v>1215176.02</v>
      </c>
      <c r="G457" s="191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22.5" customHeight="1">
      <c r="A458" s="174" t="s">
        <v>3751</v>
      </c>
      <c r="B458" s="174" t="s">
        <v>188</v>
      </c>
      <c r="C458" s="189">
        <v>2022.0</v>
      </c>
      <c r="D458" s="175" t="s">
        <v>2495</v>
      </c>
      <c r="E458" s="174" t="s">
        <v>2818</v>
      </c>
      <c r="F458" s="190">
        <v>1304719.2</v>
      </c>
      <c r="G458" s="191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22.5" customHeight="1">
      <c r="A459" s="174" t="s">
        <v>3753</v>
      </c>
      <c r="B459" s="174" t="s">
        <v>188</v>
      </c>
      <c r="C459" s="189">
        <v>2022.0</v>
      </c>
      <c r="D459" s="175" t="s">
        <v>2834</v>
      </c>
      <c r="E459" s="174" t="s">
        <v>2818</v>
      </c>
      <c r="F459" s="190">
        <v>1304719.2</v>
      </c>
      <c r="G459" s="191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22.5" customHeight="1">
      <c r="A460" s="174" t="s">
        <v>3755</v>
      </c>
      <c r="B460" s="174" t="s">
        <v>188</v>
      </c>
      <c r="C460" s="189">
        <v>2022.0</v>
      </c>
      <c r="D460" s="175" t="s">
        <v>2585</v>
      </c>
      <c r="E460" s="174" t="s">
        <v>2818</v>
      </c>
      <c r="F460" s="190">
        <v>1304719.2</v>
      </c>
      <c r="G460" s="191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22.5" customHeight="1">
      <c r="A461" s="174" t="s">
        <v>3757</v>
      </c>
      <c r="B461" s="174" t="s">
        <v>188</v>
      </c>
      <c r="C461" s="189">
        <v>2022.0</v>
      </c>
      <c r="D461" s="175" t="s">
        <v>2594</v>
      </c>
      <c r="E461" s="174" t="s">
        <v>2818</v>
      </c>
      <c r="F461" s="190">
        <v>1304719.2</v>
      </c>
      <c r="G461" s="191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22.5" customHeight="1">
      <c r="A462" s="174" t="s">
        <v>3759</v>
      </c>
      <c r="B462" s="174" t="s">
        <v>188</v>
      </c>
      <c r="C462" s="189">
        <v>2022.0</v>
      </c>
      <c r="D462" s="175" t="s">
        <v>2739</v>
      </c>
      <c r="E462" s="174" t="s">
        <v>2818</v>
      </c>
      <c r="F462" s="190">
        <v>1304719.2</v>
      </c>
      <c r="G462" s="191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22.5" customHeight="1">
      <c r="A463" s="174" t="s">
        <v>3761</v>
      </c>
      <c r="B463" s="174" t="s">
        <v>188</v>
      </c>
      <c r="C463" s="189">
        <v>2022.0</v>
      </c>
      <c r="D463" s="175" t="s">
        <v>2541</v>
      </c>
      <c r="E463" s="174" t="s">
        <v>2818</v>
      </c>
      <c r="F463" s="190">
        <v>1304719.2</v>
      </c>
      <c r="G463" s="191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22.5" customHeight="1">
      <c r="A464" s="174" t="s">
        <v>3763</v>
      </c>
      <c r="B464" s="174" t="s">
        <v>188</v>
      </c>
      <c r="C464" s="189">
        <v>2022.0</v>
      </c>
      <c r="D464" s="175" t="s">
        <v>2553</v>
      </c>
      <c r="E464" s="174" t="s">
        <v>2818</v>
      </c>
      <c r="F464" s="190">
        <v>1304719.2</v>
      </c>
      <c r="G464" s="191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22.5" customHeight="1">
      <c r="A465" s="174" t="s">
        <v>3765</v>
      </c>
      <c r="B465" s="174" t="s">
        <v>188</v>
      </c>
      <c r="C465" s="189">
        <v>2022.0</v>
      </c>
      <c r="D465" s="175" t="s">
        <v>2573</v>
      </c>
      <c r="E465" s="174" t="s">
        <v>2818</v>
      </c>
      <c r="F465" s="190">
        <v>1304719.2</v>
      </c>
      <c r="G465" s="191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22.5" customHeight="1">
      <c r="A466" s="174" t="s">
        <v>3767</v>
      </c>
      <c r="B466" s="174" t="s">
        <v>188</v>
      </c>
      <c r="C466" s="189">
        <v>2022.0</v>
      </c>
      <c r="D466" s="175" t="s">
        <v>2593</v>
      </c>
      <c r="E466" s="174" t="s">
        <v>2818</v>
      </c>
      <c r="F466" s="190">
        <v>1304719.2</v>
      </c>
      <c r="G466" s="191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22.5" customHeight="1">
      <c r="A467" s="174" t="s">
        <v>3769</v>
      </c>
      <c r="B467" s="174" t="s">
        <v>188</v>
      </c>
      <c r="C467" s="189">
        <v>2022.0</v>
      </c>
      <c r="D467" s="175" t="s">
        <v>2616</v>
      </c>
      <c r="E467" s="174" t="s">
        <v>2818</v>
      </c>
      <c r="F467" s="190">
        <v>1304719.2</v>
      </c>
      <c r="G467" s="191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22.5" customHeight="1">
      <c r="A468" s="174" t="s">
        <v>3770</v>
      </c>
      <c r="B468" s="174" t="s">
        <v>188</v>
      </c>
      <c r="C468" s="189">
        <v>2022.0</v>
      </c>
      <c r="D468" s="175" t="s">
        <v>2742</v>
      </c>
      <c r="E468" s="174" t="s">
        <v>2818</v>
      </c>
      <c r="F468" s="190">
        <v>1304719.2</v>
      </c>
      <c r="G468" s="191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22.5" customHeight="1">
      <c r="A469" s="174" t="s">
        <v>3772</v>
      </c>
      <c r="B469" s="174" t="s">
        <v>188</v>
      </c>
      <c r="C469" s="189">
        <v>2022.0</v>
      </c>
      <c r="D469" s="175" t="s">
        <v>2496</v>
      </c>
      <c r="E469" s="174" t="s">
        <v>2818</v>
      </c>
      <c r="F469" s="190">
        <v>1304719.2</v>
      </c>
      <c r="G469" s="191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22.5" customHeight="1">
      <c r="A470" s="174" t="s">
        <v>3774</v>
      </c>
      <c r="B470" s="174" t="s">
        <v>188</v>
      </c>
      <c r="C470" s="189">
        <v>2023.0</v>
      </c>
      <c r="D470" s="175" t="s">
        <v>2495</v>
      </c>
      <c r="E470" s="174" t="s">
        <v>2818</v>
      </c>
      <c r="F470" s="190">
        <v>1406350.3</v>
      </c>
      <c r="G470" s="191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22.5" customHeight="1">
      <c r="A471" s="174" t="s">
        <v>3776</v>
      </c>
      <c r="B471" s="174" t="s">
        <v>188</v>
      </c>
      <c r="C471" s="189">
        <v>2023.0</v>
      </c>
      <c r="D471" s="175" t="s">
        <v>2834</v>
      </c>
      <c r="E471" s="174" t="s">
        <v>2818</v>
      </c>
      <c r="F471" s="190">
        <v>1406350.3</v>
      </c>
      <c r="G471" s="191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22.5" customHeight="1">
      <c r="A472" s="174" t="s">
        <v>3778</v>
      </c>
      <c r="B472" s="174" t="s">
        <v>188</v>
      </c>
      <c r="C472" s="189">
        <v>2023.0</v>
      </c>
      <c r="D472" s="175" t="s">
        <v>2585</v>
      </c>
      <c r="E472" s="174" t="s">
        <v>2818</v>
      </c>
      <c r="F472" s="190">
        <v>1406350.3</v>
      </c>
      <c r="G472" s="191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22.5" customHeight="1">
      <c r="A473" s="174" t="s">
        <v>3780</v>
      </c>
      <c r="B473" s="174" t="s">
        <v>188</v>
      </c>
      <c r="C473" s="189">
        <v>2023.0</v>
      </c>
      <c r="D473" s="175" t="s">
        <v>2594</v>
      </c>
      <c r="E473" s="174" t="s">
        <v>2818</v>
      </c>
      <c r="F473" s="190">
        <v>1406350.3</v>
      </c>
      <c r="G473" s="191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22.5" customHeight="1">
      <c r="A474" s="174" t="s">
        <v>3782</v>
      </c>
      <c r="B474" s="174" t="s">
        <v>188</v>
      </c>
      <c r="C474" s="189">
        <v>2023.0</v>
      </c>
      <c r="D474" s="175" t="s">
        <v>2739</v>
      </c>
      <c r="E474" s="174" t="s">
        <v>2818</v>
      </c>
      <c r="F474" s="190">
        <v>1406350.3</v>
      </c>
      <c r="G474" s="191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22.5" customHeight="1">
      <c r="A475" s="174" t="s">
        <v>3784</v>
      </c>
      <c r="B475" s="174" t="s">
        <v>188</v>
      </c>
      <c r="C475" s="189">
        <v>2023.0</v>
      </c>
      <c r="D475" s="175" t="s">
        <v>2541</v>
      </c>
      <c r="E475" s="174" t="s">
        <v>2818</v>
      </c>
      <c r="F475" s="190">
        <v>3363041.62</v>
      </c>
      <c r="G475" s="191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22.5" customHeight="1">
      <c r="A476" s="174" t="s">
        <v>3786</v>
      </c>
      <c r="B476" s="174" t="s">
        <v>188</v>
      </c>
      <c r="C476" s="189">
        <v>2023.0</v>
      </c>
      <c r="D476" s="175" t="s">
        <v>2553</v>
      </c>
      <c r="E476" s="174" t="s">
        <v>2818</v>
      </c>
      <c r="F476" s="190">
        <v>3363041.62</v>
      </c>
      <c r="G476" s="191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22.5" customHeight="1">
      <c r="A477" s="174" t="s">
        <v>3788</v>
      </c>
      <c r="B477" s="174" t="s">
        <v>188</v>
      </c>
      <c r="C477" s="189">
        <v>2023.0</v>
      </c>
      <c r="D477" s="175" t="s">
        <v>2573</v>
      </c>
      <c r="E477" s="174" t="s">
        <v>2818</v>
      </c>
      <c r="F477" s="190">
        <v>3363041.62</v>
      </c>
      <c r="G477" s="191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22.5" customHeight="1">
      <c r="A478" s="174" t="s">
        <v>3790</v>
      </c>
      <c r="B478" s="174" t="s">
        <v>188</v>
      </c>
      <c r="C478" s="189">
        <v>2023.0</v>
      </c>
      <c r="D478" s="175" t="s">
        <v>2593</v>
      </c>
      <c r="E478" s="174" t="s">
        <v>2818</v>
      </c>
      <c r="F478" s="190">
        <v>3363041.62</v>
      </c>
      <c r="G478" s="191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22.5" customHeight="1">
      <c r="A479" s="174" t="s">
        <v>3792</v>
      </c>
      <c r="B479" s="174" t="s">
        <v>188</v>
      </c>
      <c r="C479" s="189">
        <v>2023.0</v>
      </c>
      <c r="D479" s="175" t="s">
        <v>2616</v>
      </c>
      <c r="E479" s="174" t="s">
        <v>2818</v>
      </c>
      <c r="F479" s="190">
        <v>3363041.62</v>
      </c>
      <c r="G479" s="191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22.5" customHeight="1">
      <c r="A480" s="174" t="s">
        <v>3794</v>
      </c>
      <c r="B480" s="174" t="s">
        <v>188</v>
      </c>
      <c r="C480" s="189">
        <v>2023.0</v>
      </c>
      <c r="D480" s="175" t="s">
        <v>2742</v>
      </c>
      <c r="E480" s="174" t="s">
        <v>2818</v>
      </c>
      <c r="F480" s="190">
        <v>3363041.62</v>
      </c>
      <c r="G480" s="191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22.5" customHeight="1">
      <c r="A481" s="174" t="s">
        <v>3796</v>
      </c>
      <c r="B481" s="174" t="s">
        <v>188</v>
      </c>
      <c r="C481" s="189">
        <v>2023.0</v>
      </c>
      <c r="D481" s="175" t="s">
        <v>2496</v>
      </c>
      <c r="E481" s="174" t="s">
        <v>2818</v>
      </c>
      <c r="F481" s="190">
        <v>3363041.62</v>
      </c>
      <c r="G481" s="191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22.5" customHeight="1">
      <c r="A482" s="174" t="s">
        <v>3797</v>
      </c>
      <c r="B482" s="174" t="s">
        <v>188</v>
      </c>
      <c r="C482" s="189">
        <v>2024.0</v>
      </c>
      <c r="D482" s="175" t="s">
        <v>2495</v>
      </c>
      <c r="E482" s="174" t="s">
        <v>2818</v>
      </c>
      <c r="F482" s="190">
        <v>3508323.96</v>
      </c>
      <c r="G482" s="191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22.5" customHeight="1">
      <c r="A483" s="174" t="s">
        <v>3799</v>
      </c>
      <c r="B483" s="174" t="s">
        <v>188</v>
      </c>
      <c r="C483" s="189">
        <v>2024.0</v>
      </c>
      <c r="D483" s="175" t="s">
        <v>2834</v>
      </c>
      <c r="E483" s="174" t="s">
        <v>2818</v>
      </c>
      <c r="F483" s="190">
        <v>3508323.96</v>
      </c>
      <c r="G483" s="191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22.5" customHeight="1">
      <c r="A484" s="174" t="s">
        <v>3801</v>
      </c>
      <c r="B484" s="174" t="s">
        <v>188</v>
      </c>
      <c r="C484" s="189">
        <v>2024.0</v>
      </c>
      <c r="D484" s="175" t="s">
        <v>2585</v>
      </c>
      <c r="E484" s="174" t="s">
        <v>2818</v>
      </c>
      <c r="F484" s="190">
        <v>3508323.96</v>
      </c>
      <c r="G484" s="191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22.5" customHeight="1">
      <c r="A485" s="174" t="s">
        <v>3803</v>
      </c>
      <c r="B485" s="174" t="s">
        <v>188</v>
      </c>
      <c r="C485" s="189">
        <v>2024.0</v>
      </c>
      <c r="D485" s="175" t="s">
        <v>2594</v>
      </c>
      <c r="E485" s="174" t="s">
        <v>2818</v>
      </c>
      <c r="F485" s="190">
        <v>3508323.96</v>
      </c>
      <c r="G485" s="191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22.5" customHeight="1">
      <c r="A486" s="174" t="s">
        <v>3805</v>
      </c>
      <c r="B486" s="174" t="s">
        <v>188</v>
      </c>
      <c r="C486" s="189">
        <v>2024.0</v>
      </c>
      <c r="D486" s="175" t="s">
        <v>2739</v>
      </c>
      <c r="E486" s="174" t="s">
        <v>2818</v>
      </c>
      <c r="F486" s="190">
        <v>3508323.96</v>
      </c>
      <c r="G486" s="191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22.5" customHeight="1">
      <c r="A487" s="174" t="s">
        <v>3807</v>
      </c>
      <c r="B487" s="174" t="s">
        <v>188</v>
      </c>
      <c r="C487" s="189">
        <v>2024.0</v>
      </c>
      <c r="D487" s="175" t="s">
        <v>2541</v>
      </c>
      <c r="E487" s="174" t="s">
        <v>2818</v>
      </c>
      <c r="F487" s="190">
        <v>3508323.96</v>
      </c>
      <c r="G487" s="191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22.5" customHeight="1">
      <c r="A488" s="174" t="s">
        <v>3809</v>
      </c>
      <c r="B488" s="174" t="s">
        <v>188</v>
      </c>
      <c r="C488" s="189">
        <v>2024.0</v>
      </c>
      <c r="D488" s="175" t="s">
        <v>2553</v>
      </c>
      <c r="E488" s="174" t="s">
        <v>2818</v>
      </c>
      <c r="F488" s="190">
        <v>3508323.96</v>
      </c>
      <c r="G488" s="191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22.5" customHeight="1">
      <c r="A489" s="174" t="s">
        <v>3811</v>
      </c>
      <c r="B489" s="174" t="s">
        <v>188</v>
      </c>
      <c r="C489" s="189">
        <v>2024.0</v>
      </c>
      <c r="D489" s="175" t="s">
        <v>2573</v>
      </c>
      <c r="E489" s="174" t="s">
        <v>2818</v>
      </c>
      <c r="F489" s="190">
        <v>3508323.96</v>
      </c>
      <c r="G489" s="191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22.5" customHeight="1">
      <c r="A490" s="174" t="s">
        <v>3812</v>
      </c>
      <c r="B490" s="174" t="s">
        <v>188</v>
      </c>
      <c r="C490" s="189">
        <v>2024.0</v>
      </c>
      <c r="D490" s="175" t="s">
        <v>2593</v>
      </c>
      <c r="E490" s="174" t="s">
        <v>2818</v>
      </c>
      <c r="F490" s="190">
        <v>3508323.96</v>
      </c>
      <c r="G490" s="191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22.5" customHeight="1">
      <c r="A491" s="174" t="s">
        <v>3814</v>
      </c>
      <c r="B491" s="174" t="s">
        <v>188</v>
      </c>
      <c r="C491" s="189">
        <v>2024.0</v>
      </c>
      <c r="D491" s="175" t="s">
        <v>2616</v>
      </c>
      <c r="E491" s="174" t="s">
        <v>2818</v>
      </c>
      <c r="F491" s="190">
        <v>3508323.96</v>
      </c>
      <c r="G491" s="191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22.5" customHeight="1">
      <c r="A492" s="174" t="s">
        <v>3816</v>
      </c>
      <c r="B492" s="174" t="s">
        <v>188</v>
      </c>
      <c r="C492" s="189">
        <v>2024.0</v>
      </c>
      <c r="D492" s="175" t="s">
        <v>2742</v>
      </c>
      <c r="E492" s="174" t="s">
        <v>2818</v>
      </c>
      <c r="F492" s="190">
        <v>2338882.64</v>
      </c>
      <c r="G492" s="191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22.5" customHeight="1">
      <c r="A493" s="174" t="s">
        <v>3818</v>
      </c>
      <c r="B493" s="174" t="s">
        <v>207</v>
      </c>
      <c r="C493" s="189">
        <v>2018.0</v>
      </c>
      <c r="D493" s="175" t="s">
        <v>2739</v>
      </c>
      <c r="E493" s="174" t="s">
        <v>2818</v>
      </c>
      <c r="F493" s="190">
        <v>2853288.16</v>
      </c>
      <c r="G493" s="191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22.5" customHeight="1">
      <c r="A494" s="174" t="s">
        <v>3820</v>
      </c>
      <c r="B494" s="174" t="s">
        <v>207</v>
      </c>
      <c r="C494" s="189">
        <v>2018.0</v>
      </c>
      <c r="D494" s="175" t="s">
        <v>2541</v>
      </c>
      <c r="E494" s="174" t="s">
        <v>2818</v>
      </c>
      <c r="F494" s="190">
        <v>3538077.32</v>
      </c>
      <c r="G494" s="191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22.5" customHeight="1">
      <c r="A495" s="174" t="s">
        <v>3822</v>
      </c>
      <c r="B495" s="174" t="s">
        <v>207</v>
      </c>
      <c r="C495" s="189">
        <v>2018.0</v>
      </c>
      <c r="D495" s="175" t="s">
        <v>2553</v>
      </c>
      <c r="E495" s="174" t="s">
        <v>2818</v>
      </c>
      <c r="F495" s="190">
        <v>3538077.32</v>
      </c>
      <c r="G495" s="191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22.5" customHeight="1">
      <c r="A496" s="174" t="s">
        <v>3823</v>
      </c>
      <c r="B496" s="174" t="s">
        <v>207</v>
      </c>
      <c r="C496" s="189">
        <v>2018.0</v>
      </c>
      <c r="D496" s="175" t="s">
        <v>2573</v>
      </c>
      <c r="E496" s="174" t="s">
        <v>2818</v>
      </c>
      <c r="F496" s="190">
        <v>3538077.32</v>
      </c>
      <c r="G496" s="191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22.5" customHeight="1">
      <c r="A497" s="174" t="s">
        <v>3825</v>
      </c>
      <c r="B497" s="174" t="s">
        <v>207</v>
      </c>
      <c r="C497" s="189">
        <v>2018.0</v>
      </c>
      <c r="D497" s="175" t="s">
        <v>2593</v>
      </c>
      <c r="E497" s="174" t="s">
        <v>2818</v>
      </c>
      <c r="F497" s="190">
        <v>3538077.32</v>
      </c>
      <c r="G497" s="191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22.5" customHeight="1">
      <c r="A498" s="174" t="s">
        <v>3827</v>
      </c>
      <c r="B498" s="174" t="s">
        <v>207</v>
      </c>
      <c r="C498" s="189">
        <v>2018.0</v>
      </c>
      <c r="D498" s="175" t="s">
        <v>2616</v>
      </c>
      <c r="E498" s="174" t="s">
        <v>2818</v>
      </c>
      <c r="F498" s="190">
        <v>3538077.32</v>
      </c>
      <c r="G498" s="191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22.5" customHeight="1">
      <c r="A499" s="174" t="s">
        <v>3829</v>
      </c>
      <c r="B499" s="174" t="s">
        <v>207</v>
      </c>
      <c r="C499" s="189">
        <v>2018.0</v>
      </c>
      <c r="D499" s="175" t="s">
        <v>2742</v>
      </c>
      <c r="E499" s="174" t="s">
        <v>2818</v>
      </c>
      <c r="F499" s="190">
        <v>3538077.32</v>
      </c>
      <c r="G499" s="191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22.5" customHeight="1">
      <c r="A500" s="174" t="s">
        <v>3831</v>
      </c>
      <c r="B500" s="174" t="s">
        <v>207</v>
      </c>
      <c r="C500" s="189">
        <v>2018.0</v>
      </c>
      <c r="D500" s="175" t="s">
        <v>2496</v>
      </c>
      <c r="E500" s="174" t="s">
        <v>2818</v>
      </c>
      <c r="F500" s="190">
        <v>3538077.32</v>
      </c>
      <c r="G500" s="191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22.5" customHeight="1">
      <c r="A501" s="174" t="s">
        <v>3833</v>
      </c>
      <c r="B501" s="174" t="s">
        <v>207</v>
      </c>
      <c r="C501" s="189">
        <v>2019.0</v>
      </c>
      <c r="D501" s="175" t="s">
        <v>2495</v>
      </c>
      <c r="E501" s="174" t="s">
        <v>2818</v>
      </c>
      <c r="F501" s="190">
        <v>3705073.72</v>
      </c>
      <c r="G501" s="191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22.5" customHeight="1">
      <c r="A502" s="174" t="s">
        <v>3835</v>
      </c>
      <c r="B502" s="174" t="s">
        <v>207</v>
      </c>
      <c r="C502" s="189">
        <v>2019.0</v>
      </c>
      <c r="D502" s="175" t="s">
        <v>2834</v>
      </c>
      <c r="E502" s="174" t="s">
        <v>2818</v>
      </c>
      <c r="F502" s="190">
        <v>3705073.72</v>
      </c>
      <c r="G502" s="191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22.5" customHeight="1">
      <c r="A503" s="174" t="s">
        <v>3837</v>
      </c>
      <c r="B503" s="174" t="s">
        <v>207</v>
      </c>
      <c r="C503" s="189">
        <v>2019.0</v>
      </c>
      <c r="D503" s="175" t="s">
        <v>2585</v>
      </c>
      <c r="E503" s="174" t="s">
        <v>2818</v>
      </c>
      <c r="F503" s="190">
        <v>3705073.72</v>
      </c>
      <c r="G503" s="191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22.5" customHeight="1">
      <c r="A504" s="174" t="s">
        <v>3838</v>
      </c>
      <c r="B504" s="174" t="s">
        <v>207</v>
      </c>
      <c r="C504" s="189">
        <v>2019.0</v>
      </c>
      <c r="D504" s="175" t="s">
        <v>2594</v>
      </c>
      <c r="E504" s="174" t="s">
        <v>2818</v>
      </c>
      <c r="F504" s="190">
        <v>3705073.72</v>
      </c>
      <c r="G504" s="191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22.5" customHeight="1">
      <c r="A505" s="174" t="s">
        <v>3840</v>
      </c>
      <c r="B505" s="174" t="s">
        <v>207</v>
      </c>
      <c r="C505" s="189">
        <v>2019.0</v>
      </c>
      <c r="D505" s="175" t="s">
        <v>2739</v>
      </c>
      <c r="E505" s="174" t="s">
        <v>2818</v>
      </c>
      <c r="F505" s="190">
        <v>3705073.72</v>
      </c>
      <c r="G505" s="191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22.5" customHeight="1">
      <c r="A506" s="174" t="s">
        <v>3842</v>
      </c>
      <c r="B506" s="174" t="s">
        <v>207</v>
      </c>
      <c r="C506" s="189">
        <v>2019.0</v>
      </c>
      <c r="D506" s="175" t="s">
        <v>2541</v>
      </c>
      <c r="E506" s="174" t="s">
        <v>2818</v>
      </c>
      <c r="F506" s="190">
        <v>3705073.72</v>
      </c>
      <c r="G506" s="191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22.5" customHeight="1">
      <c r="A507" s="174" t="s">
        <v>3844</v>
      </c>
      <c r="B507" s="174" t="s">
        <v>207</v>
      </c>
      <c r="C507" s="189">
        <v>2019.0</v>
      </c>
      <c r="D507" s="175" t="s">
        <v>2553</v>
      </c>
      <c r="E507" s="174" t="s">
        <v>2818</v>
      </c>
      <c r="F507" s="190">
        <v>3705073.72</v>
      </c>
      <c r="G507" s="191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22.5" customHeight="1">
      <c r="A508" s="174" t="s">
        <v>3846</v>
      </c>
      <c r="B508" s="174" t="s">
        <v>207</v>
      </c>
      <c r="C508" s="189">
        <v>2019.0</v>
      </c>
      <c r="D508" s="175" t="s">
        <v>2573</v>
      </c>
      <c r="E508" s="174" t="s">
        <v>2818</v>
      </c>
      <c r="F508" s="190">
        <v>3705073.72</v>
      </c>
      <c r="G508" s="191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22.5" customHeight="1">
      <c r="A509" s="174" t="s">
        <v>3848</v>
      </c>
      <c r="B509" s="174" t="s">
        <v>207</v>
      </c>
      <c r="C509" s="189">
        <v>2019.0</v>
      </c>
      <c r="D509" s="175" t="s">
        <v>2593</v>
      </c>
      <c r="E509" s="174" t="s">
        <v>2818</v>
      </c>
      <c r="F509" s="190">
        <v>3705073.72</v>
      </c>
      <c r="G509" s="191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22.5" customHeight="1">
      <c r="A510" s="174" t="s">
        <v>3850</v>
      </c>
      <c r="B510" s="174" t="s">
        <v>207</v>
      </c>
      <c r="C510" s="189">
        <v>2019.0</v>
      </c>
      <c r="D510" s="175" t="s">
        <v>2616</v>
      </c>
      <c r="E510" s="174" t="s">
        <v>2818</v>
      </c>
      <c r="F510" s="190">
        <v>3705073.72</v>
      </c>
      <c r="G510" s="191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22.5" customHeight="1">
      <c r="A511" s="174" t="s">
        <v>3851</v>
      </c>
      <c r="B511" s="174" t="s">
        <v>207</v>
      </c>
      <c r="C511" s="189">
        <v>2019.0</v>
      </c>
      <c r="D511" s="175" t="s">
        <v>2742</v>
      </c>
      <c r="E511" s="174" t="s">
        <v>2818</v>
      </c>
      <c r="F511" s="190">
        <v>3705073.72</v>
      </c>
      <c r="G511" s="191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22.5" customHeight="1">
      <c r="A512" s="174" t="s">
        <v>3853</v>
      </c>
      <c r="B512" s="174" t="s">
        <v>207</v>
      </c>
      <c r="C512" s="189">
        <v>2019.0</v>
      </c>
      <c r="D512" s="175" t="s">
        <v>2496</v>
      </c>
      <c r="E512" s="174" t="s">
        <v>2818</v>
      </c>
      <c r="F512" s="190">
        <v>3705073.72</v>
      </c>
      <c r="G512" s="191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22.5" customHeight="1">
      <c r="A513" s="174" t="s">
        <v>3856</v>
      </c>
      <c r="B513" s="174" t="s">
        <v>207</v>
      </c>
      <c r="C513" s="189">
        <v>2020.0</v>
      </c>
      <c r="D513" s="175" t="s">
        <v>2495</v>
      </c>
      <c r="E513" s="174" t="s">
        <v>2818</v>
      </c>
      <c r="F513" s="190">
        <v>3815120.27</v>
      </c>
      <c r="G513" s="191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22.5" customHeight="1">
      <c r="A514" s="174" t="s">
        <v>3857</v>
      </c>
      <c r="B514" s="174" t="s">
        <v>207</v>
      </c>
      <c r="C514" s="189">
        <v>2020.0</v>
      </c>
      <c r="D514" s="175" t="s">
        <v>2834</v>
      </c>
      <c r="E514" s="174" t="s">
        <v>2818</v>
      </c>
      <c r="F514" s="190">
        <v>3815120.27</v>
      </c>
      <c r="G514" s="191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22.5" customHeight="1">
      <c r="A515" s="174" t="s">
        <v>3859</v>
      </c>
      <c r="B515" s="174" t="s">
        <v>207</v>
      </c>
      <c r="C515" s="189">
        <v>2020.0</v>
      </c>
      <c r="D515" s="175" t="s">
        <v>2585</v>
      </c>
      <c r="E515" s="174" t="s">
        <v>2818</v>
      </c>
      <c r="F515" s="190">
        <v>3815120.27</v>
      </c>
      <c r="G515" s="191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22.5" customHeight="1">
      <c r="A516" s="174" t="s">
        <v>3861</v>
      </c>
      <c r="B516" s="174" t="s">
        <v>207</v>
      </c>
      <c r="C516" s="189">
        <v>2020.0</v>
      </c>
      <c r="D516" s="175" t="s">
        <v>2594</v>
      </c>
      <c r="E516" s="174" t="s">
        <v>2818</v>
      </c>
      <c r="F516" s="190">
        <v>3815120.27</v>
      </c>
      <c r="G516" s="191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22.5" customHeight="1">
      <c r="A517" s="174" t="s">
        <v>3863</v>
      </c>
      <c r="B517" s="174" t="s">
        <v>207</v>
      </c>
      <c r="C517" s="189">
        <v>2020.0</v>
      </c>
      <c r="D517" s="175" t="s">
        <v>2739</v>
      </c>
      <c r="E517" s="174" t="s">
        <v>2818</v>
      </c>
      <c r="F517" s="190">
        <v>3815120.27</v>
      </c>
      <c r="G517" s="191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22.5" customHeight="1">
      <c r="A518" s="174" t="s">
        <v>3865</v>
      </c>
      <c r="B518" s="174" t="s">
        <v>207</v>
      </c>
      <c r="C518" s="189">
        <v>2020.0</v>
      </c>
      <c r="D518" s="175" t="s">
        <v>2541</v>
      </c>
      <c r="E518" s="174" t="s">
        <v>2818</v>
      </c>
      <c r="F518" s="190">
        <v>3815120.27</v>
      </c>
      <c r="G518" s="191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22.5" customHeight="1">
      <c r="A519" s="174" t="s">
        <v>3867</v>
      </c>
      <c r="B519" s="174" t="s">
        <v>207</v>
      </c>
      <c r="C519" s="189">
        <v>2020.0</v>
      </c>
      <c r="D519" s="175" t="s">
        <v>2553</v>
      </c>
      <c r="E519" s="174" t="s">
        <v>2818</v>
      </c>
      <c r="F519" s="190">
        <v>3815120.27</v>
      </c>
      <c r="G519" s="191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22.5" customHeight="1">
      <c r="A520" s="174" t="s">
        <v>3869</v>
      </c>
      <c r="B520" s="174" t="s">
        <v>207</v>
      </c>
      <c r="C520" s="189">
        <v>2020.0</v>
      </c>
      <c r="D520" s="175" t="s">
        <v>2573</v>
      </c>
      <c r="E520" s="174" t="s">
        <v>2818</v>
      </c>
      <c r="F520" s="190">
        <v>3815120.27</v>
      </c>
      <c r="G520" s="191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22.5" customHeight="1">
      <c r="A521" s="174" t="s">
        <v>3871</v>
      </c>
      <c r="B521" s="174" t="s">
        <v>207</v>
      </c>
      <c r="C521" s="189">
        <v>2020.0</v>
      </c>
      <c r="D521" s="175" t="s">
        <v>2593</v>
      </c>
      <c r="E521" s="174" t="s">
        <v>2818</v>
      </c>
      <c r="F521" s="190">
        <v>3815120.27</v>
      </c>
      <c r="G521" s="191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22.5" customHeight="1">
      <c r="A522" s="174" t="s">
        <v>3873</v>
      </c>
      <c r="B522" s="174" t="s">
        <v>207</v>
      </c>
      <c r="C522" s="189">
        <v>2020.0</v>
      </c>
      <c r="D522" s="175" t="s">
        <v>2616</v>
      </c>
      <c r="E522" s="174" t="s">
        <v>2818</v>
      </c>
      <c r="F522" s="190">
        <v>3815120.27</v>
      </c>
      <c r="G522" s="191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22.5" customHeight="1">
      <c r="A523" s="174" t="s">
        <v>3875</v>
      </c>
      <c r="B523" s="174" t="s">
        <v>207</v>
      </c>
      <c r="C523" s="189">
        <v>2020.0</v>
      </c>
      <c r="D523" s="175" t="s">
        <v>2742</v>
      </c>
      <c r="E523" s="174" t="s">
        <v>2818</v>
      </c>
      <c r="F523" s="190">
        <v>3815120.27</v>
      </c>
      <c r="G523" s="191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22.5" customHeight="1">
      <c r="A524" s="174" t="s">
        <v>3877</v>
      </c>
      <c r="B524" s="174" t="s">
        <v>207</v>
      </c>
      <c r="C524" s="189">
        <v>2020.0</v>
      </c>
      <c r="D524" s="175" t="s">
        <v>2496</v>
      </c>
      <c r="E524" s="174" t="s">
        <v>2818</v>
      </c>
      <c r="F524" s="190">
        <v>3815120.27</v>
      </c>
      <c r="G524" s="191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22.5" customHeight="1">
      <c r="A525" s="174" t="s">
        <v>3879</v>
      </c>
      <c r="B525" s="174" t="s">
        <v>207</v>
      </c>
      <c r="C525" s="189">
        <v>2021.0</v>
      </c>
      <c r="D525" s="175" t="s">
        <v>2495</v>
      </c>
      <c r="E525" s="174" t="s">
        <v>2818</v>
      </c>
      <c r="F525" s="190">
        <v>3942164.33</v>
      </c>
      <c r="G525" s="191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22.5" customHeight="1">
      <c r="A526" s="174" t="s">
        <v>3880</v>
      </c>
      <c r="B526" s="174" t="s">
        <v>207</v>
      </c>
      <c r="C526" s="189">
        <v>2021.0</v>
      </c>
      <c r="D526" s="175" t="s">
        <v>2834</v>
      </c>
      <c r="E526" s="174" t="s">
        <v>2818</v>
      </c>
      <c r="F526" s="190">
        <v>3942164.33</v>
      </c>
      <c r="G526" s="191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22.5" customHeight="1">
      <c r="A527" s="174" t="s">
        <v>3882</v>
      </c>
      <c r="B527" s="174" t="s">
        <v>207</v>
      </c>
      <c r="C527" s="189">
        <v>2021.0</v>
      </c>
      <c r="D527" s="175" t="s">
        <v>2585</v>
      </c>
      <c r="E527" s="174" t="s">
        <v>2818</v>
      </c>
      <c r="F527" s="190">
        <v>3942164.33</v>
      </c>
      <c r="G527" s="191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22.5" customHeight="1">
      <c r="A528" s="174" t="s">
        <v>3884</v>
      </c>
      <c r="B528" s="174" t="s">
        <v>207</v>
      </c>
      <c r="C528" s="189">
        <v>2021.0</v>
      </c>
      <c r="D528" s="175" t="s">
        <v>2594</v>
      </c>
      <c r="E528" s="174" t="s">
        <v>2818</v>
      </c>
      <c r="F528" s="190">
        <v>3942164.33</v>
      </c>
      <c r="G528" s="191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22.5" customHeight="1">
      <c r="A529" s="174" t="s">
        <v>3886</v>
      </c>
      <c r="B529" s="174" t="s">
        <v>207</v>
      </c>
      <c r="C529" s="189">
        <v>2021.0</v>
      </c>
      <c r="D529" s="175" t="s">
        <v>2739</v>
      </c>
      <c r="E529" s="174" t="s">
        <v>2818</v>
      </c>
      <c r="F529" s="190">
        <v>3942164.33</v>
      </c>
      <c r="G529" s="191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22.5" customHeight="1">
      <c r="A530" s="174" t="s">
        <v>3888</v>
      </c>
      <c r="B530" s="174" t="s">
        <v>207</v>
      </c>
      <c r="C530" s="189">
        <v>2021.0</v>
      </c>
      <c r="D530" s="175" t="s">
        <v>2541</v>
      </c>
      <c r="E530" s="174" t="s">
        <v>2818</v>
      </c>
      <c r="F530" s="190">
        <v>3942164.33</v>
      </c>
      <c r="G530" s="191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22.5" customHeight="1">
      <c r="A531" s="174" t="s">
        <v>3890</v>
      </c>
      <c r="B531" s="174" t="s">
        <v>207</v>
      </c>
      <c r="C531" s="189">
        <v>2021.0</v>
      </c>
      <c r="D531" s="175" t="s">
        <v>2553</v>
      </c>
      <c r="E531" s="174" t="s">
        <v>2818</v>
      </c>
      <c r="F531" s="190">
        <v>3942164.33</v>
      </c>
      <c r="G531" s="191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22.5" customHeight="1">
      <c r="A532" s="174" t="s">
        <v>3892</v>
      </c>
      <c r="B532" s="174" t="s">
        <v>207</v>
      </c>
      <c r="C532" s="189">
        <v>2021.0</v>
      </c>
      <c r="D532" s="175" t="s">
        <v>2573</v>
      </c>
      <c r="E532" s="174" t="s">
        <v>2818</v>
      </c>
      <c r="F532" s="190">
        <v>3942164.33</v>
      </c>
      <c r="G532" s="191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22.5" customHeight="1">
      <c r="A533" s="174" t="s">
        <v>3894</v>
      </c>
      <c r="B533" s="174" t="s">
        <v>207</v>
      </c>
      <c r="C533" s="189">
        <v>2021.0</v>
      </c>
      <c r="D533" s="175" t="s">
        <v>2593</v>
      </c>
      <c r="E533" s="174" t="s">
        <v>2818</v>
      </c>
      <c r="F533" s="190">
        <v>3942164.33</v>
      </c>
      <c r="G533" s="191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22.5" customHeight="1">
      <c r="A534" s="174" t="s">
        <v>3896</v>
      </c>
      <c r="B534" s="174" t="s">
        <v>207</v>
      </c>
      <c r="C534" s="189">
        <v>2021.0</v>
      </c>
      <c r="D534" s="175" t="s">
        <v>2616</v>
      </c>
      <c r="E534" s="174" t="s">
        <v>2818</v>
      </c>
      <c r="F534" s="190">
        <v>3942164.33</v>
      </c>
      <c r="G534" s="191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22.5" customHeight="1">
      <c r="A535" s="174" t="s">
        <v>3898</v>
      </c>
      <c r="B535" s="174" t="s">
        <v>207</v>
      </c>
      <c r="C535" s="189">
        <v>2021.0</v>
      </c>
      <c r="D535" s="175" t="s">
        <v>2742</v>
      </c>
      <c r="E535" s="174" t="s">
        <v>2818</v>
      </c>
      <c r="F535" s="190">
        <v>3942164.33</v>
      </c>
      <c r="G535" s="191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22.5" customHeight="1">
      <c r="A536" s="174" t="s">
        <v>3900</v>
      </c>
      <c r="B536" s="174" t="s">
        <v>207</v>
      </c>
      <c r="C536" s="189">
        <v>2021.0</v>
      </c>
      <c r="D536" s="175" t="s">
        <v>2496</v>
      </c>
      <c r="E536" s="174" t="s">
        <v>2818</v>
      </c>
      <c r="F536" s="190">
        <v>3942164.33</v>
      </c>
      <c r="G536" s="191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22.5" customHeight="1">
      <c r="A537" s="174" t="s">
        <v>3902</v>
      </c>
      <c r="B537" s="174" t="s">
        <v>207</v>
      </c>
      <c r="C537" s="189">
        <v>2022.0</v>
      </c>
      <c r="D537" s="175" t="s">
        <v>2495</v>
      </c>
      <c r="E537" s="174" t="s">
        <v>2818</v>
      </c>
      <c r="F537" s="190">
        <v>4232652.26</v>
      </c>
      <c r="G537" s="191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22.5" customHeight="1">
      <c r="A538" s="174" t="s">
        <v>3904</v>
      </c>
      <c r="B538" s="174" t="s">
        <v>207</v>
      </c>
      <c r="C538" s="189">
        <v>2022.0</v>
      </c>
      <c r="D538" s="175" t="s">
        <v>2834</v>
      </c>
      <c r="E538" s="174" t="s">
        <v>2818</v>
      </c>
      <c r="F538" s="190">
        <v>4232652.26</v>
      </c>
      <c r="G538" s="191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22.5" customHeight="1">
      <c r="A539" s="174" t="s">
        <v>3906</v>
      </c>
      <c r="B539" s="174" t="s">
        <v>207</v>
      </c>
      <c r="C539" s="189">
        <v>2022.0</v>
      </c>
      <c r="D539" s="175" t="s">
        <v>2585</v>
      </c>
      <c r="E539" s="174" t="s">
        <v>2818</v>
      </c>
      <c r="F539" s="190">
        <v>4232652.26</v>
      </c>
      <c r="G539" s="191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22.5" customHeight="1">
      <c r="A540" s="174" t="s">
        <v>3908</v>
      </c>
      <c r="B540" s="174" t="s">
        <v>207</v>
      </c>
      <c r="C540" s="189">
        <v>2022.0</v>
      </c>
      <c r="D540" s="175" t="s">
        <v>2594</v>
      </c>
      <c r="E540" s="174" t="s">
        <v>2818</v>
      </c>
      <c r="F540" s="190">
        <v>4232652.26</v>
      </c>
      <c r="G540" s="191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22.5" customHeight="1">
      <c r="A541" s="174" t="s">
        <v>3910</v>
      </c>
      <c r="B541" s="174" t="s">
        <v>207</v>
      </c>
      <c r="C541" s="189">
        <v>2022.0</v>
      </c>
      <c r="D541" s="175" t="s">
        <v>2739</v>
      </c>
      <c r="E541" s="174" t="s">
        <v>2818</v>
      </c>
      <c r="F541" s="190">
        <v>4232652.26</v>
      </c>
      <c r="G541" s="191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22.5" customHeight="1">
      <c r="A542" s="174" t="s">
        <v>3912</v>
      </c>
      <c r="B542" s="174" t="s">
        <v>207</v>
      </c>
      <c r="C542" s="189">
        <v>2022.0</v>
      </c>
      <c r="D542" s="175" t="s">
        <v>2541</v>
      </c>
      <c r="E542" s="174" t="s">
        <v>2818</v>
      </c>
      <c r="F542" s="190">
        <v>4232652.26</v>
      </c>
      <c r="G542" s="191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22.5" customHeight="1">
      <c r="A543" s="174" t="s">
        <v>3913</v>
      </c>
      <c r="B543" s="174" t="s">
        <v>207</v>
      </c>
      <c r="C543" s="189">
        <v>2022.0</v>
      </c>
      <c r="D543" s="175" t="s">
        <v>2553</v>
      </c>
      <c r="E543" s="174" t="s">
        <v>2818</v>
      </c>
      <c r="F543" s="190">
        <v>4232652.26</v>
      </c>
      <c r="G543" s="191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22.5" customHeight="1">
      <c r="A544" s="174" t="s">
        <v>3914</v>
      </c>
      <c r="B544" s="174" t="s">
        <v>207</v>
      </c>
      <c r="C544" s="189">
        <v>2022.0</v>
      </c>
      <c r="D544" s="175" t="s">
        <v>2573</v>
      </c>
      <c r="E544" s="174" t="s">
        <v>2818</v>
      </c>
      <c r="F544" s="190">
        <v>4232652.26</v>
      </c>
      <c r="G544" s="191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22.5" customHeight="1">
      <c r="A545" s="174" t="s">
        <v>3915</v>
      </c>
      <c r="B545" s="174" t="s">
        <v>207</v>
      </c>
      <c r="C545" s="189">
        <v>2022.0</v>
      </c>
      <c r="D545" s="175" t="s">
        <v>2593</v>
      </c>
      <c r="E545" s="174" t="s">
        <v>2818</v>
      </c>
      <c r="F545" s="190">
        <v>4232652.26</v>
      </c>
      <c r="G545" s="191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22.5" customHeight="1">
      <c r="A546" s="174" t="s">
        <v>3916</v>
      </c>
      <c r="B546" s="174" t="s">
        <v>207</v>
      </c>
      <c r="C546" s="189">
        <v>2022.0</v>
      </c>
      <c r="D546" s="175" t="s">
        <v>2616</v>
      </c>
      <c r="E546" s="174" t="s">
        <v>2818</v>
      </c>
      <c r="F546" s="190">
        <v>4232652.26</v>
      </c>
      <c r="G546" s="191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22.5" customHeight="1">
      <c r="A547" s="174" t="s">
        <v>3917</v>
      </c>
      <c r="B547" s="174" t="s">
        <v>207</v>
      </c>
      <c r="C547" s="189">
        <v>2022.0</v>
      </c>
      <c r="D547" s="175" t="s">
        <v>2742</v>
      </c>
      <c r="E547" s="174" t="s">
        <v>2818</v>
      </c>
      <c r="F547" s="190">
        <v>4232652.26</v>
      </c>
      <c r="G547" s="191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22.5" customHeight="1">
      <c r="A548" s="174" t="s">
        <v>3918</v>
      </c>
      <c r="B548" s="174" t="s">
        <v>207</v>
      </c>
      <c r="C548" s="189">
        <v>2022.0</v>
      </c>
      <c r="D548" s="175" t="s">
        <v>2496</v>
      </c>
      <c r="E548" s="174" t="s">
        <v>2818</v>
      </c>
      <c r="F548" s="190">
        <v>4232652.26</v>
      </c>
      <c r="G548" s="191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22.5" customHeight="1">
      <c r="A549" s="174" t="s">
        <v>3919</v>
      </c>
      <c r="B549" s="174" t="s">
        <v>207</v>
      </c>
      <c r="C549" s="189">
        <v>2023.0</v>
      </c>
      <c r="D549" s="175" t="s">
        <v>2495</v>
      </c>
      <c r="E549" s="174" t="s">
        <v>2818</v>
      </c>
      <c r="F549" s="190">
        <v>4562354.68</v>
      </c>
      <c r="G549" s="191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22.5" customHeight="1">
      <c r="A550" s="174" t="s">
        <v>3920</v>
      </c>
      <c r="B550" s="174" t="s">
        <v>207</v>
      </c>
      <c r="C550" s="189">
        <v>2023.0</v>
      </c>
      <c r="D550" s="175" t="s">
        <v>2834</v>
      </c>
      <c r="E550" s="174" t="s">
        <v>2818</v>
      </c>
      <c r="F550" s="190">
        <v>4562354.68</v>
      </c>
      <c r="G550" s="191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22.5" customHeight="1">
      <c r="A551" s="174" t="s">
        <v>3921</v>
      </c>
      <c r="B551" s="174" t="s">
        <v>207</v>
      </c>
      <c r="C551" s="189">
        <v>2023.0</v>
      </c>
      <c r="D551" s="175" t="s">
        <v>2585</v>
      </c>
      <c r="E551" s="174" t="s">
        <v>2818</v>
      </c>
      <c r="F551" s="190">
        <v>4562354.68</v>
      </c>
      <c r="G551" s="191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22.5" customHeight="1">
      <c r="A552" s="174" t="s">
        <v>3922</v>
      </c>
      <c r="B552" s="174" t="s">
        <v>207</v>
      </c>
      <c r="C552" s="189">
        <v>2023.0</v>
      </c>
      <c r="D552" s="175" t="s">
        <v>2594</v>
      </c>
      <c r="E552" s="174" t="s">
        <v>2818</v>
      </c>
      <c r="F552" s="190">
        <v>4562354.68</v>
      </c>
      <c r="G552" s="191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22.5" customHeight="1">
      <c r="A553" s="174" t="s">
        <v>3923</v>
      </c>
      <c r="B553" s="174" t="s">
        <v>207</v>
      </c>
      <c r="C553" s="189">
        <v>2023.0</v>
      </c>
      <c r="D553" s="175" t="s">
        <v>2739</v>
      </c>
      <c r="E553" s="174" t="s">
        <v>2818</v>
      </c>
      <c r="F553" s="190">
        <v>1.091007602E7</v>
      </c>
      <c r="G553" s="191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22.5" customHeight="1">
      <c r="A554" s="174" t="s">
        <v>3924</v>
      </c>
      <c r="B554" s="174" t="s">
        <v>207</v>
      </c>
      <c r="C554" s="189">
        <v>2023.0</v>
      </c>
      <c r="D554" s="175" t="s">
        <v>2541</v>
      </c>
      <c r="E554" s="174" t="s">
        <v>2818</v>
      </c>
      <c r="F554" s="190">
        <v>1.091007602E7</v>
      </c>
      <c r="G554" s="191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22.5" customHeight="1">
      <c r="A555" s="174" t="s">
        <v>3925</v>
      </c>
      <c r="B555" s="174" t="s">
        <v>207</v>
      </c>
      <c r="C555" s="189">
        <v>2023.0</v>
      </c>
      <c r="D555" s="175" t="s">
        <v>2553</v>
      </c>
      <c r="E555" s="174" t="s">
        <v>2818</v>
      </c>
      <c r="F555" s="190">
        <v>1.091007602E7</v>
      </c>
      <c r="G555" s="191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22.5" customHeight="1">
      <c r="A556" s="174" t="s">
        <v>3926</v>
      </c>
      <c r="B556" s="174" t="s">
        <v>207</v>
      </c>
      <c r="C556" s="189">
        <v>2023.0</v>
      </c>
      <c r="D556" s="175" t="s">
        <v>2573</v>
      </c>
      <c r="E556" s="174" t="s">
        <v>2818</v>
      </c>
      <c r="F556" s="190">
        <v>1.091007602E7</v>
      </c>
      <c r="G556" s="191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22.5" customHeight="1">
      <c r="A557" s="174" t="s">
        <v>3927</v>
      </c>
      <c r="B557" s="174" t="s">
        <v>207</v>
      </c>
      <c r="C557" s="189">
        <v>2023.0</v>
      </c>
      <c r="D557" s="175" t="s">
        <v>2593</v>
      </c>
      <c r="E557" s="174" t="s">
        <v>2818</v>
      </c>
      <c r="F557" s="190">
        <v>1.091007602E7</v>
      </c>
      <c r="G557" s="191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22.5" customHeight="1">
      <c r="A558" s="174" t="s">
        <v>3928</v>
      </c>
      <c r="B558" s="174" t="s">
        <v>207</v>
      </c>
      <c r="C558" s="189">
        <v>2023.0</v>
      </c>
      <c r="D558" s="175" t="s">
        <v>2616</v>
      </c>
      <c r="E558" s="174" t="s">
        <v>2818</v>
      </c>
      <c r="F558" s="190">
        <v>1.091007602E7</v>
      </c>
      <c r="G558" s="191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22.5" customHeight="1">
      <c r="A559" s="174" t="s">
        <v>3929</v>
      </c>
      <c r="B559" s="174" t="s">
        <v>207</v>
      </c>
      <c r="C559" s="189">
        <v>2023.0</v>
      </c>
      <c r="D559" s="175" t="s">
        <v>2742</v>
      </c>
      <c r="E559" s="174" t="s">
        <v>2818</v>
      </c>
      <c r="F559" s="190">
        <v>1.091007602E7</v>
      </c>
      <c r="G559" s="191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22.5" customHeight="1">
      <c r="A560" s="174" t="s">
        <v>3930</v>
      </c>
      <c r="B560" s="174" t="s">
        <v>207</v>
      </c>
      <c r="C560" s="189">
        <v>2023.0</v>
      </c>
      <c r="D560" s="175" t="s">
        <v>2496</v>
      </c>
      <c r="E560" s="174" t="s">
        <v>2818</v>
      </c>
      <c r="F560" s="190">
        <v>1.091007602E7</v>
      </c>
      <c r="G560" s="191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22.5" customHeight="1">
      <c r="A561" s="174" t="s">
        <v>3931</v>
      </c>
      <c r="B561" s="174" t="s">
        <v>207</v>
      </c>
      <c r="C561" s="189">
        <v>2024.0</v>
      </c>
      <c r="D561" s="175" t="s">
        <v>2495</v>
      </c>
      <c r="E561" s="174" t="s">
        <v>2818</v>
      </c>
      <c r="F561" s="190">
        <v>1.138138789E7</v>
      </c>
      <c r="G561" s="191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22.5" customHeight="1">
      <c r="A562" s="174" t="s">
        <v>3932</v>
      </c>
      <c r="B562" s="174" t="s">
        <v>207</v>
      </c>
      <c r="C562" s="189">
        <v>2024.0</v>
      </c>
      <c r="D562" s="175" t="s">
        <v>2834</v>
      </c>
      <c r="E562" s="174" t="s">
        <v>2818</v>
      </c>
      <c r="F562" s="190">
        <v>1.138138789E7</v>
      </c>
      <c r="G562" s="191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22.5" customHeight="1">
      <c r="A563" s="174" t="s">
        <v>3933</v>
      </c>
      <c r="B563" s="174" t="s">
        <v>207</v>
      </c>
      <c r="C563" s="189">
        <v>2024.0</v>
      </c>
      <c r="D563" s="175" t="s">
        <v>2585</v>
      </c>
      <c r="E563" s="174" t="s">
        <v>2818</v>
      </c>
      <c r="F563" s="190">
        <v>1.138138789E7</v>
      </c>
      <c r="G563" s="191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22.5" customHeight="1">
      <c r="A564" s="174" t="s">
        <v>3934</v>
      </c>
      <c r="B564" s="174" t="s">
        <v>207</v>
      </c>
      <c r="C564" s="189">
        <v>2024.0</v>
      </c>
      <c r="D564" s="175" t="s">
        <v>2594</v>
      </c>
      <c r="E564" s="174" t="s">
        <v>2818</v>
      </c>
      <c r="F564" s="190">
        <v>1.138138789E7</v>
      </c>
      <c r="G564" s="191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22.5" customHeight="1">
      <c r="A565" s="174" t="s">
        <v>3935</v>
      </c>
      <c r="B565" s="174" t="s">
        <v>207</v>
      </c>
      <c r="C565" s="189">
        <v>2024.0</v>
      </c>
      <c r="D565" s="175" t="s">
        <v>2739</v>
      </c>
      <c r="E565" s="174" t="s">
        <v>2818</v>
      </c>
      <c r="F565" s="190">
        <v>1.138138789E7</v>
      </c>
      <c r="G565" s="191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22.5" customHeight="1">
      <c r="A566" s="174" t="s">
        <v>3936</v>
      </c>
      <c r="B566" s="174" t="s">
        <v>207</v>
      </c>
      <c r="C566" s="189">
        <v>2024.0</v>
      </c>
      <c r="D566" s="175" t="s">
        <v>2541</v>
      </c>
      <c r="E566" s="174" t="s">
        <v>2818</v>
      </c>
      <c r="F566" s="190">
        <v>1.138138789E7</v>
      </c>
      <c r="G566" s="191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22.5" customHeight="1">
      <c r="A567" s="174" t="s">
        <v>3937</v>
      </c>
      <c r="B567" s="174" t="s">
        <v>207</v>
      </c>
      <c r="C567" s="189">
        <v>2024.0</v>
      </c>
      <c r="D567" s="175" t="s">
        <v>2553</v>
      </c>
      <c r="E567" s="174" t="s">
        <v>2818</v>
      </c>
      <c r="F567" s="190">
        <v>1.138138789E7</v>
      </c>
      <c r="G567" s="191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22.5" customHeight="1">
      <c r="A568" s="174" t="s">
        <v>3938</v>
      </c>
      <c r="B568" s="174" t="s">
        <v>207</v>
      </c>
      <c r="C568" s="189">
        <v>2024.0</v>
      </c>
      <c r="D568" s="175" t="s">
        <v>2573</v>
      </c>
      <c r="E568" s="174" t="s">
        <v>2818</v>
      </c>
      <c r="F568" s="190">
        <v>1.138138789E7</v>
      </c>
      <c r="G568" s="191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22.5" customHeight="1">
      <c r="A569" s="174" t="s">
        <v>3939</v>
      </c>
      <c r="B569" s="174" t="s">
        <v>207</v>
      </c>
      <c r="C569" s="189">
        <v>2024.0</v>
      </c>
      <c r="D569" s="175" t="s">
        <v>2593</v>
      </c>
      <c r="E569" s="174" t="s">
        <v>2818</v>
      </c>
      <c r="F569" s="190">
        <v>1.138138789E7</v>
      </c>
      <c r="G569" s="191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22.5" customHeight="1">
      <c r="A570" s="174" t="s">
        <v>3940</v>
      </c>
      <c r="B570" s="174" t="s">
        <v>207</v>
      </c>
      <c r="C570" s="189">
        <v>2024.0</v>
      </c>
      <c r="D570" s="175" t="s">
        <v>2616</v>
      </c>
      <c r="E570" s="174" t="s">
        <v>2818</v>
      </c>
      <c r="F570" s="190">
        <v>1.138138789E7</v>
      </c>
      <c r="G570" s="191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22.5" customHeight="1">
      <c r="A571" s="174" t="s">
        <v>3941</v>
      </c>
      <c r="B571" s="174" t="s">
        <v>207</v>
      </c>
      <c r="C571" s="189">
        <v>2024.0</v>
      </c>
      <c r="D571" s="175" t="s">
        <v>2742</v>
      </c>
      <c r="E571" s="174" t="s">
        <v>2818</v>
      </c>
      <c r="F571" s="190">
        <v>1.138138789E7</v>
      </c>
      <c r="G571" s="191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22.5" customHeight="1">
      <c r="A572" s="174" t="s">
        <v>3942</v>
      </c>
      <c r="B572" s="174" t="s">
        <v>216</v>
      </c>
      <c r="C572" s="189">
        <v>2023.0</v>
      </c>
      <c r="D572" s="175" t="s">
        <v>2495</v>
      </c>
      <c r="E572" s="174" t="s">
        <v>2818</v>
      </c>
      <c r="F572" s="190">
        <v>6734786.65</v>
      </c>
      <c r="G572" s="191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22.5" customHeight="1">
      <c r="A573" s="174" t="s">
        <v>3943</v>
      </c>
      <c r="B573" s="174" t="s">
        <v>216</v>
      </c>
      <c r="C573" s="189">
        <v>2023.0</v>
      </c>
      <c r="D573" s="175" t="s">
        <v>2834</v>
      </c>
      <c r="E573" s="174" t="s">
        <v>2818</v>
      </c>
      <c r="F573" s="190">
        <v>6734786.65</v>
      </c>
      <c r="G573" s="191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22.5" customHeight="1">
      <c r="A574" s="174" t="s">
        <v>3944</v>
      </c>
      <c r="B574" s="174" t="s">
        <v>216</v>
      </c>
      <c r="C574" s="189">
        <v>2023.0</v>
      </c>
      <c r="D574" s="175" t="s">
        <v>2585</v>
      </c>
      <c r="E574" s="174" t="s">
        <v>2818</v>
      </c>
      <c r="F574" s="190">
        <v>6734786.65</v>
      </c>
      <c r="G574" s="191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22.5" customHeight="1">
      <c r="A575" s="174" t="s">
        <v>3945</v>
      </c>
      <c r="B575" s="174" t="s">
        <v>216</v>
      </c>
      <c r="C575" s="189">
        <v>2023.0</v>
      </c>
      <c r="D575" s="175" t="s">
        <v>2594</v>
      </c>
      <c r="E575" s="174" t="s">
        <v>2818</v>
      </c>
      <c r="F575" s="190">
        <v>6734786.65</v>
      </c>
      <c r="G575" s="191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22.5" customHeight="1">
      <c r="A576" s="174" t="s">
        <v>3946</v>
      </c>
      <c r="B576" s="174" t="s">
        <v>239</v>
      </c>
      <c r="C576" s="189">
        <v>2019.0</v>
      </c>
      <c r="D576" s="175" t="s">
        <v>2739</v>
      </c>
      <c r="E576" s="174" t="s">
        <v>2818</v>
      </c>
      <c r="F576" s="190">
        <v>638020.42</v>
      </c>
      <c r="G576" s="191">
        <f>IFERROR(__xludf.DUMMYFUNCTION("F576 * GOOGLEFINANCE(""CURRENCY:MXNUSD"")"),37522.937930830005)</f>
        <v>37522.93793</v>
      </c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22.5" customHeight="1">
      <c r="A577" s="174" t="s">
        <v>3947</v>
      </c>
      <c r="B577" s="174" t="s">
        <v>239</v>
      </c>
      <c r="C577" s="189">
        <v>2019.0</v>
      </c>
      <c r="D577" s="175" t="s">
        <v>2541</v>
      </c>
      <c r="E577" s="174" t="s">
        <v>2818</v>
      </c>
      <c r="F577" s="190">
        <v>638020.42</v>
      </c>
      <c r="G577" s="191">
        <f>IFERROR(__xludf.DUMMYFUNCTION("F577 * GOOGLEFINANCE(""CURRENCY:MXNUSD"")"),37522.937930830005)</f>
        <v>37522.93793</v>
      </c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22.5" customHeight="1">
      <c r="A578" s="174" t="s">
        <v>3948</v>
      </c>
      <c r="B578" s="174" t="s">
        <v>239</v>
      </c>
      <c r="C578" s="189">
        <v>2019.0</v>
      </c>
      <c r="D578" s="175" t="s">
        <v>2553</v>
      </c>
      <c r="E578" s="174" t="s">
        <v>2818</v>
      </c>
      <c r="F578" s="190">
        <v>638020.42</v>
      </c>
      <c r="G578" s="191">
        <f>IFERROR(__xludf.DUMMYFUNCTION("F578 * GOOGLEFINANCE(""CURRENCY:MXNUSD"")"),37522.937930830005)</f>
        <v>37522.93793</v>
      </c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22.5" customHeight="1">
      <c r="A579" s="174" t="s">
        <v>3949</v>
      </c>
      <c r="B579" s="174" t="s">
        <v>239</v>
      </c>
      <c r="C579" s="189">
        <v>2019.0</v>
      </c>
      <c r="D579" s="175" t="s">
        <v>2573</v>
      </c>
      <c r="E579" s="174" t="s">
        <v>2818</v>
      </c>
      <c r="F579" s="190">
        <v>638020.42</v>
      </c>
      <c r="G579" s="191">
        <f>IFERROR(__xludf.DUMMYFUNCTION("F579 * GOOGLEFINANCE(""CURRENCY:MXNUSD"")"),37522.937930830005)</f>
        <v>37522.93793</v>
      </c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22.5" customHeight="1">
      <c r="A580" s="174" t="s">
        <v>3950</v>
      </c>
      <c r="B580" s="174" t="s">
        <v>239</v>
      </c>
      <c r="C580" s="189">
        <v>2019.0</v>
      </c>
      <c r="D580" s="175" t="s">
        <v>2593</v>
      </c>
      <c r="E580" s="174" t="s">
        <v>2818</v>
      </c>
      <c r="F580" s="190">
        <v>638020.42</v>
      </c>
      <c r="G580" s="191">
        <f>IFERROR(__xludf.DUMMYFUNCTION("F580 * GOOGLEFINANCE(""CURRENCY:MXNUSD"")"),37522.937930830005)</f>
        <v>37522.93793</v>
      </c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22.5" customHeight="1">
      <c r="A581" s="174" t="s">
        <v>3951</v>
      </c>
      <c r="B581" s="174" t="s">
        <v>239</v>
      </c>
      <c r="C581" s="189">
        <v>2019.0</v>
      </c>
      <c r="D581" s="175" t="s">
        <v>2616</v>
      </c>
      <c r="E581" s="174" t="s">
        <v>2818</v>
      </c>
      <c r="F581" s="190">
        <v>638020.42</v>
      </c>
      <c r="G581" s="191">
        <f>IFERROR(__xludf.DUMMYFUNCTION("F581 * GOOGLEFINANCE(""CURRENCY:MXNUSD"")"),37522.937930830005)</f>
        <v>37522.93793</v>
      </c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22.5" customHeight="1">
      <c r="A582" s="174" t="s">
        <v>3952</v>
      </c>
      <c r="B582" s="174" t="s">
        <v>239</v>
      </c>
      <c r="C582" s="189">
        <v>2019.0</v>
      </c>
      <c r="D582" s="175" t="s">
        <v>2742</v>
      </c>
      <c r="E582" s="174" t="s">
        <v>2818</v>
      </c>
      <c r="F582" s="190">
        <v>638020.42</v>
      </c>
      <c r="G582" s="191">
        <f>IFERROR(__xludf.DUMMYFUNCTION("F582 * GOOGLEFINANCE(""CURRENCY:MXNUSD"")"),37522.937930830005)</f>
        <v>37522.93793</v>
      </c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22.5" customHeight="1">
      <c r="A583" s="174" t="s">
        <v>3953</v>
      </c>
      <c r="B583" s="174" t="s">
        <v>239</v>
      </c>
      <c r="C583" s="189">
        <v>2019.0</v>
      </c>
      <c r="D583" s="175" t="s">
        <v>2496</v>
      </c>
      <c r="E583" s="174" t="s">
        <v>2818</v>
      </c>
      <c r="F583" s="190">
        <v>638020.42</v>
      </c>
      <c r="G583" s="191">
        <f>IFERROR(__xludf.DUMMYFUNCTION("F583 * GOOGLEFINANCE(""CURRENCY:MXNUSD"")"),37522.937930830005)</f>
        <v>37522.93793</v>
      </c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22.5" customHeight="1">
      <c r="A584" s="174" t="s">
        <v>3954</v>
      </c>
      <c r="B584" s="174" t="s">
        <v>239</v>
      </c>
      <c r="C584" s="189">
        <v>2020.0</v>
      </c>
      <c r="D584" s="175" t="s">
        <v>2495</v>
      </c>
      <c r="E584" s="174" t="s">
        <v>2818</v>
      </c>
      <c r="F584" s="190">
        <v>656970.64</v>
      </c>
      <c r="G584" s="191">
        <f>IFERROR(__xludf.DUMMYFUNCTION("F584 * GOOGLEFINANCE(""CURRENCY:MXNUSD"")"),38637.42879436)</f>
        <v>38637.42879</v>
      </c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22.5" customHeight="1">
      <c r="A585" s="174" t="s">
        <v>3955</v>
      </c>
      <c r="B585" s="174" t="s">
        <v>239</v>
      </c>
      <c r="C585" s="189">
        <v>2020.0</v>
      </c>
      <c r="D585" s="175" t="s">
        <v>2834</v>
      </c>
      <c r="E585" s="174" t="s">
        <v>2818</v>
      </c>
      <c r="F585" s="190">
        <v>656970.64</v>
      </c>
      <c r="G585" s="191">
        <f>IFERROR(__xludf.DUMMYFUNCTION("F585 * GOOGLEFINANCE(""CURRENCY:MXNUSD"")"),38637.42879436)</f>
        <v>38637.42879</v>
      </c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22.5" customHeight="1">
      <c r="A586" s="174" t="s">
        <v>3956</v>
      </c>
      <c r="B586" s="174" t="s">
        <v>239</v>
      </c>
      <c r="C586" s="189">
        <v>2020.0</v>
      </c>
      <c r="D586" s="175" t="s">
        <v>2585</v>
      </c>
      <c r="E586" s="174" t="s">
        <v>2818</v>
      </c>
      <c r="F586" s="190">
        <v>656970.64</v>
      </c>
      <c r="G586" s="191">
        <f>IFERROR(__xludf.DUMMYFUNCTION("F586 * GOOGLEFINANCE(""CURRENCY:MXNUSD"")"),38637.42879436)</f>
        <v>38637.42879</v>
      </c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22.5" customHeight="1">
      <c r="A587" s="174" t="s">
        <v>3957</v>
      </c>
      <c r="B587" s="174" t="s">
        <v>239</v>
      </c>
      <c r="C587" s="189">
        <v>2020.0</v>
      </c>
      <c r="D587" s="175" t="s">
        <v>2594</v>
      </c>
      <c r="E587" s="174" t="s">
        <v>2818</v>
      </c>
      <c r="F587" s="190">
        <v>656970.64</v>
      </c>
      <c r="G587" s="191">
        <f>IFERROR(__xludf.DUMMYFUNCTION("F587 * GOOGLEFINANCE(""CURRENCY:MXNUSD"")"),38637.42879436)</f>
        <v>38637.42879</v>
      </c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22.5" customHeight="1">
      <c r="A588" s="174" t="s">
        <v>3958</v>
      </c>
      <c r="B588" s="174" t="s">
        <v>239</v>
      </c>
      <c r="C588" s="189">
        <v>2020.0</v>
      </c>
      <c r="D588" s="175" t="s">
        <v>2739</v>
      </c>
      <c r="E588" s="174" t="s">
        <v>2818</v>
      </c>
      <c r="F588" s="190">
        <v>656970.64</v>
      </c>
      <c r="G588" s="191">
        <f>IFERROR(__xludf.DUMMYFUNCTION("F588 * GOOGLEFINANCE(""CURRENCY:MXNUSD"")"),38637.42879436)</f>
        <v>38637.42879</v>
      </c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22.5" customHeight="1">
      <c r="A589" s="174" t="s">
        <v>3959</v>
      </c>
      <c r="B589" s="174" t="s">
        <v>239</v>
      </c>
      <c r="C589" s="189">
        <v>2020.0</v>
      </c>
      <c r="D589" s="175" t="s">
        <v>2541</v>
      </c>
      <c r="E589" s="174" t="s">
        <v>2818</v>
      </c>
      <c r="F589" s="190">
        <v>656970.64</v>
      </c>
      <c r="G589" s="191">
        <f>IFERROR(__xludf.DUMMYFUNCTION("F589 * GOOGLEFINANCE(""CURRENCY:MXNUSD"")"),38637.42879436)</f>
        <v>38637.42879</v>
      </c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22.5" customHeight="1">
      <c r="A590" s="174" t="s">
        <v>3960</v>
      </c>
      <c r="B590" s="174" t="s">
        <v>239</v>
      </c>
      <c r="C590" s="189">
        <v>2020.0</v>
      </c>
      <c r="D590" s="175" t="s">
        <v>2553</v>
      </c>
      <c r="E590" s="174" t="s">
        <v>2818</v>
      </c>
      <c r="F590" s="190">
        <v>656970.64</v>
      </c>
      <c r="G590" s="191">
        <f>IFERROR(__xludf.DUMMYFUNCTION("F590 * GOOGLEFINANCE(""CURRENCY:MXNUSD"")"),38637.42879436)</f>
        <v>38637.42879</v>
      </c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22.5" customHeight="1">
      <c r="A591" s="174" t="s">
        <v>3961</v>
      </c>
      <c r="B591" s="174" t="s">
        <v>239</v>
      </c>
      <c r="C591" s="189">
        <v>2020.0</v>
      </c>
      <c r="D591" s="175" t="s">
        <v>2573</v>
      </c>
      <c r="E591" s="174" t="s">
        <v>2818</v>
      </c>
      <c r="F591" s="190">
        <v>656970.64</v>
      </c>
      <c r="G591" s="191">
        <f>IFERROR(__xludf.DUMMYFUNCTION("F591 * GOOGLEFINANCE(""CURRENCY:MXNUSD"")"),38637.42879436)</f>
        <v>38637.42879</v>
      </c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22.5" customHeight="1">
      <c r="A592" s="174" t="s">
        <v>3962</v>
      </c>
      <c r="B592" s="174" t="s">
        <v>239</v>
      </c>
      <c r="C592" s="189">
        <v>2020.0</v>
      </c>
      <c r="D592" s="175" t="s">
        <v>2593</v>
      </c>
      <c r="E592" s="174" t="s">
        <v>2818</v>
      </c>
      <c r="F592" s="190">
        <v>656970.64</v>
      </c>
      <c r="G592" s="191">
        <f>IFERROR(__xludf.DUMMYFUNCTION("F592 * GOOGLEFINANCE(""CURRENCY:MXNUSD"")"),38637.42879436)</f>
        <v>38637.42879</v>
      </c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22.5" customHeight="1">
      <c r="A593" s="174" t="s">
        <v>3963</v>
      </c>
      <c r="B593" s="174" t="s">
        <v>239</v>
      </c>
      <c r="C593" s="189">
        <v>2020.0</v>
      </c>
      <c r="D593" s="175" t="s">
        <v>2616</v>
      </c>
      <c r="E593" s="174" t="s">
        <v>2818</v>
      </c>
      <c r="F593" s="190">
        <v>656970.64</v>
      </c>
      <c r="G593" s="191">
        <f>IFERROR(__xludf.DUMMYFUNCTION("F593 * GOOGLEFINANCE(""CURRENCY:MXNUSD"")"),38637.42879436)</f>
        <v>38637.42879</v>
      </c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22.5" customHeight="1">
      <c r="A594" s="174" t="s">
        <v>3964</v>
      </c>
      <c r="B594" s="174" t="s">
        <v>239</v>
      </c>
      <c r="C594" s="189">
        <v>2020.0</v>
      </c>
      <c r="D594" s="175" t="s">
        <v>2742</v>
      </c>
      <c r="E594" s="174" t="s">
        <v>2818</v>
      </c>
      <c r="F594" s="190">
        <v>656970.64</v>
      </c>
      <c r="G594" s="191">
        <f>IFERROR(__xludf.DUMMYFUNCTION("F594 * GOOGLEFINANCE(""CURRENCY:MXNUSD"")"),38637.42879436)</f>
        <v>38637.42879</v>
      </c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22.5" customHeight="1">
      <c r="A595" s="174" t="s">
        <v>3965</v>
      </c>
      <c r="B595" s="174" t="s">
        <v>239</v>
      </c>
      <c r="C595" s="189">
        <v>2020.0</v>
      </c>
      <c r="D595" s="175" t="s">
        <v>2496</v>
      </c>
      <c r="E595" s="174" t="s">
        <v>2818</v>
      </c>
      <c r="F595" s="190">
        <v>656970.64</v>
      </c>
      <c r="G595" s="191">
        <f>IFERROR(__xludf.DUMMYFUNCTION("F595 * GOOGLEFINANCE(""CURRENCY:MXNUSD"")"),38637.42879436)</f>
        <v>38637.42879</v>
      </c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22.5" customHeight="1">
      <c r="A596" s="174" t="s">
        <v>3966</v>
      </c>
      <c r="B596" s="174" t="s">
        <v>239</v>
      </c>
      <c r="C596" s="189">
        <v>2021.0</v>
      </c>
      <c r="D596" s="175" t="s">
        <v>2495</v>
      </c>
      <c r="E596" s="174" t="s">
        <v>2818</v>
      </c>
      <c r="F596" s="190">
        <v>678847.85</v>
      </c>
      <c r="G596" s="191">
        <f>IFERROR(__xludf.DUMMYFUNCTION("F596 * GOOGLEFINANCE(""CURRENCY:MXNUSD"")"),39924.060330275)</f>
        <v>39924.06033</v>
      </c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22.5" customHeight="1">
      <c r="A597" s="174" t="s">
        <v>3967</v>
      </c>
      <c r="B597" s="174" t="s">
        <v>239</v>
      </c>
      <c r="C597" s="189">
        <v>2021.0</v>
      </c>
      <c r="D597" s="175" t="s">
        <v>2834</v>
      </c>
      <c r="E597" s="174" t="s">
        <v>2818</v>
      </c>
      <c r="F597" s="190">
        <v>678847.85</v>
      </c>
      <c r="G597" s="191">
        <f>IFERROR(__xludf.DUMMYFUNCTION("F597 * GOOGLEFINANCE(""CURRENCY:MXNUSD"")"),39924.060330275)</f>
        <v>39924.06033</v>
      </c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22.5" customHeight="1">
      <c r="A598" s="174" t="s">
        <v>3968</v>
      </c>
      <c r="B598" s="174" t="s">
        <v>239</v>
      </c>
      <c r="C598" s="189">
        <v>2021.0</v>
      </c>
      <c r="D598" s="175" t="s">
        <v>2585</v>
      </c>
      <c r="E598" s="174" t="s">
        <v>2818</v>
      </c>
      <c r="F598" s="190">
        <v>678847.85</v>
      </c>
      <c r="G598" s="191">
        <f>IFERROR(__xludf.DUMMYFUNCTION("F598 * GOOGLEFINANCE(""CURRENCY:MXNUSD"")"),39924.060330275)</f>
        <v>39924.06033</v>
      </c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22.5" customHeight="1">
      <c r="A599" s="174" t="s">
        <v>3969</v>
      </c>
      <c r="B599" s="174" t="s">
        <v>239</v>
      </c>
      <c r="C599" s="189">
        <v>2021.0</v>
      </c>
      <c r="D599" s="175" t="s">
        <v>2594</v>
      </c>
      <c r="E599" s="174" t="s">
        <v>2818</v>
      </c>
      <c r="F599" s="190">
        <v>678847.85</v>
      </c>
      <c r="G599" s="191">
        <f>IFERROR(__xludf.DUMMYFUNCTION("F599 * GOOGLEFINANCE(""CURRENCY:MXNUSD"")"),39924.060330275)</f>
        <v>39924.06033</v>
      </c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22.5" customHeight="1">
      <c r="A600" s="174" t="s">
        <v>3970</v>
      </c>
      <c r="B600" s="174" t="s">
        <v>239</v>
      </c>
      <c r="C600" s="189">
        <v>2021.0</v>
      </c>
      <c r="D600" s="175" t="s">
        <v>2739</v>
      </c>
      <c r="E600" s="174" t="s">
        <v>2818</v>
      </c>
      <c r="F600" s="190">
        <v>678847.85</v>
      </c>
      <c r="G600" s="191">
        <f>IFERROR(__xludf.DUMMYFUNCTION("F600 * GOOGLEFINANCE(""CURRENCY:MXNUSD"")"),39924.060330275)</f>
        <v>39924.06033</v>
      </c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22.5" customHeight="1">
      <c r="A601" s="174" t="s">
        <v>3971</v>
      </c>
      <c r="B601" s="174" t="s">
        <v>239</v>
      </c>
      <c r="C601" s="189">
        <v>2021.0</v>
      </c>
      <c r="D601" s="175" t="s">
        <v>2541</v>
      </c>
      <c r="E601" s="174" t="s">
        <v>2818</v>
      </c>
      <c r="F601" s="190">
        <v>678847.85</v>
      </c>
      <c r="G601" s="191">
        <f>IFERROR(__xludf.DUMMYFUNCTION("F601 * GOOGLEFINANCE(""CURRENCY:MXNUSD"")"),39924.060330275)</f>
        <v>39924.06033</v>
      </c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22.5" customHeight="1">
      <c r="A602" s="174" t="s">
        <v>3972</v>
      </c>
      <c r="B602" s="174" t="s">
        <v>239</v>
      </c>
      <c r="C602" s="189">
        <v>2021.0</v>
      </c>
      <c r="D602" s="175" t="s">
        <v>2553</v>
      </c>
      <c r="E602" s="174" t="s">
        <v>2818</v>
      </c>
      <c r="F602" s="190">
        <v>678847.85</v>
      </c>
      <c r="G602" s="191">
        <f>IFERROR(__xludf.DUMMYFUNCTION("F602 * GOOGLEFINANCE(""CURRENCY:MXNUSD"")"),39924.060330275)</f>
        <v>39924.06033</v>
      </c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22.5" customHeight="1">
      <c r="A603" s="174" t="s">
        <v>3973</v>
      </c>
      <c r="B603" s="174" t="s">
        <v>239</v>
      </c>
      <c r="C603" s="189">
        <v>2021.0</v>
      </c>
      <c r="D603" s="175" t="s">
        <v>2573</v>
      </c>
      <c r="E603" s="174" t="s">
        <v>2818</v>
      </c>
      <c r="F603" s="190">
        <v>678847.85</v>
      </c>
      <c r="G603" s="191">
        <f>IFERROR(__xludf.DUMMYFUNCTION("F603 * GOOGLEFINANCE(""CURRENCY:MXNUSD"")"),39924.060330275)</f>
        <v>39924.06033</v>
      </c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22.5" customHeight="1">
      <c r="A604" s="174" t="s">
        <v>3974</v>
      </c>
      <c r="B604" s="174" t="s">
        <v>239</v>
      </c>
      <c r="C604" s="189">
        <v>2021.0</v>
      </c>
      <c r="D604" s="175" t="s">
        <v>2593</v>
      </c>
      <c r="E604" s="174" t="s">
        <v>2818</v>
      </c>
      <c r="F604" s="190">
        <v>678847.85</v>
      </c>
      <c r="G604" s="191">
        <f>IFERROR(__xludf.DUMMYFUNCTION("F604 * GOOGLEFINANCE(""CURRENCY:MXNUSD"")"),39924.060330275)</f>
        <v>39924.06033</v>
      </c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22.5" customHeight="1">
      <c r="A605" s="174" t="s">
        <v>3975</v>
      </c>
      <c r="B605" s="174" t="s">
        <v>239</v>
      </c>
      <c r="C605" s="189">
        <v>2021.0</v>
      </c>
      <c r="D605" s="175" t="s">
        <v>2616</v>
      </c>
      <c r="E605" s="174" t="s">
        <v>2818</v>
      </c>
      <c r="F605" s="190">
        <v>678847.85</v>
      </c>
      <c r="G605" s="191">
        <f>IFERROR(__xludf.DUMMYFUNCTION("F605 * GOOGLEFINANCE(""CURRENCY:MXNUSD"")"),39924.060330275)</f>
        <v>39924.06033</v>
      </c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22.5" customHeight="1">
      <c r="A606" s="174" t="s">
        <v>3976</v>
      </c>
      <c r="B606" s="174" t="s">
        <v>239</v>
      </c>
      <c r="C606" s="189">
        <v>2021.0</v>
      </c>
      <c r="D606" s="175" t="s">
        <v>2742</v>
      </c>
      <c r="E606" s="174" t="s">
        <v>2818</v>
      </c>
      <c r="F606" s="190">
        <v>678847.85</v>
      </c>
      <c r="G606" s="191">
        <f>IFERROR(__xludf.DUMMYFUNCTION("F606 * GOOGLEFINANCE(""CURRENCY:MXNUSD"")"),39924.060330275)</f>
        <v>39924.06033</v>
      </c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22.5" customHeight="1">
      <c r="A607" s="174" t="s">
        <v>3977</v>
      </c>
      <c r="B607" s="174" t="s">
        <v>239</v>
      </c>
      <c r="C607" s="189">
        <v>2021.0</v>
      </c>
      <c r="D607" s="175" t="s">
        <v>2496</v>
      </c>
      <c r="E607" s="174" t="s">
        <v>2818</v>
      </c>
      <c r="F607" s="190">
        <v>678847.85</v>
      </c>
      <c r="G607" s="191">
        <f>IFERROR(__xludf.DUMMYFUNCTION("F607 * GOOGLEFINANCE(""CURRENCY:MXNUSD"")"),39924.060330275)</f>
        <v>39924.06033</v>
      </c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22.5" customHeight="1">
      <c r="A608" s="174" t="s">
        <v>3978</v>
      </c>
      <c r="B608" s="174" t="s">
        <v>239</v>
      </c>
      <c r="C608" s="189">
        <v>2022.0</v>
      </c>
      <c r="D608" s="175" t="s">
        <v>2495</v>
      </c>
      <c r="E608" s="174" t="s">
        <v>2818</v>
      </c>
      <c r="F608" s="190">
        <v>728871.0</v>
      </c>
      <c r="G608" s="191">
        <f>IFERROR(__xludf.DUMMYFUNCTION("F608 * GOOGLEFINANCE(""CURRENCY:MXNUSD"")"),42865.9968165)</f>
        <v>42865.99682</v>
      </c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22.5" customHeight="1">
      <c r="A609" s="174" t="s">
        <v>3979</v>
      </c>
      <c r="B609" s="174" t="s">
        <v>239</v>
      </c>
      <c r="C609" s="189">
        <v>2022.0</v>
      </c>
      <c r="D609" s="175" t="s">
        <v>2834</v>
      </c>
      <c r="E609" s="174" t="s">
        <v>2818</v>
      </c>
      <c r="F609" s="190">
        <v>728871.0</v>
      </c>
      <c r="G609" s="191">
        <f>IFERROR(__xludf.DUMMYFUNCTION("F609 * GOOGLEFINANCE(""CURRENCY:MXNUSD"")"),42865.9968165)</f>
        <v>42865.99682</v>
      </c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22.5" customHeight="1">
      <c r="A610" s="174" t="s">
        <v>3980</v>
      </c>
      <c r="B610" s="174" t="s">
        <v>239</v>
      </c>
      <c r="C610" s="189">
        <v>2022.0</v>
      </c>
      <c r="D610" s="175" t="s">
        <v>2585</v>
      </c>
      <c r="E610" s="174" t="s">
        <v>2818</v>
      </c>
      <c r="F610" s="190">
        <v>728871.0</v>
      </c>
      <c r="G610" s="191">
        <f>IFERROR(__xludf.DUMMYFUNCTION("F610 * GOOGLEFINANCE(""CURRENCY:MXNUSD"")"),42865.9968165)</f>
        <v>42865.99682</v>
      </c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22.5" customHeight="1">
      <c r="A611" s="174" t="s">
        <v>3981</v>
      </c>
      <c r="B611" s="174" t="s">
        <v>239</v>
      </c>
      <c r="C611" s="189">
        <v>2022.0</v>
      </c>
      <c r="D611" s="175" t="s">
        <v>2594</v>
      </c>
      <c r="E611" s="174" t="s">
        <v>2818</v>
      </c>
      <c r="F611" s="190">
        <v>728871.0</v>
      </c>
      <c r="G611" s="191">
        <f>IFERROR(__xludf.DUMMYFUNCTION("F611 * GOOGLEFINANCE(""CURRENCY:MXNUSD"")"),42865.9968165)</f>
        <v>42865.99682</v>
      </c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22.5" customHeight="1">
      <c r="A612" s="174" t="s">
        <v>3982</v>
      </c>
      <c r="B612" s="174" t="s">
        <v>239</v>
      </c>
      <c r="C612" s="189">
        <v>2022.0</v>
      </c>
      <c r="D612" s="175" t="s">
        <v>2739</v>
      </c>
      <c r="E612" s="174" t="s">
        <v>2818</v>
      </c>
      <c r="F612" s="190">
        <v>728871.0</v>
      </c>
      <c r="G612" s="191">
        <f>IFERROR(__xludf.DUMMYFUNCTION("F612 * GOOGLEFINANCE(""CURRENCY:MXNUSD"")"),42865.9968165)</f>
        <v>42865.99682</v>
      </c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22.5" customHeight="1">
      <c r="A613" s="174" t="s">
        <v>3983</v>
      </c>
      <c r="B613" s="174" t="s">
        <v>239</v>
      </c>
      <c r="C613" s="189">
        <v>2022.0</v>
      </c>
      <c r="D613" s="175" t="s">
        <v>2541</v>
      </c>
      <c r="E613" s="174" t="s">
        <v>2818</v>
      </c>
      <c r="F613" s="190">
        <v>728871.0</v>
      </c>
      <c r="G613" s="191">
        <f>IFERROR(__xludf.DUMMYFUNCTION("F613 * GOOGLEFINANCE(""CURRENCY:MXNUSD"")"),42865.9968165)</f>
        <v>42865.99682</v>
      </c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22.5" customHeight="1">
      <c r="A614" s="174" t="s">
        <v>3984</v>
      </c>
      <c r="B614" s="174" t="s">
        <v>239</v>
      </c>
      <c r="C614" s="189">
        <v>2022.0</v>
      </c>
      <c r="D614" s="175" t="s">
        <v>2553</v>
      </c>
      <c r="E614" s="174" t="s">
        <v>2818</v>
      </c>
      <c r="F614" s="190">
        <v>728870.4</v>
      </c>
      <c r="G614" s="191">
        <f>IFERROR(__xludf.DUMMYFUNCTION("F614 * GOOGLEFINANCE(""CURRENCY:MXNUSD"")"),42865.961529600005)</f>
        <v>42865.96153</v>
      </c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22.5" customHeight="1">
      <c r="A615" s="174" t="s">
        <v>3985</v>
      </c>
      <c r="B615" s="174" t="s">
        <v>239</v>
      </c>
      <c r="C615" s="189">
        <v>2022.0</v>
      </c>
      <c r="D615" s="175" t="s">
        <v>2573</v>
      </c>
      <c r="E615" s="174" t="s">
        <v>2818</v>
      </c>
      <c r="F615" s="190">
        <v>728870.4</v>
      </c>
      <c r="G615" s="191">
        <f>IFERROR(__xludf.DUMMYFUNCTION("F615 * GOOGLEFINANCE(""CURRENCY:MXNUSD"")"),42865.961529600005)</f>
        <v>42865.96153</v>
      </c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22.5" customHeight="1">
      <c r="A616" s="174" t="s">
        <v>3986</v>
      </c>
      <c r="B616" s="174" t="s">
        <v>239</v>
      </c>
      <c r="C616" s="189">
        <v>2022.0</v>
      </c>
      <c r="D616" s="175" t="s">
        <v>2593</v>
      </c>
      <c r="E616" s="174" t="s">
        <v>2818</v>
      </c>
      <c r="F616" s="190">
        <v>728870.4</v>
      </c>
      <c r="G616" s="191">
        <f>IFERROR(__xludf.DUMMYFUNCTION("F616 * GOOGLEFINANCE(""CURRENCY:MXNUSD"")"),42865.961529600005)</f>
        <v>42865.96153</v>
      </c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22.5" customHeight="1">
      <c r="A617" s="174" t="s">
        <v>3987</v>
      </c>
      <c r="B617" s="174" t="s">
        <v>239</v>
      </c>
      <c r="C617" s="189">
        <v>2022.0</v>
      </c>
      <c r="D617" s="175" t="s">
        <v>2616</v>
      </c>
      <c r="E617" s="174" t="s">
        <v>2818</v>
      </c>
      <c r="F617" s="190">
        <v>728870.4</v>
      </c>
      <c r="G617" s="191">
        <f>IFERROR(__xludf.DUMMYFUNCTION("F617 * GOOGLEFINANCE(""CURRENCY:MXNUSD"")"),42865.961529600005)</f>
        <v>42865.96153</v>
      </c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22.5" customHeight="1">
      <c r="A618" s="174" t="s">
        <v>3988</v>
      </c>
      <c r="B618" s="174" t="s">
        <v>239</v>
      </c>
      <c r="C618" s="189">
        <v>2022.0</v>
      </c>
      <c r="D618" s="175" t="s">
        <v>2742</v>
      </c>
      <c r="E618" s="174" t="s">
        <v>2818</v>
      </c>
      <c r="F618" s="190">
        <v>728870.4</v>
      </c>
      <c r="G618" s="191">
        <f>IFERROR(__xludf.DUMMYFUNCTION("F618 * GOOGLEFINANCE(""CURRENCY:MXNUSD"")"),42865.961529600005)</f>
        <v>42865.96153</v>
      </c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22.5" customHeight="1">
      <c r="A619" s="174" t="s">
        <v>3989</v>
      </c>
      <c r="B619" s="174" t="s">
        <v>239</v>
      </c>
      <c r="C619" s="189">
        <v>2022.0</v>
      </c>
      <c r="D619" s="175" t="s">
        <v>2496</v>
      </c>
      <c r="E619" s="174" t="s">
        <v>2818</v>
      </c>
      <c r="F619" s="190">
        <v>728870.4</v>
      </c>
      <c r="G619" s="191">
        <f>IFERROR(__xludf.DUMMYFUNCTION("F619 * GOOGLEFINANCE(""CURRENCY:MXNUSD"")"),42865.961529600005)</f>
        <v>42865.96153</v>
      </c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22.5" customHeight="1">
      <c r="A620" s="174" t="s">
        <v>3990</v>
      </c>
      <c r="B620" s="174" t="s">
        <v>239</v>
      </c>
      <c r="C620" s="189">
        <v>2023.0</v>
      </c>
      <c r="D620" s="175" t="s">
        <v>2495</v>
      </c>
      <c r="E620" s="174" t="s">
        <v>2818</v>
      </c>
      <c r="F620" s="190">
        <v>785645.76</v>
      </c>
      <c r="G620" s="191">
        <f>IFERROR(__xludf.DUMMYFUNCTION("F620 * GOOGLEFINANCE(""CURRENCY:MXNUSD"")"),46205.005614240006)</f>
        <v>46205.00561</v>
      </c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22.5" customHeight="1">
      <c r="A621" s="174" t="s">
        <v>3991</v>
      </c>
      <c r="B621" s="174" t="s">
        <v>239</v>
      </c>
      <c r="C621" s="189">
        <v>2023.0</v>
      </c>
      <c r="D621" s="175" t="s">
        <v>2834</v>
      </c>
      <c r="E621" s="174" t="s">
        <v>2818</v>
      </c>
      <c r="F621" s="190">
        <v>785645.76</v>
      </c>
      <c r="G621" s="191">
        <f>IFERROR(__xludf.DUMMYFUNCTION("F621 * GOOGLEFINANCE(""CURRENCY:MXNUSD"")"),46205.005614240006)</f>
        <v>46205.00561</v>
      </c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22.5" customHeight="1">
      <c r="A622" s="174" t="s">
        <v>3992</v>
      </c>
      <c r="B622" s="174" t="s">
        <v>239</v>
      </c>
      <c r="C622" s="189">
        <v>2023.0</v>
      </c>
      <c r="D622" s="175" t="s">
        <v>2585</v>
      </c>
      <c r="E622" s="174" t="s">
        <v>2818</v>
      </c>
      <c r="F622" s="190">
        <v>785645.76</v>
      </c>
      <c r="G622" s="191">
        <f>IFERROR(__xludf.DUMMYFUNCTION("F622 * GOOGLEFINANCE(""CURRENCY:MXNUSD"")"),46205.005614240006)</f>
        <v>46205.00561</v>
      </c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22.5" customHeight="1">
      <c r="A623" s="174" t="s">
        <v>3993</v>
      </c>
      <c r="B623" s="174" t="s">
        <v>239</v>
      </c>
      <c r="C623" s="189">
        <v>2023.0</v>
      </c>
      <c r="D623" s="175" t="s">
        <v>2594</v>
      </c>
      <c r="E623" s="174" t="s">
        <v>2818</v>
      </c>
      <c r="F623" s="190">
        <v>785645.76</v>
      </c>
      <c r="G623" s="191">
        <f>IFERROR(__xludf.DUMMYFUNCTION("F623 * GOOGLEFINANCE(""CURRENCY:MXNUSD"")"),46205.005614240006)</f>
        <v>46205.00561</v>
      </c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22.5" customHeight="1">
      <c r="A624" s="174" t="s">
        <v>3994</v>
      </c>
      <c r="B624" s="174" t="s">
        <v>239</v>
      </c>
      <c r="C624" s="189">
        <v>2023.0</v>
      </c>
      <c r="D624" s="175" t="s">
        <v>2739</v>
      </c>
      <c r="E624" s="174" t="s">
        <v>2818</v>
      </c>
      <c r="F624" s="190">
        <v>785645.76</v>
      </c>
      <c r="G624" s="191">
        <f>IFERROR(__xludf.DUMMYFUNCTION("F624 * GOOGLEFINANCE(""CURRENCY:MXNUSD"")"),46205.005614240006)</f>
        <v>46205.00561</v>
      </c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22.5" customHeight="1">
      <c r="A625" s="174" t="s">
        <v>3995</v>
      </c>
      <c r="B625" s="174" t="s">
        <v>239</v>
      </c>
      <c r="C625" s="189">
        <v>2023.0</v>
      </c>
      <c r="D625" s="175" t="s">
        <v>2541</v>
      </c>
      <c r="E625" s="174" t="s">
        <v>2818</v>
      </c>
      <c r="F625" s="190">
        <v>1878734.89</v>
      </c>
      <c r="G625" s="191">
        <f>IFERROR(__xludf.DUMMYFUNCTION("F625 * GOOGLEFINANCE(""CURRENCY:MXNUSD"")"),110491.216983235)</f>
        <v>110491.217</v>
      </c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22.5" customHeight="1">
      <c r="A626" s="174" t="s">
        <v>3996</v>
      </c>
      <c r="B626" s="174" t="s">
        <v>239</v>
      </c>
      <c r="C626" s="189">
        <v>2023.0</v>
      </c>
      <c r="D626" s="175" t="s">
        <v>2553</v>
      </c>
      <c r="E626" s="174" t="s">
        <v>2818</v>
      </c>
      <c r="F626" s="190">
        <v>1878734.89</v>
      </c>
      <c r="G626" s="191">
        <f>IFERROR(__xludf.DUMMYFUNCTION("F626 * GOOGLEFINANCE(""CURRENCY:MXNUSD"")"),110491.216983235)</f>
        <v>110491.217</v>
      </c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22.5" customHeight="1">
      <c r="A627" s="174" t="s">
        <v>3997</v>
      </c>
      <c r="B627" s="174" t="s">
        <v>239</v>
      </c>
      <c r="C627" s="189">
        <v>2023.0</v>
      </c>
      <c r="D627" s="175" t="s">
        <v>2573</v>
      </c>
      <c r="E627" s="174" t="s">
        <v>2818</v>
      </c>
      <c r="F627" s="190">
        <v>1878734.89</v>
      </c>
      <c r="G627" s="191">
        <f>IFERROR(__xludf.DUMMYFUNCTION("F627 * GOOGLEFINANCE(""CURRENCY:MXNUSD"")"),110491.216983235)</f>
        <v>110491.217</v>
      </c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22.5" customHeight="1">
      <c r="A628" s="174" t="s">
        <v>3998</v>
      </c>
      <c r="B628" s="174" t="s">
        <v>239</v>
      </c>
      <c r="C628" s="189">
        <v>2023.0</v>
      </c>
      <c r="D628" s="175" t="s">
        <v>2593</v>
      </c>
      <c r="E628" s="174" t="s">
        <v>2818</v>
      </c>
      <c r="F628" s="190">
        <v>1878734.89</v>
      </c>
      <c r="G628" s="191">
        <f>IFERROR(__xludf.DUMMYFUNCTION("F628 * GOOGLEFINANCE(""CURRENCY:MXNUSD"")"),110491.216983235)</f>
        <v>110491.217</v>
      </c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22.5" customHeight="1">
      <c r="A629" s="174" t="s">
        <v>3999</v>
      </c>
      <c r="B629" s="174" t="s">
        <v>239</v>
      </c>
      <c r="C629" s="189">
        <v>2023.0</v>
      </c>
      <c r="D629" s="175" t="s">
        <v>2616</v>
      </c>
      <c r="E629" s="174" t="s">
        <v>2818</v>
      </c>
      <c r="F629" s="190">
        <v>1878734.89</v>
      </c>
      <c r="G629" s="191">
        <f>IFERROR(__xludf.DUMMYFUNCTION("F629 * GOOGLEFINANCE(""CURRENCY:MXNUSD"")"),110491.216983235)</f>
        <v>110491.217</v>
      </c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22.5" customHeight="1">
      <c r="A630" s="174" t="s">
        <v>4000</v>
      </c>
      <c r="B630" s="174" t="s">
        <v>239</v>
      </c>
      <c r="C630" s="189">
        <v>2023.0</v>
      </c>
      <c r="D630" s="175" t="s">
        <v>2742</v>
      </c>
      <c r="E630" s="174" t="s">
        <v>2818</v>
      </c>
      <c r="F630" s="190">
        <v>1878734.89</v>
      </c>
      <c r="G630" s="191">
        <f>IFERROR(__xludf.DUMMYFUNCTION("F630 * GOOGLEFINANCE(""CURRENCY:MXNUSD"")"),110491.216983235)</f>
        <v>110491.217</v>
      </c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22.5" customHeight="1">
      <c r="A631" s="174" t="s">
        <v>4001</v>
      </c>
      <c r="B631" s="174" t="s">
        <v>239</v>
      </c>
      <c r="C631" s="189">
        <v>2023.0</v>
      </c>
      <c r="D631" s="175" t="s">
        <v>2496</v>
      </c>
      <c r="E631" s="174" t="s">
        <v>2818</v>
      </c>
      <c r="F631" s="190">
        <v>1878734.89</v>
      </c>
      <c r="G631" s="191">
        <f>IFERROR(__xludf.DUMMYFUNCTION("F631 * GOOGLEFINANCE(""CURRENCY:MXNUSD"")"),110491.216983235)</f>
        <v>110491.217</v>
      </c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22.5" customHeight="1">
      <c r="A632" s="174" t="s">
        <v>4002</v>
      </c>
      <c r="B632" s="174" t="s">
        <v>239</v>
      </c>
      <c r="C632" s="189">
        <v>2024.0</v>
      </c>
      <c r="D632" s="175" t="s">
        <v>2495</v>
      </c>
      <c r="E632" s="174" t="s">
        <v>2818</v>
      </c>
      <c r="F632" s="190">
        <v>1959895.65</v>
      </c>
      <c r="G632" s="191">
        <f>IFERROR(__xludf.DUMMYFUNCTION("F632 * GOOGLEFINANCE(""CURRENCY:MXNUSD"")"),115264.403019975)</f>
        <v>115264.403</v>
      </c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22.5" customHeight="1">
      <c r="A633" s="174" t="s">
        <v>4003</v>
      </c>
      <c r="B633" s="174" t="s">
        <v>239</v>
      </c>
      <c r="C633" s="189">
        <v>2024.0</v>
      </c>
      <c r="D633" s="175" t="s">
        <v>2834</v>
      </c>
      <c r="E633" s="174" t="s">
        <v>2818</v>
      </c>
      <c r="F633" s="190">
        <v>1959895.65</v>
      </c>
      <c r="G633" s="191">
        <f>IFERROR(__xludf.DUMMYFUNCTION("F633 * GOOGLEFINANCE(""CURRENCY:MXNUSD"")"),115264.403019975)</f>
        <v>115264.403</v>
      </c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22.5" customHeight="1">
      <c r="A634" s="174" t="s">
        <v>4004</v>
      </c>
      <c r="B634" s="174" t="s">
        <v>239</v>
      </c>
      <c r="C634" s="189">
        <v>2024.0</v>
      </c>
      <c r="D634" s="175" t="s">
        <v>2585</v>
      </c>
      <c r="E634" s="174" t="s">
        <v>2818</v>
      </c>
      <c r="F634" s="190">
        <v>1959895.65</v>
      </c>
      <c r="G634" s="191">
        <f>IFERROR(__xludf.DUMMYFUNCTION("F634 * GOOGLEFINANCE(""CURRENCY:MXNUSD"")"),115264.403019975)</f>
        <v>115264.403</v>
      </c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22.5" customHeight="1">
      <c r="A635" s="174" t="s">
        <v>4005</v>
      </c>
      <c r="B635" s="174" t="s">
        <v>239</v>
      </c>
      <c r="C635" s="189">
        <v>2024.0</v>
      </c>
      <c r="D635" s="175" t="s">
        <v>2594</v>
      </c>
      <c r="E635" s="174" t="s">
        <v>2818</v>
      </c>
      <c r="F635" s="190">
        <v>1959895.65</v>
      </c>
      <c r="G635" s="191">
        <f>IFERROR(__xludf.DUMMYFUNCTION("F635 * GOOGLEFINANCE(""CURRENCY:MXNUSD"")"),115264.403019975)</f>
        <v>115264.403</v>
      </c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22.5" customHeight="1">
      <c r="A636" s="174" t="s">
        <v>4006</v>
      </c>
      <c r="B636" s="174" t="s">
        <v>239</v>
      </c>
      <c r="C636" s="189">
        <v>2024.0</v>
      </c>
      <c r="D636" s="175" t="s">
        <v>2739</v>
      </c>
      <c r="E636" s="174" t="s">
        <v>2818</v>
      </c>
      <c r="F636" s="190">
        <v>1959895.65</v>
      </c>
      <c r="G636" s="191">
        <f>IFERROR(__xludf.DUMMYFUNCTION("F636 * GOOGLEFINANCE(""CURRENCY:MXNUSD"")"),115264.403019975)</f>
        <v>115264.403</v>
      </c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22.5" customHeight="1">
      <c r="A637" s="174" t="s">
        <v>4007</v>
      </c>
      <c r="B637" s="174" t="s">
        <v>239</v>
      </c>
      <c r="C637" s="189">
        <v>2024.0</v>
      </c>
      <c r="D637" s="175" t="s">
        <v>2541</v>
      </c>
      <c r="E637" s="174" t="s">
        <v>2818</v>
      </c>
      <c r="F637" s="190">
        <v>1959895.65</v>
      </c>
      <c r="G637" s="191">
        <f>IFERROR(__xludf.DUMMYFUNCTION("F637 * GOOGLEFINANCE(""CURRENCY:MXNUSD"")"),115264.403019975)</f>
        <v>115264.403</v>
      </c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22.5" customHeight="1">
      <c r="A638" s="174" t="s">
        <v>4008</v>
      </c>
      <c r="B638" s="174" t="s">
        <v>239</v>
      </c>
      <c r="C638" s="189">
        <v>2024.0</v>
      </c>
      <c r="D638" s="175" t="s">
        <v>2553</v>
      </c>
      <c r="E638" s="174" t="s">
        <v>2818</v>
      </c>
      <c r="F638" s="190">
        <v>1959895.65</v>
      </c>
      <c r="G638" s="191">
        <f>IFERROR(__xludf.DUMMYFUNCTION("F638 * GOOGLEFINANCE(""CURRENCY:MXNUSD"")"),115264.403019975)</f>
        <v>115264.403</v>
      </c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22.5" customHeight="1">
      <c r="A639" s="174" t="s">
        <v>4009</v>
      </c>
      <c r="B639" s="174" t="s">
        <v>239</v>
      </c>
      <c r="C639" s="189">
        <v>2024.0</v>
      </c>
      <c r="D639" s="175" t="s">
        <v>2573</v>
      </c>
      <c r="E639" s="174" t="s">
        <v>2818</v>
      </c>
      <c r="F639" s="190">
        <v>1959895.65</v>
      </c>
      <c r="G639" s="191">
        <f>IFERROR(__xludf.DUMMYFUNCTION("F639 * GOOGLEFINANCE(""CURRENCY:MXNUSD"")"),115264.403019975)</f>
        <v>115264.403</v>
      </c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22.5" customHeight="1">
      <c r="A640" s="174" t="s">
        <v>4010</v>
      </c>
      <c r="B640" s="174" t="s">
        <v>239</v>
      </c>
      <c r="C640" s="189">
        <v>2024.0</v>
      </c>
      <c r="D640" s="175" t="s">
        <v>2593</v>
      </c>
      <c r="E640" s="174" t="s">
        <v>2818</v>
      </c>
      <c r="F640" s="190">
        <v>1959895.65</v>
      </c>
      <c r="G640" s="191">
        <f>IFERROR(__xludf.DUMMYFUNCTION("F640 * GOOGLEFINANCE(""CURRENCY:MXNUSD"")"),115264.403019975)</f>
        <v>115264.403</v>
      </c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22.5" customHeight="1">
      <c r="A641" s="174" t="s">
        <v>4011</v>
      </c>
      <c r="B641" s="174" t="s">
        <v>239</v>
      </c>
      <c r="C641" s="189">
        <v>2024.0</v>
      </c>
      <c r="D641" s="175" t="s">
        <v>2616</v>
      </c>
      <c r="E641" s="174" t="s">
        <v>2818</v>
      </c>
      <c r="F641" s="190">
        <v>1959895.65</v>
      </c>
      <c r="G641" s="191">
        <f>IFERROR(__xludf.DUMMYFUNCTION("F641 * GOOGLEFINANCE(""CURRENCY:MXNUSD"")"),115264.403019975)</f>
        <v>115264.403</v>
      </c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22.5" customHeight="1">
      <c r="A642" s="174" t="s">
        <v>4012</v>
      </c>
      <c r="B642" s="174" t="s">
        <v>239</v>
      </c>
      <c r="C642" s="189">
        <v>2024.0</v>
      </c>
      <c r="D642" s="175" t="s">
        <v>2742</v>
      </c>
      <c r="E642" s="174" t="s">
        <v>2818</v>
      </c>
      <c r="F642" s="190">
        <v>1959895.65</v>
      </c>
      <c r="G642" s="191">
        <f>IFERROR(__xludf.DUMMYFUNCTION("F642 * GOOGLEFINANCE(""CURRENCY:MXNUSD"")"),115264.403019975)</f>
        <v>115264.403</v>
      </c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22.5" customHeight="1">
      <c r="A643" s="174" t="s">
        <v>4013</v>
      </c>
      <c r="B643" s="174" t="s">
        <v>245</v>
      </c>
      <c r="C643" s="189">
        <v>2017.0</v>
      </c>
      <c r="D643" s="175" t="s">
        <v>2593</v>
      </c>
      <c r="E643" s="174" t="s">
        <v>2818</v>
      </c>
      <c r="F643" s="190">
        <v>133236.96</v>
      </c>
      <c r="G643" s="191">
        <f>IFERROR(__xludf.DUMMYFUNCTION("F643 * GOOGLEFINANCE(""CURRENCY:MXNUSD"")"),7835.86547304)</f>
        <v>7835.865473</v>
      </c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22.5" customHeight="1">
      <c r="A644" s="174" t="s">
        <v>4014</v>
      </c>
      <c r="B644" s="174" t="s">
        <v>245</v>
      </c>
      <c r="C644" s="189">
        <v>2017.0</v>
      </c>
      <c r="D644" s="175" t="s">
        <v>2616</v>
      </c>
      <c r="E644" s="174" t="s">
        <v>2818</v>
      </c>
      <c r="F644" s="190">
        <v>666184.82</v>
      </c>
      <c r="G644" s="191">
        <f>IFERROR(__xludf.DUMMYFUNCTION("F644 * GOOGLEFINANCE(""CURRENCY:MXNUSD"")"),39179.32854143)</f>
        <v>39179.32854</v>
      </c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22.5" customHeight="1">
      <c r="A645" s="174" t="s">
        <v>4015</v>
      </c>
      <c r="B645" s="174" t="s">
        <v>245</v>
      </c>
      <c r="C645" s="189">
        <v>2017.0</v>
      </c>
      <c r="D645" s="175" t="s">
        <v>2742</v>
      </c>
      <c r="E645" s="174" t="s">
        <v>2818</v>
      </c>
      <c r="F645" s="190">
        <v>666614.82</v>
      </c>
      <c r="G645" s="191">
        <f>IFERROR(__xludf.DUMMYFUNCTION("F645 * GOOGLEFINANCE(""CURRENCY:MXNUSD"")"),39204.61748643)</f>
        <v>39204.61749</v>
      </c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22.5" customHeight="1">
      <c r="A646" s="174" t="s">
        <v>4016</v>
      </c>
      <c r="B646" s="174" t="s">
        <v>245</v>
      </c>
      <c r="C646" s="189">
        <v>2017.0</v>
      </c>
      <c r="D646" s="175" t="s">
        <v>2496</v>
      </c>
      <c r="E646" s="174" t="s">
        <v>2818</v>
      </c>
      <c r="F646" s="190">
        <v>666184.82</v>
      </c>
      <c r="G646" s="191">
        <f>IFERROR(__xludf.DUMMYFUNCTION("F646 * GOOGLEFINANCE(""CURRENCY:MXNUSD"")"),39179.32854143)</f>
        <v>39179.32854</v>
      </c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22.5" customHeight="1">
      <c r="A647" s="174" t="s">
        <v>4017</v>
      </c>
      <c r="B647" s="174" t="s">
        <v>245</v>
      </c>
      <c r="C647" s="189">
        <v>2018.0</v>
      </c>
      <c r="D647" s="175" t="s">
        <v>2495</v>
      </c>
      <c r="E647" s="174" t="s">
        <v>2818</v>
      </c>
      <c r="F647" s="190">
        <v>710351.7</v>
      </c>
      <c r="G647" s="191">
        <f>IFERROR(__xludf.DUMMYFUNCTION("F647 * GOOGLEFINANCE(""CURRENCY:MXNUSD"")"),41776.84900455)</f>
        <v>41776.849</v>
      </c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22.5" customHeight="1">
      <c r="A648" s="174" t="s">
        <v>4018</v>
      </c>
      <c r="B648" s="174" t="s">
        <v>245</v>
      </c>
      <c r="C648" s="189">
        <v>2018.0</v>
      </c>
      <c r="D648" s="175" t="s">
        <v>2834</v>
      </c>
      <c r="E648" s="174" t="s">
        <v>2818</v>
      </c>
      <c r="F648" s="190">
        <v>710351.7</v>
      </c>
      <c r="G648" s="191">
        <f>IFERROR(__xludf.DUMMYFUNCTION("F648 * GOOGLEFINANCE(""CURRENCY:MXNUSD"")"),41776.84900455)</f>
        <v>41776.849</v>
      </c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22.5" customHeight="1">
      <c r="A649" s="174" t="s">
        <v>4019</v>
      </c>
      <c r="B649" s="174" t="s">
        <v>245</v>
      </c>
      <c r="C649" s="189">
        <v>2018.0</v>
      </c>
      <c r="D649" s="175" t="s">
        <v>2585</v>
      </c>
      <c r="E649" s="174" t="s">
        <v>2818</v>
      </c>
      <c r="F649" s="190">
        <v>710351.7</v>
      </c>
      <c r="G649" s="191">
        <f>IFERROR(__xludf.DUMMYFUNCTION("F649 * GOOGLEFINANCE(""CURRENCY:MXNUSD"")"),41776.84900455)</f>
        <v>41776.849</v>
      </c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22.5" customHeight="1">
      <c r="A650" s="174" t="s">
        <v>4020</v>
      </c>
      <c r="B650" s="174" t="s">
        <v>245</v>
      </c>
      <c r="C650" s="189">
        <v>2018.0</v>
      </c>
      <c r="D650" s="175" t="s">
        <v>2594</v>
      </c>
      <c r="E650" s="174" t="s">
        <v>2818</v>
      </c>
      <c r="F650" s="190">
        <v>710351.7</v>
      </c>
      <c r="G650" s="191">
        <f>IFERROR(__xludf.DUMMYFUNCTION("F650 * GOOGLEFINANCE(""CURRENCY:MXNUSD"")"),41776.84900455)</f>
        <v>41776.849</v>
      </c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22.5" customHeight="1">
      <c r="A651" s="174" t="s">
        <v>4021</v>
      </c>
      <c r="B651" s="174" t="s">
        <v>245</v>
      </c>
      <c r="C651" s="189">
        <v>2018.0</v>
      </c>
      <c r="D651" s="175" t="s">
        <v>2739</v>
      </c>
      <c r="E651" s="174" t="s">
        <v>2818</v>
      </c>
      <c r="F651" s="190">
        <v>710351.7</v>
      </c>
      <c r="G651" s="191">
        <f>IFERROR(__xludf.DUMMYFUNCTION("F651 * GOOGLEFINANCE(""CURRENCY:MXNUSD"")"),41776.84900455)</f>
        <v>41776.849</v>
      </c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22.5" customHeight="1">
      <c r="A652" s="174" t="s">
        <v>4022</v>
      </c>
      <c r="B652" s="174" t="s">
        <v>245</v>
      </c>
      <c r="C652" s="189">
        <v>2018.0</v>
      </c>
      <c r="D652" s="175" t="s">
        <v>2541</v>
      </c>
      <c r="E652" s="174" t="s">
        <v>2818</v>
      </c>
      <c r="F652" s="190">
        <v>710351.7</v>
      </c>
      <c r="G652" s="191">
        <f>IFERROR(__xludf.DUMMYFUNCTION("F652 * GOOGLEFINANCE(""CURRENCY:MXNUSD"")"),41776.84900455)</f>
        <v>41776.849</v>
      </c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22.5" customHeight="1">
      <c r="A653" s="174" t="s">
        <v>4023</v>
      </c>
      <c r="B653" s="174" t="s">
        <v>245</v>
      </c>
      <c r="C653" s="189">
        <v>2018.0</v>
      </c>
      <c r="D653" s="175" t="s">
        <v>2553</v>
      </c>
      <c r="E653" s="174" t="s">
        <v>2818</v>
      </c>
      <c r="F653" s="190">
        <v>710351.7</v>
      </c>
      <c r="G653" s="191">
        <f>IFERROR(__xludf.DUMMYFUNCTION("F653 * GOOGLEFINANCE(""CURRENCY:MXNUSD"")"),41776.84900455)</f>
        <v>41776.849</v>
      </c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22.5" customHeight="1">
      <c r="A654" s="174" t="s">
        <v>4024</v>
      </c>
      <c r="B654" s="174" t="s">
        <v>245</v>
      </c>
      <c r="C654" s="189">
        <v>2018.0</v>
      </c>
      <c r="D654" s="175" t="s">
        <v>2573</v>
      </c>
      <c r="E654" s="174" t="s">
        <v>2818</v>
      </c>
      <c r="F654" s="190">
        <v>710351.7</v>
      </c>
      <c r="G654" s="191">
        <f>IFERROR(__xludf.DUMMYFUNCTION("F654 * GOOGLEFINANCE(""CURRENCY:MXNUSD"")"),41776.84900455)</f>
        <v>41776.849</v>
      </c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22.5" customHeight="1">
      <c r="A655" s="174" t="s">
        <v>4025</v>
      </c>
      <c r="B655" s="174" t="s">
        <v>245</v>
      </c>
      <c r="C655" s="189">
        <v>2018.0</v>
      </c>
      <c r="D655" s="175" t="s">
        <v>2593</v>
      </c>
      <c r="E655" s="174" t="s">
        <v>2818</v>
      </c>
      <c r="F655" s="190">
        <v>710351.7</v>
      </c>
      <c r="G655" s="191">
        <f>IFERROR(__xludf.DUMMYFUNCTION("F655 * GOOGLEFINANCE(""CURRENCY:MXNUSD"")"),41776.84900455)</f>
        <v>41776.849</v>
      </c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22.5" customHeight="1">
      <c r="A656" s="174" t="s">
        <v>4026</v>
      </c>
      <c r="B656" s="174" t="s">
        <v>245</v>
      </c>
      <c r="C656" s="189">
        <v>2018.0</v>
      </c>
      <c r="D656" s="175" t="s">
        <v>2616</v>
      </c>
      <c r="E656" s="174" t="s">
        <v>2818</v>
      </c>
      <c r="F656" s="190">
        <v>710351.7</v>
      </c>
      <c r="G656" s="191">
        <f>IFERROR(__xludf.DUMMYFUNCTION("F656 * GOOGLEFINANCE(""CURRENCY:MXNUSD"")"),41776.84900455)</f>
        <v>41776.849</v>
      </c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22.5" customHeight="1">
      <c r="A657" s="174" t="s">
        <v>4027</v>
      </c>
      <c r="B657" s="174" t="s">
        <v>245</v>
      </c>
      <c r="C657" s="189">
        <v>2018.0</v>
      </c>
      <c r="D657" s="175" t="s">
        <v>2742</v>
      </c>
      <c r="E657" s="174" t="s">
        <v>2818</v>
      </c>
      <c r="F657" s="190">
        <v>710351.7</v>
      </c>
      <c r="G657" s="191">
        <f>IFERROR(__xludf.DUMMYFUNCTION("F657 * GOOGLEFINANCE(""CURRENCY:MXNUSD"")"),41776.84900455)</f>
        <v>41776.849</v>
      </c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22.5" customHeight="1">
      <c r="A658" s="174" t="s">
        <v>4028</v>
      </c>
      <c r="B658" s="174" t="s">
        <v>245</v>
      </c>
      <c r="C658" s="189">
        <v>2018.0</v>
      </c>
      <c r="D658" s="175" t="s">
        <v>2496</v>
      </c>
      <c r="E658" s="174" t="s">
        <v>2818</v>
      </c>
      <c r="F658" s="190">
        <v>710351.7</v>
      </c>
      <c r="G658" s="191">
        <f>IFERROR(__xludf.DUMMYFUNCTION("F658 * GOOGLEFINANCE(""CURRENCY:MXNUSD"")"),41776.84900455)</f>
        <v>41776.849</v>
      </c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22.5" customHeight="1">
      <c r="A659" s="174" t="s">
        <v>4029</v>
      </c>
      <c r="B659" s="174" t="s">
        <v>245</v>
      </c>
      <c r="C659" s="189">
        <v>2019.0</v>
      </c>
      <c r="D659" s="175" t="s">
        <v>2495</v>
      </c>
      <c r="E659" s="174" t="s">
        <v>2818</v>
      </c>
      <c r="F659" s="190">
        <v>743880.13</v>
      </c>
      <c r="G659" s="191">
        <f>IFERROR(__xludf.DUMMYFUNCTION("F659 * GOOGLEFINANCE(""CURRENCY:MXNUSD"")"),43748.706265495)</f>
        <v>43748.70627</v>
      </c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22.5" customHeight="1">
      <c r="A660" s="174" t="s">
        <v>4030</v>
      </c>
      <c r="B660" s="174" t="s">
        <v>245</v>
      </c>
      <c r="C660" s="189">
        <v>2019.0</v>
      </c>
      <c r="D660" s="175" t="s">
        <v>2834</v>
      </c>
      <c r="E660" s="174" t="s">
        <v>2818</v>
      </c>
      <c r="F660" s="190">
        <v>743880.13</v>
      </c>
      <c r="G660" s="191">
        <f>IFERROR(__xludf.DUMMYFUNCTION("F660 * GOOGLEFINANCE(""CURRENCY:MXNUSD"")"),43748.706265495)</f>
        <v>43748.70627</v>
      </c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22.5" customHeight="1">
      <c r="A661" s="174" t="s">
        <v>4031</v>
      </c>
      <c r="B661" s="174" t="s">
        <v>245</v>
      </c>
      <c r="C661" s="189">
        <v>2019.0</v>
      </c>
      <c r="D661" s="175" t="s">
        <v>2585</v>
      </c>
      <c r="E661" s="174" t="s">
        <v>2818</v>
      </c>
      <c r="F661" s="190">
        <v>743880.13</v>
      </c>
      <c r="G661" s="191">
        <f>IFERROR(__xludf.DUMMYFUNCTION("F661 * GOOGLEFINANCE(""CURRENCY:MXNUSD"")"),43748.706265495)</f>
        <v>43748.70627</v>
      </c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22.5" customHeight="1">
      <c r="A662" s="174" t="s">
        <v>4032</v>
      </c>
      <c r="B662" s="174" t="s">
        <v>245</v>
      </c>
      <c r="C662" s="189">
        <v>2019.0</v>
      </c>
      <c r="D662" s="175" t="s">
        <v>2594</v>
      </c>
      <c r="E662" s="174" t="s">
        <v>2818</v>
      </c>
      <c r="F662" s="190">
        <v>743880.13</v>
      </c>
      <c r="G662" s="191">
        <f>IFERROR(__xludf.DUMMYFUNCTION("F662 * GOOGLEFINANCE(""CURRENCY:MXNUSD"")"),43748.706265495)</f>
        <v>43748.70627</v>
      </c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22.5" customHeight="1">
      <c r="A663" s="174" t="s">
        <v>4033</v>
      </c>
      <c r="B663" s="174" t="s">
        <v>245</v>
      </c>
      <c r="C663" s="189">
        <v>2019.0</v>
      </c>
      <c r="D663" s="175" t="s">
        <v>2739</v>
      </c>
      <c r="E663" s="174" t="s">
        <v>2818</v>
      </c>
      <c r="F663" s="190">
        <v>743880.13</v>
      </c>
      <c r="G663" s="191">
        <f>IFERROR(__xludf.DUMMYFUNCTION("F663 * GOOGLEFINANCE(""CURRENCY:MXNUSD"")"),43748.706265495)</f>
        <v>43748.70627</v>
      </c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22.5" customHeight="1">
      <c r="A664" s="174" t="s">
        <v>4034</v>
      </c>
      <c r="B664" s="174" t="s">
        <v>245</v>
      </c>
      <c r="C664" s="189">
        <v>2019.0</v>
      </c>
      <c r="D664" s="175" t="s">
        <v>2541</v>
      </c>
      <c r="E664" s="174" t="s">
        <v>2818</v>
      </c>
      <c r="F664" s="190">
        <v>743880.13</v>
      </c>
      <c r="G664" s="191">
        <f>IFERROR(__xludf.DUMMYFUNCTION("F664 * GOOGLEFINANCE(""CURRENCY:MXNUSD"")"),43748.706265495)</f>
        <v>43748.70627</v>
      </c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22.5" customHeight="1">
      <c r="A665" s="174" t="s">
        <v>4035</v>
      </c>
      <c r="B665" s="174" t="s">
        <v>245</v>
      </c>
      <c r="C665" s="189">
        <v>2019.0</v>
      </c>
      <c r="D665" s="175" t="s">
        <v>2553</v>
      </c>
      <c r="E665" s="174" t="s">
        <v>2818</v>
      </c>
      <c r="F665" s="190">
        <v>743880.13</v>
      </c>
      <c r="G665" s="191">
        <f>IFERROR(__xludf.DUMMYFUNCTION("F665 * GOOGLEFINANCE(""CURRENCY:MXNUSD"")"),43748.706265495)</f>
        <v>43748.70627</v>
      </c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22.5" customHeight="1">
      <c r="A666" s="174" t="s">
        <v>4036</v>
      </c>
      <c r="B666" s="174" t="s">
        <v>245</v>
      </c>
      <c r="C666" s="189">
        <v>2019.0</v>
      </c>
      <c r="D666" s="175" t="s">
        <v>2573</v>
      </c>
      <c r="E666" s="174" t="s">
        <v>2818</v>
      </c>
      <c r="F666" s="190">
        <v>743880.13</v>
      </c>
      <c r="G666" s="191">
        <f>IFERROR(__xludf.DUMMYFUNCTION("F666 * GOOGLEFINANCE(""CURRENCY:MXNUSD"")"),43748.706265495)</f>
        <v>43748.70627</v>
      </c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22.5" customHeight="1">
      <c r="A667" s="174" t="s">
        <v>4037</v>
      </c>
      <c r="B667" s="174" t="s">
        <v>245</v>
      </c>
      <c r="C667" s="189">
        <v>2019.0</v>
      </c>
      <c r="D667" s="175" t="s">
        <v>2593</v>
      </c>
      <c r="E667" s="174" t="s">
        <v>2818</v>
      </c>
      <c r="F667" s="190">
        <v>743880.13</v>
      </c>
      <c r="G667" s="191">
        <f>IFERROR(__xludf.DUMMYFUNCTION("F667 * GOOGLEFINANCE(""CURRENCY:MXNUSD"")"),43748.706265495)</f>
        <v>43748.70627</v>
      </c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22.5" customHeight="1">
      <c r="A668" s="174" t="s">
        <v>4038</v>
      </c>
      <c r="B668" s="174" t="s">
        <v>245</v>
      </c>
      <c r="C668" s="189">
        <v>2019.0</v>
      </c>
      <c r="D668" s="175" t="s">
        <v>2616</v>
      </c>
      <c r="E668" s="174" t="s">
        <v>2818</v>
      </c>
      <c r="F668" s="190">
        <v>743880.13</v>
      </c>
      <c r="G668" s="191">
        <f>IFERROR(__xludf.DUMMYFUNCTION("F668 * GOOGLEFINANCE(""CURRENCY:MXNUSD"")"),43748.706265495)</f>
        <v>43748.70627</v>
      </c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22.5" customHeight="1">
      <c r="A669" s="174" t="s">
        <v>4039</v>
      </c>
      <c r="B669" s="174" t="s">
        <v>245</v>
      </c>
      <c r="C669" s="189">
        <v>2019.0</v>
      </c>
      <c r="D669" s="175" t="s">
        <v>2742</v>
      </c>
      <c r="E669" s="174" t="s">
        <v>2818</v>
      </c>
      <c r="F669" s="190">
        <v>743880.13</v>
      </c>
      <c r="G669" s="191">
        <f>IFERROR(__xludf.DUMMYFUNCTION("F669 * GOOGLEFINANCE(""CURRENCY:MXNUSD"")"),43748.706265495)</f>
        <v>43748.70627</v>
      </c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22.5" customHeight="1">
      <c r="A670" s="174" t="s">
        <v>4040</v>
      </c>
      <c r="B670" s="174" t="s">
        <v>245</v>
      </c>
      <c r="C670" s="189">
        <v>2019.0</v>
      </c>
      <c r="D670" s="175" t="s">
        <v>2496</v>
      </c>
      <c r="E670" s="174" t="s">
        <v>2818</v>
      </c>
      <c r="F670" s="190">
        <v>743880.13</v>
      </c>
      <c r="G670" s="191">
        <f>IFERROR(__xludf.DUMMYFUNCTION("F670 * GOOGLEFINANCE(""CURRENCY:MXNUSD"")"),43748.706265495)</f>
        <v>43748.70627</v>
      </c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22.5" customHeight="1">
      <c r="A671" s="174" t="s">
        <v>4041</v>
      </c>
      <c r="B671" s="174" t="s">
        <v>245</v>
      </c>
      <c r="C671" s="189">
        <v>2020.0</v>
      </c>
      <c r="D671" s="175" t="s">
        <v>2495</v>
      </c>
      <c r="E671" s="174" t="s">
        <v>2818</v>
      </c>
      <c r="F671" s="190">
        <v>765974.55</v>
      </c>
      <c r="G671" s="191">
        <f>IFERROR(__xludf.DUMMYFUNCTION("F671 * GOOGLEFINANCE(""CURRENCY:MXNUSD"")"),45048.11224732501)</f>
        <v>45048.11225</v>
      </c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22.5" customHeight="1">
      <c r="A672" s="174" t="s">
        <v>4042</v>
      </c>
      <c r="B672" s="174" t="s">
        <v>245</v>
      </c>
      <c r="C672" s="189">
        <v>2020.0</v>
      </c>
      <c r="D672" s="175" t="s">
        <v>2834</v>
      </c>
      <c r="E672" s="174" t="s">
        <v>2818</v>
      </c>
      <c r="F672" s="190">
        <v>765974.55</v>
      </c>
      <c r="G672" s="191">
        <f>IFERROR(__xludf.DUMMYFUNCTION("F672 * GOOGLEFINANCE(""CURRENCY:MXNUSD"")"),45048.11224732501)</f>
        <v>45048.11225</v>
      </c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22.5" customHeight="1">
      <c r="A673" s="174" t="s">
        <v>4043</v>
      </c>
      <c r="B673" s="174" t="s">
        <v>245</v>
      </c>
      <c r="C673" s="189">
        <v>2020.0</v>
      </c>
      <c r="D673" s="175" t="s">
        <v>2585</v>
      </c>
      <c r="E673" s="174" t="s">
        <v>2818</v>
      </c>
      <c r="F673" s="190">
        <v>765974.55</v>
      </c>
      <c r="G673" s="191">
        <f>IFERROR(__xludf.DUMMYFUNCTION("F673 * GOOGLEFINANCE(""CURRENCY:MXNUSD"")"),45048.11224732501)</f>
        <v>45048.11225</v>
      </c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22.5" customHeight="1">
      <c r="A674" s="174" t="s">
        <v>4044</v>
      </c>
      <c r="B674" s="174" t="s">
        <v>245</v>
      </c>
      <c r="C674" s="189">
        <v>2020.0</v>
      </c>
      <c r="D674" s="175" t="s">
        <v>2594</v>
      </c>
      <c r="E674" s="174" t="s">
        <v>2818</v>
      </c>
      <c r="F674" s="190">
        <v>765974.55</v>
      </c>
      <c r="G674" s="191">
        <f>IFERROR(__xludf.DUMMYFUNCTION("F674 * GOOGLEFINANCE(""CURRENCY:MXNUSD"")"),45048.11224732501)</f>
        <v>45048.11225</v>
      </c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22.5" customHeight="1">
      <c r="A675" s="174" t="s">
        <v>4045</v>
      </c>
      <c r="B675" s="174" t="s">
        <v>245</v>
      </c>
      <c r="C675" s="189">
        <v>2020.0</v>
      </c>
      <c r="D675" s="175" t="s">
        <v>2739</v>
      </c>
      <c r="E675" s="174" t="s">
        <v>2818</v>
      </c>
      <c r="F675" s="190">
        <v>765974.55</v>
      </c>
      <c r="G675" s="191">
        <f>IFERROR(__xludf.DUMMYFUNCTION("F675 * GOOGLEFINANCE(""CURRENCY:MXNUSD"")"),45048.11224732501)</f>
        <v>45048.11225</v>
      </c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22.5" customHeight="1">
      <c r="A676" s="174" t="s">
        <v>4046</v>
      </c>
      <c r="B676" s="174" t="s">
        <v>245</v>
      </c>
      <c r="C676" s="189">
        <v>2020.0</v>
      </c>
      <c r="D676" s="175" t="s">
        <v>2541</v>
      </c>
      <c r="E676" s="174" t="s">
        <v>2818</v>
      </c>
      <c r="F676" s="190">
        <v>765974.55</v>
      </c>
      <c r="G676" s="191">
        <f>IFERROR(__xludf.DUMMYFUNCTION("F676 * GOOGLEFINANCE(""CURRENCY:MXNUSD"")"),45048.11224732501)</f>
        <v>45048.11225</v>
      </c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22.5" customHeight="1">
      <c r="A677" s="174" t="s">
        <v>4047</v>
      </c>
      <c r="B677" s="174" t="s">
        <v>245</v>
      </c>
      <c r="C677" s="189">
        <v>2020.0</v>
      </c>
      <c r="D677" s="175" t="s">
        <v>2553</v>
      </c>
      <c r="E677" s="174" t="s">
        <v>2818</v>
      </c>
      <c r="F677" s="190">
        <v>765974.55</v>
      </c>
      <c r="G677" s="191">
        <f>IFERROR(__xludf.DUMMYFUNCTION("F677 * GOOGLEFINANCE(""CURRENCY:MXNUSD"")"),45048.11224732501)</f>
        <v>45048.11225</v>
      </c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22.5" customHeight="1">
      <c r="A678" s="174" t="s">
        <v>4048</v>
      </c>
      <c r="B678" s="174" t="s">
        <v>245</v>
      </c>
      <c r="C678" s="189">
        <v>2020.0</v>
      </c>
      <c r="D678" s="175" t="s">
        <v>2573</v>
      </c>
      <c r="E678" s="174" t="s">
        <v>2818</v>
      </c>
      <c r="F678" s="190">
        <v>765974.55</v>
      </c>
      <c r="G678" s="191">
        <f>IFERROR(__xludf.DUMMYFUNCTION("F678 * GOOGLEFINANCE(""CURRENCY:MXNUSD"")"),45048.11224732501)</f>
        <v>45048.11225</v>
      </c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22.5" customHeight="1">
      <c r="A679" s="174" t="s">
        <v>4049</v>
      </c>
      <c r="B679" s="174" t="s">
        <v>245</v>
      </c>
      <c r="C679" s="189">
        <v>2020.0</v>
      </c>
      <c r="D679" s="175" t="s">
        <v>2593</v>
      </c>
      <c r="E679" s="174" t="s">
        <v>2818</v>
      </c>
      <c r="F679" s="190">
        <v>765974.55</v>
      </c>
      <c r="G679" s="191">
        <f>IFERROR(__xludf.DUMMYFUNCTION("F679 * GOOGLEFINANCE(""CURRENCY:MXNUSD"")"),45048.11224732501)</f>
        <v>45048.11225</v>
      </c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22.5" customHeight="1">
      <c r="A680" s="174" t="s">
        <v>4050</v>
      </c>
      <c r="B680" s="174" t="s">
        <v>245</v>
      </c>
      <c r="C680" s="189">
        <v>2020.0</v>
      </c>
      <c r="D680" s="175" t="s">
        <v>2616</v>
      </c>
      <c r="E680" s="174" t="s">
        <v>2818</v>
      </c>
      <c r="F680" s="190">
        <v>765974.55</v>
      </c>
      <c r="G680" s="191">
        <f>IFERROR(__xludf.DUMMYFUNCTION("F680 * GOOGLEFINANCE(""CURRENCY:MXNUSD"")"),45048.11224732501)</f>
        <v>45048.11225</v>
      </c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22.5" customHeight="1">
      <c r="A681" s="174" t="s">
        <v>4051</v>
      </c>
      <c r="B681" s="174" t="s">
        <v>245</v>
      </c>
      <c r="C681" s="189">
        <v>2020.0</v>
      </c>
      <c r="D681" s="175" t="s">
        <v>2742</v>
      </c>
      <c r="E681" s="174" t="s">
        <v>2818</v>
      </c>
      <c r="F681" s="190">
        <v>765974.55</v>
      </c>
      <c r="G681" s="191">
        <f>IFERROR(__xludf.DUMMYFUNCTION("F681 * GOOGLEFINANCE(""CURRENCY:MXNUSD"")"),45048.11224732501)</f>
        <v>45048.11225</v>
      </c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22.5" customHeight="1">
      <c r="A682" s="174" t="s">
        <v>4052</v>
      </c>
      <c r="B682" s="174" t="s">
        <v>245</v>
      </c>
      <c r="C682" s="189">
        <v>2020.0</v>
      </c>
      <c r="D682" s="175" t="s">
        <v>2496</v>
      </c>
      <c r="E682" s="174" t="s">
        <v>2818</v>
      </c>
      <c r="F682" s="190">
        <v>765974.55</v>
      </c>
      <c r="G682" s="191">
        <f>IFERROR(__xludf.DUMMYFUNCTION("F682 * GOOGLEFINANCE(""CURRENCY:MXNUSD"")"),45048.11224732501)</f>
        <v>45048.11225</v>
      </c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22.5" customHeight="1">
      <c r="A683" s="174" t="s">
        <v>4053</v>
      </c>
      <c r="B683" s="174" t="s">
        <v>245</v>
      </c>
      <c r="C683" s="189">
        <v>2021.0</v>
      </c>
      <c r="D683" s="175" t="s">
        <v>2495</v>
      </c>
      <c r="E683" s="174" t="s">
        <v>2818</v>
      </c>
      <c r="F683" s="190">
        <v>791481.62</v>
      </c>
      <c r="G683" s="191">
        <f>IFERROR(__xludf.DUMMYFUNCTION("F683 * GOOGLEFINANCE(""CURRENCY:MXNUSD"")"),46548.22129463)</f>
        <v>46548.22129</v>
      </c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22.5" customHeight="1">
      <c r="A684" s="174" t="s">
        <v>4054</v>
      </c>
      <c r="B684" s="174" t="s">
        <v>245</v>
      </c>
      <c r="C684" s="189">
        <v>2021.0</v>
      </c>
      <c r="D684" s="175" t="s">
        <v>2834</v>
      </c>
      <c r="E684" s="174" t="s">
        <v>2818</v>
      </c>
      <c r="F684" s="190">
        <v>791481.62</v>
      </c>
      <c r="G684" s="191">
        <f>IFERROR(__xludf.DUMMYFUNCTION("F684 * GOOGLEFINANCE(""CURRENCY:MXNUSD"")"),46548.22129463)</f>
        <v>46548.22129</v>
      </c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22.5" customHeight="1">
      <c r="A685" s="174" t="s">
        <v>4055</v>
      </c>
      <c r="B685" s="174" t="s">
        <v>245</v>
      </c>
      <c r="C685" s="189">
        <v>2021.0</v>
      </c>
      <c r="D685" s="175" t="s">
        <v>2585</v>
      </c>
      <c r="E685" s="174" t="s">
        <v>2818</v>
      </c>
      <c r="F685" s="190">
        <v>791481.62</v>
      </c>
      <c r="G685" s="191">
        <f>IFERROR(__xludf.DUMMYFUNCTION("F685 * GOOGLEFINANCE(""CURRENCY:MXNUSD"")"),46548.22129463)</f>
        <v>46548.22129</v>
      </c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22.5" customHeight="1">
      <c r="A686" s="174" t="s">
        <v>4056</v>
      </c>
      <c r="B686" s="174" t="s">
        <v>245</v>
      </c>
      <c r="C686" s="189">
        <v>2021.0</v>
      </c>
      <c r="D686" s="175" t="s">
        <v>2594</v>
      </c>
      <c r="E686" s="174" t="s">
        <v>2818</v>
      </c>
      <c r="F686" s="190">
        <v>791481.62</v>
      </c>
      <c r="G686" s="191">
        <f>IFERROR(__xludf.DUMMYFUNCTION("F686 * GOOGLEFINANCE(""CURRENCY:MXNUSD"")"),46548.22129463)</f>
        <v>46548.22129</v>
      </c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22.5" customHeight="1">
      <c r="A687" s="174" t="s">
        <v>4057</v>
      </c>
      <c r="B687" s="174" t="s">
        <v>245</v>
      </c>
      <c r="C687" s="189">
        <v>2021.0</v>
      </c>
      <c r="D687" s="175" t="s">
        <v>2739</v>
      </c>
      <c r="E687" s="174" t="s">
        <v>2818</v>
      </c>
      <c r="F687" s="190">
        <v>791481.62</v>
      </c>
      <c r="G687" s="191">
        <f>IFERROR(__xludf.DUMMYFUNCTION("F687 * GOOGLEFINANCE(""CURRENCY:MXNUSD"")"),46548.22129463)</f>
        <v>46548.22129</v>
      </c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22.5" customHeight="1">
      <c r="A688" s="174" t="s">
        <v>4058</v>
      </c>
      <c r="B688" s="174" t="s">
        <v>245</v>
      </c>
      <c r="C688" s="189">
        <v>2021.0</v>
      </c>
      <c r="D688" s="175" t="s">
        <v>2541</v>
      </c>
      <c r="E688" s="174" t="s">
        <v>2818</v>
      </c>
      <c r="F688" s="190">
        <v>791481.62</v>
      </c>
      <c r="G688" s="191">
        <f>IFERROR(__xludf.DUMMYFUNCTION("F688 * GOOGLEFINANCE(""CURRENCY:MXNUSD"")"),46548.22129463)</f>
        <v>46548.22129</v>
      </c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22.5" customHeight="1">
      <c r="A689" s="174" t="s">
        <v>4059</v>
      </c>
      <c r="B689" s="174" t="s">
        <v>245</v>
      </c>
      <c r="C689" s="189">
        <v>2021.0</v>
      </c>
      <c r="D689" s="175" t="s">
        <v>2553</v>
      </c>
      <c r="E689" s="174" t="s">
        <v>2818</v>
      </c>
      <c r="F689" s="190">
        <v>791481.62</v>
      </c>
      <c r="G689" s="191">
        <f>IFERROR(__xludf.DUMMYFUNCTION("F689 * GOOGLEFINANCE(""CURRENCY:MXNUSD"")"),46548.22129463)</f>
        <v>46548.22129</v>
      </c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22.5" customHeight="1">
      <c r="A690" s="174" t="s">
        <v>4060</v>
      </c>
      <c r="B690" s="174" t="s">
        <v>245</v>
      </c>
      <c r="C690" s="189">
        <v>2021.0</v>
      </c>
      <c r="D690" s="175" t="s">
        <v>2573</v>
      </c>
      <c r="E690" s="174" t="s">
        <v>2818</v>
      </c>
      <c r="F690" s="190">
        <v>791481.62</v>
      </c>
      <c r="G690" s="191">
        <f>IFERROR(__xludf.DUMMYFUNCTION("F690 * GOOGLEFINANCE(""CURRENCY:MXNUSD"")"),46548.22129463)</f>
        <v>46548.22129</v>
      </c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22.5" customHeight="1">
      <c r="A691" s="174" t="s">
        <v>4061</v>
      </c>
      <c r="B691" s="174" t="s">
        <v>245</v>
      </c>
      <c r="C691" s="189">
        <v>2021.0</v>
      </c>
      <c r="D691" s="175" t="s">
        <v>2593</v>
      </c>
      <c r="E691" s="174" t="s">
        <v>2818</v>
      </c>
      <c r="F691" s="190">
        <v>791481.62</v>
      </c>
      <c r="G691" s="191">
        <f>IFERROR(__xludf.DUMMYFUNCTION("F691 * GOOGLEFINANCE(""CURRENCY:MXNUSD"")"),46548.22129463)</f>
        <v>46548.22129</v>
      </c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22.5" customHeight="1">
      <c r="A692" s="174" t="s">
        <v>4062</v>
      </c>
      <c r="B692" s="174" t="s">
        <v>245</v>
      </c>
      <c r="C692" s="189">
        <v>2021.0</v>
      </c>
      <c r="D692" s="175" t="s">
        <v>2616</v>
      </c>
      <c r="E692" s="174" t="s">
        <v>2818</v>
      </c>
      <c r="F692" s="190">
        <v>791481.62</v>
      </c>
      <c r="G692" s="191">
        <f>IFERROR(__xludf.DUMMYFUNCTION("F692 * GOOGLEFINANCE(""CURRENCY:MXNUSD"")"),46548.22129463)</f>
        <v>46548.22129</v>
      </c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22.5" customHeight="1">
      <c r="A693" s="174" t="s">
        <v>4063</v>
      </c>
      <c r="B693" s="174" t="s">
        <v>245</v>
      </c>
      <c r="C693" s="189">
        <v>2021.0</v>
      </c>
      <c r="D693" s="175" t="s">
        <v>2742</v>
      </c>
      <c r="E693" s="174" t="s">
        <v>2818</v>
      </c>
      <c r="F693" s="190">
        <v>791481.62</v>
      </c>
      <c r="G693" s="191">
        <f>IFERROR(__xludf.DUMMYFUNCTION("F693 * GOOGLEFINANCE(""CURRENCY:MXNUSD"")"),46548.22129463)</f>
        <v>46548.22129</v>
      </c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22.5" customHeight="1">
      <c r="A694" s="174" t="s">
        <v>4064</v>
      </c>
      <c r="B694" s="174" t="s">
        <v>245</v>
      </c>
      <c r="C694" s="189">
        <v>2021.0</v>
      </c>
      <c r="D694" s="175" t="s">
        <v>2496</v>
      </c>
      <c r="E694" s="174" t="s">
        <v>2818</v>
      </c>
      <c r="F694" s="190">
        <v>791481.62</v>
      </c>
      <c r="G694" s="191">
        <f>IFERROR(__xludf.DUMMYFUNCTION("F694 * GOOGLEFINANCE(""CURRENCY:MXNUSD"")"),46548.22129463)</f>
        <v>46548.22129</v>
      </c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22.5" customHeight="1">
      <c r="A695" s="174" t="s">
        <v>4065</v>
      </c>
      <c r="B695" s="174" t="s">
        <v>245</v>
      </c>
      <c r="C695" s="189">
        <v>2022.0</v>
      </c>
      <c r="D695" s="175" t="s">
        <v>2495</v>
      </c>
      <c r="E695" s="174" t="s">
        <v>2818</v>
      </c>
      <c r="F695" s="190">
        <v>849804.0</v>
      </c>
      <c r="G695" s="191">
        <f>IFERROR(__xludf.DUMMYFUNCTION("F695 * GOOGLEFINANCE(""CURRENCY:MXNUSD"")"),49978.247946)</f>
        <v>49978.24795</v>
      </c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22.5" customHeight="1">
      <c r="A696" s="174" t="s">
        <v>4066</v>
      </c>
      <c r="B696" s="174" t="s">
        <v>245</v>
      </c>
      <c r="C696" s="189">
        <v>2022.0</v>
      </c>
      <c r="D696" s="175" t="s">
        <v>2834</v>
      </c>
      <c r="E696" s="174" t="s">
        <v>2818</v>
      </c>
      <c r="F696" s="190">
        <v>849804.0</v>
      </c>
      <c r="G696" s="191">
        <f>IFERROR(__xludf.DUMMYFUNCTION("F696 * GOOGLEFINANCE(""CURRENCY:MXNUSD"")"),49978.247946)</f>
        <v>49978.24795</v>
      </c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22.5" customHeight="1">
      <c r="A697" s="174" t="s">
        <v>4067</v>
      </c>
      <c r="B697" s="174" t="s">
        <v>245</v>
      </c>
      <c r="C697" s="189">
        <v>2022.0</v>
      </c>
      <c r="D697" s="175" t="s">
        <v>2585</v>
      </c>
      <c r="E697" s="174" t="s">
        <v>2818</v>
      </c>
      <c r="F697" s="190">
        <v>849804.0</v>
      </c>
      <c r="G697" s="191">
        <f>IFERROR(__xludf.DUMMYFUNCTION("F697 * GOOGLEFINANCE(""CURRENCY:MXNUSD"")"),49978.247946)</f>
        <v>49978.24795</v>
      </c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22.5" customHeight="1">
      <c r="A698" s="174" t="s">
        <v>4068</v>
      </c>
      <c r="B698" s="174" t="s">
        <v>245</v>
      </c>
      <c r="C698" s="189">
        <v>2022.0</v>
      </c>
      <c r="D698" s="175" t="s">
        <v>2594</v>
      </c>
      <c r="E698" s="174" t="s">
        <v>2818</v>
      </c>
      <c r="F698" s="190">
        <v>849804.0</v>
      </c>
      <c r="G698" s="191">
        <f>IFERROR(__xludf.DUMMYFUNCTION("F698 * GOOGLEFINANCE(""CURRENCY:MXNUSD"")"),49978.247946)</f>
        <v>49978.24795</v>
      </c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22.5" customHeight="1">
      <c r="A699" s="174" t="s">
        <v>4069</v>
      </c>
      <c r="B699" s="174" t="s">
        <v>245</v>
      </c>
      <c r="C699" s="189">
        <v>2022.0</v>
      </c>
      <c r="D699" s="175" t="s">
        <v>2739</v>
      </c>
      <c r="E699" s="174" t="s">
        <v>2818</v>
      </c>
      <c r="F699" s="190">
        <v>849804.0</v>
      </c>
      <c r="G699" s="191">
        <f>IFERROR(__xludf.DUMMYFUNCTION("F699 * GOOGLEFINANCE(""CURRENCY:MXNUSD"")"),49978.247946)</f>
        <v>49978.24795</v>
      </c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22.5" customHeight="1">
      <c r="A700" s="174" t="s">
        <v>4070</v>
      </c>
      <c r="B700" s="174" t="s">
        <v>245</v>
      </c>
      <c r="C700" s="189">
        <v>2022.0</v>
      </c>
      <c r="D700" s="175" t="s">
        <v>2541</v>
      </c>
      <c r="E700" s="174" t="s">
        <v>2818</v>
      </c>
      <c r="F700" s="190">
        <v>849804.0</v>
      </c>
      <c r="G700" s="191">
        <f>IFERROR(__xludf.DUMMYFUNCTION("F700 * GOOGLEFINANCE(""CURRENCY:MXNUSD"")"),49978.247946)</f>
        <v>49978.24795</v>
      </c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22.5" customHeight="1">
      <c r="A701" s="174" t="s">
        <v>4071</v>
      </c>
      <c r="B701" s="174" t="s">
        <v>245</v>
      </c>
      <c r="C701" s="189">
        <v>2022.0</v>
      </c>
      <c r="D701" s="175" t="s">
        <v>2553</v>
      </c>
      <c r="E701" s="174" t="s">
        <v>2818</v>
      </c>
      <c r="F701" s="190">
        <v>849803.85</v>
      </c>
      <c r="G701" s="191">
        <f>IFERROR(__xludf.DUMMYFUNCTION("F701 * GOOGLEFINANCE(""CURRENCY:MXNUSD"")"),49978.239124275)</f>
        <v>49978.23912</v>
      </c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22.5" customHeight="1">
      <c r="A702" s="174" t="s">
        <v>4072</v>
      </c>
      <c r="B702" s="174" t="s">
        <v>245</v>
      </c>
      <c r="C702" s="189">
        <v>2022.0</v>
      </c>
      <c r="D702" s="175" t="s">
        <v>2573</v>
      </c>
      <c r="E702" s="174" t="s">
        <v>2818</v>
      </c>
      <c r="F702" s="190">
        <v>849803.85</v>
      </c>
      <c r="G702" s="191">
        <f>IFERROR(__xludf.DUMMYFUNCTION("F702 * GOOGLEFINANCE(""CURRENCY:MXNUSD"")"),49978.239124275)</f>
        <v>49978.23912</v>
      </c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22.5" customHeight="1">
      <c r="A703" s="174" t="s">
        <v>4073</v>
      </c>
      <c r="B703" s="174" t="s">
        <v>245</v>
      </c>
      <c r="C703" s="189">
        <v>2022.0</v>
      </c>
      <c r="D703" s="175" t="s">
        <v>2593</v>
      </c>
      <c r="E703" s="174" t="s">
        <v>2818</v>
      </c>
      <c r="F703" s="190">
        <v>2032148.72</v>
      </c>
      <c r="G703" s="191">
        <f>IFERROR(__xludf.DUMMYFUNCTION("F703 * GOOGLEFINANCE(""CURRENCY:MXNUSD"")"),119513.71444628)</f>
        <v>119513.7144</v>
      </c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22.5" customHeight="1">
      <c r="A704" s="174" t="s">
        <v>4074</v>
      </c>
      <c r="B704" s="174" t="s">
        <v>245</v>
      </c>
      <c r="C704" s="189">
        <v>2022.0</v>
      </c>
      <c r="D704" s="175" t="s">
        <v>2616</v>
      </c>
      <c r="E704" s="174" t="s">
        <v>2818</v>
      </c>
      <c r="F704" s="190">
        <v>2032148.72</v>
      </c>
      <c r="G704" s="191">
        <f>IFERROR(__xludf.DUMMYFUNCTION("F704 * GOOGLEFINANCE(""CURRENCY:MXNUSD"")"),119513.71444628)</f>
        <v>119513.7144</v>
      </c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22.5" customHeight="1">
      <c r="A705" s="174" t="s">
        <v>4075</v>
      </c>
      <c r="B705" s="174" t="s">
        <v>245</v>
      </c>
      <c r="C705" s="189">
        <v>2022.0</v>
      </c>
      <c r="D705" s="175" t="s">
        <v>2742</v>
      </c>
      <c r="E705" s="174" t="s">
        <v>2818</v>
      </c>
      <c r="F705" s="190">
        <v>2032148.72</v>
      </c>
      <c r="G705" s="191">
        <f>IFERROR(__xludf.DUMMYFUNCTION("F705 * GOOGLEFINANCE(""CURRENCY:MXNUSD"")"),119513.71444628)</f>
        <v>119513.7144</v>
      </c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22.5" customHeight="1">
      <c r="A706" s="174" t="s">
        <v>4076</v>
      </c>
      <c r="B706" s="174" t="s">
        <v>245</v>
      </c>
      <c r="C706" s="189">
        <v>2022.0</v>
      </c>
      <c r="D706" s="175" t="s">
        <v>2496</v>
      </c>
      <c r="E706" s="174" t="s">
        <v>2818</v>
      </c>
      <c r="F706" s="190">
        <v>2032148.72</v>
      </c>
      <c r="G706" s="191">
        <f>IFERROR(__xludf.DUMMYFUNCTION("F706 * GOOGLEFINANCE(""CURRENCY:MXNUSD"")"),119513.71444628)</f>
        <v>119513.7144</v>
      </c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22.5" customHeight="1">
      <c r="A707" s="174" t="s">
        <v>4077</v>
      </c>
      <c r="B707" s="174" t="s">
        <v>245</v>
      </c>
      <c r="C707" s="189">
        <v>2023.0</v>
      </c>
      <c r="D707" s="175" t="s">
        <v>2495</v>
      </c>
      <c r="E707" s="174" t="s">
        <v>2818</v>
      </c>
      <c r="F707" s="190">
        <v>2190452.72</v>
      </c>
      <c r="G707" s="191">
        <f>IFERROR(__xludf.DUMMYFUNCTION("F707 * GOOGLEFINANCE(""CURRENCY:MXNUSD"")"),128823.81014228002)</f>
        <v>128823.8101</v>
      </c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22.5" customHeight="1">
      <c r="A708" s="174" t="s">
        <v>4078</v>
      </c>
      <c r="B708" s="174" t="s">
        <v>245</v>
      </c>
      <c r="C708" s="189">
        <v>2023.0</v>
      </c>
      <c r="D708" s="175" t="s">
        <v>2834</v>
      </c>
      <c r="E708" s="174" t="s">
        <v>2818</v>
      </c>
      <c r="F708" s="190">
        <v>2190452.72</v>
      </c>
      <c r="G708" s="191">
        <f>IFERROR(__xludf.DUMMYFUNCTION("F708 * GOOGLEFINANCE(""CURRENCY:MXNUSD"")"),128823.81014228002)</f>
        <v>128823.8101</v>
      </c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22.5" customHeight="1">
      <c r="A709" s="174" t="s">
        <v>4079</v>
      </c>
      <c r="B709" s="174" t="s">
        <v>245</v>
      </c>
      <c r="C709" s="189">
        <v>2023.0</v>
      </c>
      <c r="D709" s="175" t="s">
        <v>2585</v>
      </c>
      <c r="E709" s="174" t="s">
        <v>2818</v>
      </c>
      <c r="F709" s="190">
        <v>2190452.72</v>
      </c>
      <c r="G709" s="191">
        <f>IFERROR(__xludf.DUMMYFUNCTION("F709 * GOOGLEFINANCE(""CURRENCY:MXNUSD"")"),128823.81014228002)</f>
        <v>128823.8101</v>
      </c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22.5" customHeight="1">
      <c r="A710" s="174" t="s">
        <v>4080</v>
      </c>
      <c r="B710" s="174" t="s">
        <v>245</v>
      </c>
      <c r="C710" s="189">
        <v>2023.0</v>
      </c>
      <c r="D710" s="175" t="s">
        <v>2594</v>
      </c>
      <c r="E710" s="174" t="s">
        <v>2818</v>
      </c>
      <c r="F710" s="190">
        <v>2190452.72</v>
      </c>
      <c r="G710" s="191">
        <f>IFERROR(__xludf.DUMMYFUNCTION("F710 * GOOGLEFINANCE(""CURRENCY:MXNUSD"")"),128823.81014228002)</f>
        <v>128823.8101</v>
      </c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22.5" customHeight="1">
      <c r="A711" s="174" t="s">
        <v>4081</v>
      </c>
      <c r="B711" s="174" t="s">
        <v>245</v>
      </c>
      <c r="C711" s="189">
        <v>2023.0</v>
      </c>
      <c r="D711" s="175" t="s">
        <v>2739</v>
      </c>
      <c r="E711" s="174" t="s">
        <v>2818</v>
      </c>
      <c r="F711" s="190">
        <v>2190452.72</v>
      </c>
      <c r="G711" s="191">
        <f>IFERROR(__xludf.DUMMYFUNCTION("F711 * GOOGLEFINANCE(""CURRENCY:MXNUSD"")"),128823.81014228002)</f>
        <v>128823.8101</v>
      </c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22.5" customHeight="1">
      <c r="A712" s="174" t="s">
        <v>4082</v>
      </c>
      <c r="B712" s="174" t="s">
        <v>245</v>
      </c>
      <c r="C712" s="189">
        <v>2023.0</v>
      </c>
      <c r="D712" s="175" t="s">
        <v>2541</v>
      </c>
      <c r="E712" s="174" t="s">
        <v>2818</v>
      </c>
      <c r="F712" s="190">
        <v>2190452.72</v>
      </c>
      <c r="G712" s="191">
        <f>IFERROR(__xludf.DUMMYFUNCTION("F712 * GOOGLEFINANCE(""CURRENCY:MXNUSD"")"),128823.81014228002)</f>
        <v>128823.8101</v>
      </c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22.5" customHeight="1">
      <c r="A713" s="174" t="s">
        <v>4083</v>
      </c>
      <c r="B713" s="174" t="s">
        <v>245</v>
      </c>
      <c r="C713" s="189">
        <v>2023.0</v>
      </c>
      <c r="D713" s="175" t="s">
        <v>2553</v>
      </c>
      <c r="E713" s="174" t="s">
        <v>2818</v>
      </c>
      <c r="F713" s="190">
        <v>2190452.72</v>
      </c>
      <c r="G713" s="191">
        <f>IFERROR(__xludf.DUMMYFUNCTION("F713 * GOOGLEFINANCE(""CURRENCY:MXNUSD"")"),128823.81014228002)</f>
        <v>128823.8101</v>
      </c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22.5" customHeight="1">
      <c r="A714" s="174" t="s">
        <v>4084</v>
      </c>
      <c r="B714" s="174" t="s">
        <v>245</v>
      </c>
      <c r="C714" s="189">
        <v>2023.0</v>
      </c>
      <c r="D714" s="175" t="s">
        <v>2573</v>
      </c>
      <c r="E714" s="174" t="s">
        <v>2818</v>
      </c>
      <c r="F714" s="190">
        <v>2190452.72</v>
      </c>
      <c r="G714" s="191">
        <f>IFERROR(__xludf.DUMMYFUNCTION("F714 * GOOGLEFINANCE(""CURRENCY:MXNUSD"")"),128823.81014228002)</f>
        <v>128823.8101</v>
      </c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22.5" customHeight="1">
      <c r="A715" s="174" t="s">
        <v>4085</v>
      </c>
      <c r="B715" s="174" t="s">
        <v>245</v>
      </c>
      <c r="C715" s="189">
        <v>2023.0</v>
      </c>
      <c r="D715" s="175" t="s">
        <v>2593</v>
      </c>
      <c r="E715" s="174" t="s">
        <v>2818</v>
      </c>
      <c r="F715" s="190">
        <v>2190452.72</v>
      </c>
      <c r="G715" s="191">
        <f>IFERROR(__xludf.DUMMYFUNCTION("F715 * GOOGLEFINANCE(""CURRENCY:MXNUSD"")"),128823.81014228002)</f>
        <v>128823.8101</v>
      </c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22.5" customHeight="1">
      <c r="A716" s="174" t="s">
        <v>4086</v>
      </c>
      <c r="B716" s="174" t="s">
        <v>245</v>
      </c>
      <c r="C716" s="189">
        <v>2023.0</v>
      </c>
      <c r="D716" s="175" t="s">
        <v>2616</v>
      </c>
      <c r="E716" s="174" t="s">
        <v>2818</v>
      </c>
      <c r="F716" s="190">
        <v>2190452.72</v>
      </c>
      <c r="G716" s="191">
        <f>IFERROR(__xludf.DUMMYFUNCTION("F716 * GOOGLEFINANCE(""CURRENCY:MXNUSD"")"),128823.81014228002)</f>
        <v>128823.8101</v>
      </c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22.5" customHeight="1">
      <c r="A717" s="174" t="s">
        <v>4087</v>
      </c>
      <c r="B717" s="174" t="s">
        <v>245</v>
      </c>
      <c r="C717" s="189">
        <v>2023.0</v>
      </c>
      <c r="D717" s="175" t="s">
        <v>2742</v>
      </c>
      <c r="E717" s="174" t="s">
        <v>2818</v>
      </c>
      <c r="F717" s="190">
        <v>2190452.72</v>
      </c>
      <c r="G717" s="191">
        <f>IFERROR(__xludf.DUMMYFUNCTION("F717 * GOOGLEFINANCE(""CURRENCY:MXNUSD"")"),128823.81014228002)</f>
        <v>128823.8101</v>
      </c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22.5" customHeight="1">
      <c r="A718" s="174" t="s">
        <v>4088</v>
      </c>
      <c r="B718" s="174" t="s">
        <v>245</v>
      </c>
      <c r="C718" s="189">
        <v>2023.0</v>
      </c>
      <c r="D718" s="175" t="s">
        <v>2496</v>
      </c>
      <c r="E718" s="174" t="s">
        <v>2818</v>
      </c>
      <c r="F718" s="190">
        <v>2190452.72</v>
      </c>
      <c r="G718" s="191">
        <f>IFERROR(__xludf.DUMMYFUNCTION("F718 * GOOGLEFINANCE(""CURRENCY:MXNUSD"")"),128823.81014228002)</f>
        <v>128823.8101</v>
      </c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22.5" customHeight="1">
      <c r="A719" s="174" t="s">
        <v>4089</v>
      </c>
      <c r="B719" s="174" t="s">
        <v>245</v>
      </c>
      <c r="C719" s="189">
        <v>2024.0</v>
      </c>
      <c r="D719" s="175" t="s">
        <v>2495</v>
      </c>
      <c r="E719" s="174" t="s">
        <v>2818</v>
      </c>
      <c r="F719" s="190">
        <v>2285079.59</v>
      </c>
      <c r="G719" s="191">
        <f>IFERROR(__xludf.DUMMYFUNCTION("F719 * GOOGLEFINANCE(""CURRENCY:MXNUSD"")"),134388.958307285)</f>
        <v>134388.9583</v>
      </c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22.5" customHeight="1">
      <c r="A720" s="174" t="s">
        <v>4090</v>
      </c>
      <c r="B720" s="174" t="s">
        <v>245</v>
      </c>
      <c r="C720" s="189">
        <v>2024.0</v>
      </c>
      <c r="D720" s="175" t="s">
        <v>2834</v>
      </c>
      <c r="E720" s="174" t="s">
        <v>2818</v>
      </c>
      <c r="F720" s="190">
        <v>2285079.59</v>
      </c>
      <c r="G720" s="191">
        <f>IFERROR(__xludf.DUMMYFUNCTION("F720 * GOOGLEFINANCE(""CURRENCY:MXNUSD"")"),134388.958307285)</f>
        <v>134388.9583</v>
      </c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22.5" customHeight="1">
      <c r="A721" s="174" t="s">
        <v>4091</v>
      </c>
      <c r="B721" s="174" t="s">
        <v>245</v>
      </c>
      <c r="C721" s="189">
        <v>2024.0</v>
      </c>
      <c r="D721" s="175" t="s">
        <v>2585</v>
      </c>
      <c r="E721" s="174" t="s">
        <v>2818</v>
      </c>
      <c r="F721" s="190">
        <v>2285079.59</v>
      </c>
      <c r="G721" s="191">
        <f>IFERROR(__xludf.DUMMYFUNCTION("F721 * GOOGLEFINANCE(""CURRENCY:MXNUSD"")"),134388.958307285)</f>
        <v>134388.9583</v>
      </c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22.5" customHeight="1">
      <c r="A722" s="174" t="s">
        <v>4092</v>
      </c>
      <c r="B722" s="174" t="s">
        <v>245</v>
      </c>
      <c r="C722" s="189">
        <v>2024.0</v>
      </c>
      <c r="D722" s="175" t="s">
        <v>2594</v>
      </c>
      <c r="E722" s="174" t="s">
        <v>2818</v>
      </c>
      <c r="F722" s="190">
        <v>2285079.59</v>
      </c>
      <c r="G722" s="191">
        <f>IFERROR(__xludf.DUMMYFUNCTION("F722 * GOOGLEFINANCE(""CURRENCY:MXNUSD"")"),134388.958307285)</f>
        <v>134388.9583</v>
      </c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22.5" customHeight="1">
      <c r="A723" s="174" t="s">
        <v>4093</v>
      </c>
      <c r="B723" s="174" t="s">
        <v>245</v>
      </c>
      <c r="C723" s="189">
        <v>2024.0</v>
      </c>
      <c r="D723" s="175" t="s">
        <v>2739</v>
      </c>
      <c r="E723" s="174" t="s">
        <v>2818</v>
      </c>
      <c r="F723" s="190">
        <v>2285079.59</v>
      </c>
      <c r="G723" s="191">
        <f>IFERROR(__xludf.DUMMYFUNCTION("F723 * GOOGLEFINANCE(""CURRENCY:MXNUSD"")"),134388.958307285)</f>
        <v>134388.9583</v>
      </c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22.5" customHeight="1">
      <c r="A724" s="174" t="s">
        <v>4094</v>
      </c>
      <c r="B724" s="174" t="s">
        <v>245</v>
      </c>
      <c r="C724" s="189">
        <v>2024.0</v>
      </c>
      <c r="D724" s="175" t="s">
        <v>2541</v>
      </c>
      <c r="E724" s="174" t="s">
        <v>2818</v>
      </c>
      <c r="F724" s="190">
        <v>2285079.59</v>
      </c>
      <c r="G724" s="191">
        <f>IFERROR(__xludf.DUMMYFUNCTION("F724 * GOOGLEFINANCE(""CURRENCY:MXNUSD"")"),134388.958307285)</f>
        <v>134388.9583</v>
      </c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22.5" customHeight="1">
      <c r="A725" s="174" t="s">
        <v>4095</v>
      </c>
      <c r="B725" s="174" t="s">
        <v>245</v>
      </c>
      <c r="C725" s="189">
        <v>2024.0</v>
      </c>
      <c r="D725" s="175" t="s">
        <v>2553</v>
      </c>
      <c r="E725" s="174" t="s">
        <v>2818</v>
      </c>
      <c r="F725" s="190">
        <v>2285079.59</v>
      </c>
      <c r="G725" s="191">
        <f>IFERROR(__xludf.DUMMYFUNCTION("F725 * GOOGLEFINANCE(""CURRENCY:MXNUSD"")"),134388.958307285)</f>
        <v>134388.9583</v>
      </c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22.5" customHeight="1">
      <c r="A726" s="174" t="s">
        <v>4096</v>
      </c>
      <c r="B726" s="174" t="s">
        <v>245</v>
      </c>
      <c r="C726" s="189">
        <v>2024.0</v>
      </c>
      <c r="D726" s="175" t="s">
        <v>2573</v>
      </c>
      <c r="E726" s="174" t="s">
        <v>2818</v>
      </c>
      <c r="F726" s="190">
        <v>2285079.59</v>
      </c>
      <c r="G726" s="191">
        <f>IFERROR(__xludf.DUMMYFUNCTION("F726 * GOOGLEFINANCE(""CURRENCY:MXNUSD"")"),134388.958307285)</f>
        <v>134388.9583</v>
      </c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22.5" customHeight="1">
      <c r="A727" s="174" t="s">
        <v>4097</v>
      </c>
      <c r="B727" s="174" t="s">
        <v>245</v>
      </c>
      <c r="C727" s="189">
        <v>2024.0</v>
      </c>
      <c r="D727" s="175" t="s">
        <v>2593</v>
      </c>
      <c r="E727" s="174" t="s">
        <v>2818</v>
      </c>
      <c r="F727" s="190">
        <v>2285079.59</v>
      </c>
      <c r="G727" s="191">
        <f>IFERROR(__xludf.DUMMYFUNCTION("F727 * GOOGLEFINANCE(""CURRENCY:MXNUSD"")"),134388.958307285)</f>
        <v>134388.9583</v>
      </c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22.5" customHeight="1">
      <c r="A728" s="174" t="s">
        <v>4098</v>
      </c>
      <c r="B728" s="174" t="s">
        <v>245</v>
      </c>
      <c r="C728" s="189">
        <v>2024.0</v>
      </c>
      <c r="D728" s="175" t="s">
        <v>2616</v>
      </c>
      <c r="E728" s="174" t="s">
        <v>2818</v>
      </c>
      <c r="F728" s="190">
        <v>2285079.59</v>
      </c>
      <c r="G728" s="191">
        <f>IFERROR(__xludf.DUMMYFUNCTION("F728 * GOOGLEFINANCE(""CURRENCY:MXNUSD"")"),134388.958307285)</f>
        <v>134388.9583</v>
      </c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22.5" customHeight="1">
      <c r="A729" s="174" t="s">
        <v>4099</v>
      </c>
      <c r="B729" s="174" t="s">
        <v>245</v>
      </c>
      <c r="C729" s="189">
        <v>2024.0</v>
      </c>
      <c r="D729" s="175" t="s">
        <v>2742</v>
      </c>
      <c r="E729" s="174" t="s">
        <v>2818</v>
      </c>
      <c r="F729" s="190">
        <v>2285079.59</v>
      </c>
      <c r="G729" s="191">
        <f>IFERROR(__xludf.DUMMYFUNCTION("F729 * GOOGLEFINANCE(""CURRENCY:MXNUSD"")"),134388.958307285)</f>
        <v>134388.9583</v>
      </c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22.5" customHeight="1">
      <c r="A730" s="174" t="s">
        <v>4100</v>
      </c>
      <c r="B730" s="174" t="s">
        <v>268</v>
      </c>
      <c r="C730" s="189">
        <v>2018.0</v>
      </c>
      <c r="D730" s="175" t="s">
        <v>2541</v>
      </c>
      <c r="E730" s="174" t="s">
        <v>2818</v>
      </c>
      <c r="F730" s="190">
        <v>100274.94</v>
      </c>
      <c r="G730" s="191">
        <f>IFERROR(__xludf.DUMMYFUNCTION("F730 * GOOGLEFINANCE(""CURRENCY:MXNUSD"")"),5897.319633810001)</f>
        <v>5897.319634</v>
      </c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22.5" customHeight="1">
      <c r="A731" s="174" t="s">
        <v>4101</v>
      </c>
      <c r="B731" s="174" t="s">
        <v>268</v>
      </c>
      <c r="C731" s="189">
        <v>2018.0</v>
      </c>
      <c r="D731" s="175" t="s">
        <v>2553</v>
      </c>
      <c r="E731" s="174" t="s">
        <v>2818</v>
      </c>
      <c r="F731" s="190">
        <v>752062.08</v>
      </c>
      <c r="G731" s="191">
        <f>IFERROR(__xludf.DUMMYFUNCTION("F731 * GOOGLEFINANCE(""CURRENCY:MXNUSD"")"),44229.89901792)</f>
        <v>44229.89902</v>
      </c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22.5" customHeight="1">
      <c r="A732" s="174" t="s">
        <v>4102</v>
      </c>
      <c r="B732" s="174" t="s">
        <v>268</v>
      </c>
      <c r="C732" s="189">
        <v>2018.0</v>
      </c>
      <c r="D732" s="175" t="s">
        <v>2573</v>
      </c>
      <c r="E732" s="174" t="s">
        <v>2818</v>
      </c>
      <c r="F732" s="190">
        <v>752062.08</v>
      </c>
      <c r="G732" s="191">
        <f>IFERROR(__xludf.DUMMYFUNCTION("F732 * GOOGLEFINANCE(""CURRENCY:MXNUSD"")"),44229.89901792)</f>
        <v>44229.89902</v>
      </c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22.5" customHeight="1">
      <c r="A733" s="174" t="s">
        <v>4103</v>
      </c>
      <c r="B733" s="174" t="s">
        <v>268</v>
      </c>
      <c r="C733" s="189">
        <v>2018.0</v>
      </c>
      <c r="D733" s="175" t="s">
        <v>2593</v>
      </c>
      <c r="E733" s="174" t="s">
        <v>2818</v>
      </c>
      <c r="F733" s="190">
        <v>752062.08</v>
      </c>
      <c r="G733" s="191">
        <f>IFERROR(__xludf.DUMMYFUNCTION("F733 * GOOGLEFINANCE(""CURRENCY:MXNUSD"")"),44229.89901792)</f>
        <v>44229.89902</v>
      </c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22.5" customHeight="1">
      <c r="A734" s="174" t="s">
        <v>4104</v>
      </c>
      <c r="B734" s="174" t="s">
        <v>268</v>
      </c>
      <c r="C734" s="189">
        <v>2018.0</v>
      </c>
      <c r="D734" s="175" t="s">
        <v>2616</v>
      </c>
      <c r="E734" s="174" t="s">
        <v>2818</v>
      </c>
      <c r="F734" s="190">
        <v>752062.08</v>
      </c>
      <c r="G734" s="191">
        <f>IFERROR(__xludf.DUMMYFUNCTION("F734 * GOOGLEFINANCE(""CURRENCY:MXNUSD"")"),44229.89901792)</f>
        <v>44229.89902</v>
      </c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22.5" customHeight="1">
      <c r="A735" s="174" t="s">
        <v>4105</v>
      </c>
      <c r="B735" s="174" t="s">
        <v>268</v>
      </c>
      <c r="C735" s="189">
        <v>2018.0</v>
      </c>
      <c r="D735" s="175" t="s">
        <v>2742</v>
      </c>
      <c r="E735" s="174" t="s">
        <v>2818</v>
      </c>
      <c r="F735" s="190">
        <v>752062.08</v>
      </c>
      <c r="G735" s="191">
        <f>IFERROR(__xludf.DUMMYFUNCTION("F735 * GOOGLEFINANCE(""CURRENCY:MXNUSD"")"),44229.89901792)</f>
        <v>44229.89902</v>
      </c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22.5" customHeight="1">
      <c r="A736" s="174" t="s">
        <v>4106</v>
      </c>
      <c r="B736" s="174" t="s">
        <v>268</v>
      </c>
      <c r="C736" s="189">
        <v>2018.0</v>
      </c>
      <c r="D736" s="175" t="s">
        <v>2496</v>
      </c>
      <c r="E736" s="174" t="s">
        <v>2818</v>
      </c>
      <c r="F736" s="190">
        <v>752062.08</v>
      </c>
      <c r="G736" s="191">
        <f>IFERROR(__xludf.DUMMYFUNCTION("F736 * GOOGLEFINANCE(""CURRENCY:MXNUSD"")"),44229.89901792)</f>
        <v>44229.89902</v>
      </c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22.5" customHeight="1">
      <c r="A737" s="174" t="s">
        <v>4107</v>
      </c>
      <c r="B737" s="174" t="s">
        <v>268</v>
      </c>
      <c r="C737" s="189">
        <v>2019.0</v>
      </c>
      <c r="D737" s="175" t="s">
        <v>2495</v>
      </c>
      <c r="E737" s="174" t="s">
        <v>2818</v>
      </c>
      <c r="F737" s="190">
        <v>787559.0</v>
      </c>
      <c r="G737" s="191">
        <f>IFERROR(__xludf.DUMMYFUNCTION("F737 * GOOGLEFINANCE(""CURRENCY:MXNUSD"")"),46317.5261285)</f>
        <v>46317.52613</v>
      </c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22.5" customHeight="1">
      <c r="A738" s="174" t="s">
        <v>4108</v>
      </c>
      <c r="B738" s="174" t="s">
        <v>268</v>
      </c>
      <c r="C738" s="189">
        <v>2019.0</v>
      </c>
      <c r="D738" s="175" t="s">
        <v>2834</v>
      </c>
      <c r="E738" s="174" t="s">
        <v>2818</v>
      </c>
      <c r="F738" s="190">
        <v>787559.0</v>
      </c>
      <c r="G738" s="191">
        <f>IFERROR(__xludf.DUMMYFUNCTION("F738 * GOOGLEFINANCE(""CURRENCY:MXNUSD"")"),46317.5261285)</f>
        <v>46317.52613</v>
      </c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22.5" customHeight="1">
      <c r="A739" s="174" t="s">
        <v>4109</v>
      </c>
      <c r="B739" s="174" t="s">
        <v>268</v>
      </c>
      <c r="C739" s="189">
        <v>2019.0</v>
      </c>
      <c r="D739" s="175" t="s">
        <v>2585</v>
      </c>
      <c r="E739" s="174" t="s">
        <v>2818</v>
      </c>
      <c r="F739" s="190">
        <v>787559.0</v>
      </c>
      <c r="G739" s="191">
        <f>IFERROR(__xludf.DUMMYFUNCTION("F739 * GOOGLEFINANCE(""CURRENCY:MXNUSD"")"),46317.5261285)</f>
        <v>46317.52613</v>
      </c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22.5" customHeight="1">
      <c r="A740" s="174" t="s">
        <v>4110</v>
      </c>
      <c r="B740" s="174" t="s">
        <v>268</v>
      </c>
      <c r="C740" s="189">
        <v>2019.0</v>
      </c>
      <c r="D740" s="175" t="s">
        <v>2594</v>
      </c>
      <c r="E740" s="174" t="s">
        <v>2818</v>
      </c>
      <c r="F740" s="190">
        <v>787559.0</v>
      </c>
      <c r="G740" s="191">
        <f>IFERROR(__xludf.DUMMYFUNCTION("F740 * GOOGLEFINANCE(""CURRENCY:MXNUSD"")"),46317.5261285)</f>
        <v>46317.52613</v>
      </c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22.5" customHeight="1">
      <c r="A741" s="174" t="s">
        <v>4111</v>
      </c>
      <c r="B741" s="174" t="s">
        <v>268</v>
      </c>
      <c r="C741" s="189">
        <v>2019.0</v>
      </c>
      <c r="D741" s="175" t="s">
        <v>2739</v>
      </c>
      <c r="E741" s="174" t="s">
        <v>2818</v>
      </c>
      <c r="F741" s="190">
        <v>787559.0</v>
      </c>
      <c r="G741" s="191">
        <f>IFERROR(__xludf.DUMMYFUNCTION("F741 * GOOGLEFINANCE(""CURRENCY:MXNUSD"")"),46317.5261285)</f>
        <v>46317.52613</v>
      </c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22.5" customHeight="1">
      <c r="A742" s="174" t="s">
        <v>4112</v>
      </c>
      <c r="B742" s="174" t="s">
        <v>268</v>
      </c>
      <c r="C742" s="189">
        <v>2019.0</v>
      </c>
      <c r="D742" s="175" t="s">
        <v>2541</v>
      </c>
      <c r="E742" s="174" t="s">
        <v>2818</v>
      </c>
      <c r="F742" s="190">
        <v>787559.0</v>
      </c>
      <c r="G742" s="191">
        <f>IFERROR(__xludf.DUMMYFUNCTION("F742 * GOOGLEFINANCE(""CURRENCY:MXNUSD"")"),46317.5261285)</f>
        <v>46317.52613</v>
      </c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22.5" customHeight="1">
      <c r="A743" s="174" t="s">
        <v>4113</v>
      </c>
      <c r="B743" s="174" t="s">
        <v>268</v>
      </c>
      <c r="C743" s="189">
        <v>2019.0</v>
      </c>
      <c r="D743" s="175" t="s">
        <v>2553</v>
      </c>
      <c r="E743" s="174" t="s">
        <v>2818</v>
      </c>
      <c r="F743" s="190">
        <v>787559.0</v>
      </c>
      <c r="G743" s="191">
        <f>IFERROR(__xludf.DUMMYFUNCTION("F743 * GOOGLEFINANCE(""CURRENCY:MXNUSD"")"),46317.5261285)</f>
        <v>46317.52613</v>
      </c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22.5" customHeight="1">
      <c r="A744" s="174" t="s">
        <v>4114</v>
      </c>
      <c r="B744" s="174" t="s">
        <v>268</v>
      </c>
      <c r="C744" s="189">
        <v>2019.0</v>
      </c>
      <c r="D744" s="175" t="s">
        <v>2573</v>
      </c>
      <c r="E744" s="174" t="s">
        <v>2818</v>
      </c>
      <c r="F744" s="190">
        <v>787559.0</v>
      </c>
      <c r="G744" s="191">
        <f>IFERROR(__xludf.DUMMYFUNCTION("F744 * GOOGLEFINANCE(""CURRENCY:MXNUSD"")"),46317.5261285)</f>
        <v>46317.52613</v>
      </c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22.5" customHeight="1">
      <c r="A745" s="174" t="s">
        <v>4115</v>
      </c>
      <c r="B745" s="174" t="s">
        <v>268</v>
      </c>
      <c r="C745" s="189">
        <v>2019.0</v>
      </c>
      <c r="D745" s="175" t="s">
        <v>2593</v>
      </c>
      <c r="E745" s="174" t="s">
        <v>2818</v>
      </c>
      <c r="F745" s="190">
        <v>787559.23</v>
      </c>
      <c r="G745" s="191">
        <f>IFERROR(__xludf.DUMMYFUNCTION("F745 * GOOGLEFINANCE(""CURRENCY:MXNUSD"")"),46317.539655145)</f>
        <v>46317.53966</v>
      </c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22.5" customHeight="1">
      <c r="A746" s="174" t="s">
        <v>4116</v>
      </c>
      <c r="B746" s="174" t="s">
        <v>268</v>
      </c>
      <c r="C746" s="189">
        <v>2019.0</v>
      </c>
      <c r="D746" s="175" t="s">
        <v>2616</v>
      </c>
      <c r="E746" s="174" t="s">
        <v>2818</v>
      </c>
      <c r="F746" s="190">
        <v>787559.23</v>
      </c>
      <c r="G746" s="191">
        <f>IFERROR(__xludf.DUMMYFUNCTION("F746 * GOOGLEFINANCE(""CURRENCY:MXNUSD"")"),46317.539655145)</f>
        <v>46317.53966</v>
      </c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22.5" customHeight="1">
      <c r="A747" s="174" t="s">
        <v>4117</v>
      </c>
      <c r="B747" s="174" t="s">
        <v>268</v>
      </c>
      <c r="C747" s="189">
        <v>2019.0</v>
      </c>
      <c r="D747" s="175" t="s">
        <v>2742</v>
      </c>
      <c r="E747" s="174" t="s">
        <v>2818</v>
      </c>
      <c r="F747" s="190">
        <v>787559.23</v>
      </c>
      <c r="G747" s="191">
        <f>IFERROR(__xludf.DUMMYFUNCTION("F747 * GOOGLEFINANCE(""CURRENCY:MXNUSD"")"),46317.539655145)</f>
        <v>46317.53966</v>
      </c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22.5" customHeight="1">
      <c r="A748" s="174" t="s">
        <v>4118</v>
      </c>
      <c r="B748" s="174" t="s">
        <v>268</v>
      </c>
      <c r="C748" s="189">
        <v>2019.0</v>
      </c>
      <c r="D748" s="175" t="s">
        <v>2496</v>
      </c>
      <c r="E748" s="174" t="s">
        <v>2818</v>
      </c>
      <c r="F748" s="190">
        <v>787559.23</v>
      </c>
      <c r="G748" s="191">
        <f>IFERROR(__xludf.DUMMYFUNCTION("F748 * GOOGLEFINANCE(""CURRENCY:MXNUSD"")"),46317.539655145)</f>
        <v>46317.53966</v>
      </c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22.5" customHeight="1">
      <c r="A749" s="174" t="s">
        <v>4119</v>
      </c>
      <c r="B749" s="174" t="s">
        <v>268</v>
      </c>
      <c r="C749" s="189">
        <v>2020.0</v>
      </c>
      <c r="D749" s="175" t="s">
        <v>2495</v>
      </c>
      <c r="E749" s="174" t="s">
        <v>2818</v>
      </c>
      <c r="F749" s="190">
        <v>810950.99</v>
      </c>
      <c r="G749" s="191">
        <f>IFERROR(__xludf.DUMMYFUNCTION("F749 * GOOGLEFINANCE(""CURRENCY:MXNUSD"")"),47693.244148385005)</f>
        <v>47693.24415</v>
      </c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22.5" customHeight="1">
      <c r="A750" s="174" t="s">
        <v>4120</v>
      </c>
      <c r="B750" s="174" t="s">
        <v>268</v>
      </c>
      <c r="C750" s="189">
        <v>2020.0</v>
      </c>
      <c r="D750" s="175" t="s">
        <v>2834</v>
      </c>
      <c r="E750" s="174" t="s">
        <v>2818</v>
      </c>
      <c r="F750" s="190">
        <v>810950.99</v>
      </c>
      <c r="G750" s="191">
        <f>IFERROR(__xludf.DUMMYFUNCTION("F750 * GOOGLEFINANCE(""CURRENCY:MXNUSD"")"),47693.244148385005)</f>
        <v>47693.24415</v>
      </c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22.5" customHeight="1">
      <c r="A751" s="174" t="s">
        <v>4121</v>
      </c>
      <c r="B751" s="174" t="s">
        <v>268</v>
      </c>
      <c r="C751" s="189">
        <v>2020.0</v>
      </c>
      <c r="D751" s="175" t="s">
        <v>2585</v>
      </c>
      <c r="E751" s="174" t="s">
        <v>2818</v>
      </c>
      <c r="F751" s="190">
        <v>810950.99</v>
      </c>
      <c r="G751" s="191">
        <f>IFERROR(__xludf.DUMMYFUNCTION("F751 * GOOGLEFINANCE(""CURRENCY:MXNUSD"")"),47693.244148385005)</f>
        <v>47693.24415</v>
      </c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22.5" customHeight="1">
      <c r="A752" s="174" t="s">
        <v>4122</v>
      </c>
      <c r="B752" s="174" t="s">
        <v>268</v>
      </c>
      <c r="C752" s="189">
        <v>2020.0</v>
      </c>
      <c r="D752" s="175" t="s">
        <v>2594</v>
      </c>
      <c r="E752" s="174" t="s">
        <v>2818</v>
      </c>
      <c r="F752" s="190">
        <v>810950.99</v>
      </c>
      <c r="G752" s="191">
        <f>IFERROR(__xludf.DUMMYFUNCTION("F752 * GOOGLEFINANCE(""CURRENCY:MXNUSD"")"),47693.244148385005)</f>
        <v>47693.24415</v>
      </c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22.5" customHeight="1">
      <c r="A753" s="174" t="s">
        <v>4123</v>
      </c>
      <c r="B753" s="174" t="s">
        <v>268</v>
      </c>
      <c r="C753" s="189">
        <v>2020.0</v>
      </c>
      <c r="D753" s="175" t="s">
        <v>2739</v>
      </c>
      <c r="E753" s="174" t="s">
        <v>2818</v>
      </c>
      <c r="F753" s="190">
        <v>810950.99</v>
      </c>
      <c r="G753" s="191">
        <f>IFERROR(__xludf.DUMMYFUNCTION("F753 * GOOGLEFINANCE(""CURRENCY:MXNUSD"")"),47693.244148385005)</f>
        <v>47693.24415</v>
      </c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22.5" customHeight="1">
      <c r="A754" s="174" t="s">
        <v>4124</v>
      </c>
      <c r="B754" s="174" t="s">
        <v>268</v>
      </c>
      <c r="C754" s="189">
        <v>2020.0</v>
      </c>
      <c r="D754" s="175" t="s">
        <v>2541</v>
      </c>
      <c r="E754" s="174" t="s">
        <v>2818</v>
      </c>
      <c r="F754" s="190">
        <v>810950.99</v>
      </c>
      <c r="G754" s="191">
        <f>IFERROR(__xludf.DUMMYFUNCTION("F754 * GOOGLEFINANCE(""CURRENCY:MXNUSD"")"),47693.244148385005)</f>
        <v>47693.24415</v>
      </c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22.5" customHeight="1">
      <c r="A755" s="174" t="s">
        <v>4125</v>
      </c>
      <c r="B755" s="174" t="s">
        <v>268</v>
      </c>
      <c r="C755" s="189">
        <v>2020.0</v>
      </c>
      <c r="D755" s="175" t="s">
        <v>2553</v>
      </c>
      <c r="E755" s="174" t="s">
        <v>2818</v>
      </c>
      <c r="F755" s="190">
        <v>810950.99</v>
      </c>
      <c r="G755" s="191">
        <f>IFERROR(__xludf.DUMMYFUNCTION("F755 * GOOGLEFINANCE(""CURRENCY:MXNUSD"")"),47693.244148385005)</f>
        <v>47693.24415</v>
      </c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22.5" customHeight="1">
      <c r="A756" s="174" t="s">
        <v>4126</v>
      </c>
      <c r="B756" s="174" t="s">
        <v>268</v>
      </c>
      <c r="C756" s="189">
        <v>2020.0</v>
      </c>
      <c r="D756" s="175" t="s">
        <v>2573</v>
      </c>
      <c r="E756" s="174" t="s">
        <v>2818</v>
      </c>
      <c r="F756" s="190">
        <v>810950.99</v>
      </c>
      <c r="G756" s="191">
        <f>IFERROR(__xludf.DUMMYFUNCTION("F756 * GOOGLEFINANCE(""CURRENCY:MXNUSD"")"),47693.244148385005)</f>
        <v>47693.24415</v>
      </c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22.5" customHeight="1">
      <c r="A757" s="174" t="s">
        <v>4127</v>
      </c>
      <c r="B757" s="174" t="s">
        <v>268</v>
      </c>
      <c r="C757" s="189">
        <v>2020.0</v>
      </c>
      <c r="D757" s="175" t="s">
        <v>2593</v>
      </c>
      <c r="E757" s="174" t="s">
        <v>2818</v>
      </c>
      <c r="F757" s="190">
        <v>810950.99</v>
      </c>
      <c r="G757" s="191">
        <f>IFERROR(__xludf.DUMMYFUNCTION("F757 * GOOGLEFINANCE(""CURRENCY:MXNUSD"")"),47693.244148385005)</f>
        <v>47693.24415</v>
      </c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22.5" customHeight="1">
      <c r="A758" s="174" t="s">
        <v>4128</v>
      </c>
      <c r="B758" s="174" t="s">
        <v>268</v>
      </c>
      <c r="C758" s="189">
        <v>2020.0</v>
      </c>
      <c r="D758" s="175" t="s">
        <v>2616</v>
      </c>
      <c r="E758" s="174" t="s">
        <v>2818</v>
      </c>
      <c r="F758" s="190">
        <v>810950.99</v>
      </c>
      <c r="G758" s="191">
        <f>IFERROR(__xludf.DUMMYFUNCTION("F758 * GOOGLEFINANCE(""CURRENCY:MXNUSD"")"),47693.244148385005)</f>
        <v>47693.24415</v>
      </c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22.5" customHeight="1">
      <c r="A759" s="174" t="s">
        <v>4129</v>
      </c>
      <c r="B759" s="174" t="s">
        <v>268</v>
      </c>
      <c r="C759" s="189">
        <v>2020.0</v>
      </c>
      <c r="D759" s="175" t="s">
        <v>2742</v>
      </c>
      <c r="E759" s="174" t="s">
        <v>2818</v>
      </c>
      <c r="F759" s="190">
        <v>810950.99</v>
      </c>
      <c r="G759" s="191">
        <f>IFERROR(__xludf.DUMMYFUNCTION("F759 * GOOGLEFINANCE(""CURRENCY:MXNUSD"")"),47693.244148385005)</f>
        <v>47693.24415</v>
      </c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22.5" customHeight="1">
      <c r="A760" s="174" t="s">
        <v>4130</v>
      </c>
      <c r="B760" s="174" t="s">
        <v>268</v>
      </c>
      <c r="C760" s="189">
        <v>2020.0</v>
      </c>
      <c r="D760" s="175" t="s">
        <v>2496</v>
      </c>
      <c r="E760" s="174" t="s">
        <v>2818</v>
      </c>
      <c r="F760" s="190">
        <v>810950.99</v>
      </c>
      <c r="G760" s="191">
        <f>IFERROR(__xludf.DUMMYFUNCTION("F760 * GOOGLEFINANCE(""CURRENCY:MXNUSD"")"),47693.244148385005)</f>
        <v>47693.24415</v>
      </c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22.5" customHeight="1">
      <c r="A761" s="174" t="s">
        <v>4131</v>
      </c>
      <c r="B761" s="174" t="s">
        <v>268</v>
      </c>
      <c r="C761" s="189">
        <v>2021.0</v>
      </c>
      <c r="D761" s="175" t="s">
        <v>2495</v>
      </c>
      <c r="E761" s="174" t="s">
        <v>2818</v>
      </c>
      <c r="F761" s="190">
        <v>837949.96</v>
      </c>
      <c r="G761" s="191">
        <f>IFERROR(__xludf.DUMMYFUNCTION("F761 * GOOGLEFINANCE(""CURRENCY:MXNUSD"")"),49281.09407254)</f>
        <v>49281.09407</v>
      </c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22.5" customHeight="1">
      <c r="A762" s="174" t="s">
        <v>4132</v>
      </c>
      <c r="B762" s="174" t="s">
        <v>268</v>
      </c>
      <c r="C762" s="189">
        <v>2021.0</v>
      </c>
      <c r="D762" s="175" t="s">
        <v>2834</v>
      </c>
      <c r="E762" s="174" t="s">
        <v>2818</v>
      </c>
      <c r="F762" s="190">
        <v>837949.96</v>
      </c>
      <c r="G762" s="191">
        <f>IFERROR(__xludf.DUMMYFUNCTION("F762 * GOOGLEFINANCE(""CURRENCY:MXNUSD"")"),49281.09407254)</f>
        <v>49281.09407</v>
      </c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22.5" customHeight="1">
      <c r="A763" s="174" t="s">
        <v>4133</v>
      </c>
      <c r="B763" s="174" t="s">
        <v>268</v>
      </c>
      <c r="C763" s="189">
        <v>2021.0</v>
      </c>
      <c r="D763" s="175" t="s">
        <v>2585</v>
      </c>
      <c r="E763" s="174" t="s">
        <v>2818</v>
      </c>
      <c r="F763" s="190">
        <v>837949.96</v>
      </c>
      <c r="G763" s="191">
        <f>IFERROR(__xludf.DUMMYFUNCTION("F763 * GOOGLEFINANCE(""CURRENCY:MXNUSD"")"),49281.09407254)</f>
        <v>49281.09407</v>
      </c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22.5" customHeight="1">
      <c r="A764" s="174" t="s">
        <v>4134</v>
      </c>
      <c r="B764" s="174" t="s">
        <v>268</v>
      </c>
      <c r="C764" s="189">
        <v>2021.0</v>
      </c>
      <c r="D764" s="175" t="s">
        <v>2594</v>
      </c>
      <c r="E764" s="174" t="s">
        <v>2818</v>
      </c>
      <c r="F764" s="190">
        <v>837975.04</v>
      </c>
      <c r="G764" s="191">
        <f>IFERROR(__xludf.DUMMYFUNCTION("F764 * GOOGLEFINANCE(""CURRENCY:MXNUSD"")"),49282.56906496001)</f>
        <v>49282.56906</v>
      </c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22.5" customHeight="1">
      <c r="A765" s="174" t="s">
        <v>4135</v>
      </c>
      <c r="B765" s="174" t="s">
        <v>268</v>
      </c>
      <c r="C765" s="189">
        <v>2021.0</v>
      </c>
      <c r="D765" s="175" t="s">
        <v>2739</v>
      </c>
      <c r="E765" s="174" t="s">
        <v>2818</v>
      </c>
      <c r="F765" s="190">
        <v>837980.85</v>
      </c>
      <c r="G765" s="191">
        <f>IFERROR(__xludf.DUMMYFUNCTION("F765 * GOOGLEFINANCE(""CURRENCY:MXNUSD"")"),49282.910759775004)</f>
        <v>49282.91076</v>
      </c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22.5" customHeight="1">
      <c r="A766" s="174" t="s">
        <v>4136</v>
      </c>
      <c r="B766" s="174" t="s">
        <v>268</v>
      </c>
      <c r="C766" s="189">
        <v>2021.0</v>
      </c>
      <c r="D766" s="175" t="s">
        <v>2541</v>
      </c>
      <c r="E766" s="174" t="s">
        <v>2818</v>
      </c>
      <c r="F766" s="190">
        <v>837986.66</v>
      </c>
      <c r="G766" s="191">
        <f>IFERROR(__xludf.DUMMYFUNCTION("F766 * GOOGLEFINANCE(""CURRENCY:MXNUSD"")"),49283.25245459)</f>
        <v>49283.25245</v>
      </c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22.5" customHeight="1">
      <c r="A767" s="174" t="s">
        <v>4137</v>
      </c>
      <c r="B767" s="174" t="s">
        <v>268</v>
      </c>
      <c r="C767" s="189">
        <v>2021.0</v>
      </c>
      <c r="D767" s="175" t="s">
        <v>2553</v>
      </c>
      <c r="E767" s="174" t="s">
        <v>2818</v>
      </c>
      <c r="F767" s="190">
        <v>837955.77</v>
      </c>
      <c r="G767" s="191">
        <f>IFERROR(__xludf.DUMMYFUNCTION("F767 * GOOGLEFINANCE(""CURRENCY:MXNUSD"")"),49281.435767355004)</f>
        <v>49281.43577</v>
      </c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22.5" customHeight="1">
      <c r="A768" s="174" t="s">
        <v>4138</v>
      </c>
      <c r="B768" s="174" t="s">
        <v>268</v>
      </c>
      <c r="C768" s="189">
        <v>2021.0</v>
      </c>
      <c r="D768" s="175" t="s">
        <v>2573</v>
      </c>
      <c r="E768" s="174" t="s">
        <v>2818</v>
      </c>
      <c r="F768" s="190">
        <v>837955.77</v>
      </c>
      <c r="G768" s="191">
        <f>IFERROR(__xludf.DUMMYFUNCTION("F768 * GOOGLEFINANCE(""CURRENCY:MXNUSD"")"),49281.435767355004)</f>
        <v>49281.43577</v>
      </c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22.5" customHeight="1">
      <c r="A769" s="174" t="s">
        <v>4139</v>
      </c>
      <c r="B769" s="174" t="s">
        <v>268</v>
      </c>
      <c r="C769" s="189">
        <v>2021.0</v>
      </c>
      <c r="D769" s="175" t="s">
        <v>2593</v>
      </c>
      <c r="E769" s="174" t="s">
        <v>2818</v>
      </c>
      <c r="F769" s="190">
        <v>837955.77</v>
      </c>
      <c r="G769" s="191">
        <f>IFERROR(__xludf.DUMMYFUNCTION("F769 * GOOGLEFINANCE(""CURRENCY:MXNUSD"")"),49281.435767355004)</f>
        <v>49281.43577</v>
      </c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22.5" customHeight="1">
      <c r="A770" s="174" t="s">
        <v>4140</v>
      </c>
      <c r="B770" s="174" t="s">
        <v>268</v>
      </c>
      <c r="C770" s="189">
        <v>2021.0</v>
      </c>
      <c r="D770" s="175" t="s">
        <v>2616</v>
      </c>
      <c r="E770" s="174" t="s">
        <v>2818</v>
      </c>
      <c r="F770" s="190">
        <v>837955.77</v>
      </c>
      <c r="G770" s="191">
        <f>IFERROR(__xludf.DUMMYFUNCTION("F770 * GOOGLEFINANCE(""CURRENCY:MXNUSD"")"),49281.435767355004)</f>
        <v>49281.43577</v>
      </c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22.5" customHeight="1">
      <c r="A771" s="174" t="s">
        <v>4141</v>
      </c>
      <c r="B771" s="174" t="s">
        <v>268</v>
      </c>
      <c r="C771" s="189">
        <v>2021.0</v>
      </c>
      <c r="D771" s="175" t="s">
        <v>2742</v>
      </c>
      <c r="E771" s="174" t="s">
        <v>2818</v>
      </c>
      <c r="F771" s="190">
        <v>837955.77</v>
      </c>
      <c r="G771" s="191">
        <f>IFERROR(__xludf.DUMMYFUNCTION("F771 * GOOGLEFINANCE(""CURRENCY:MXNUSD"")"),49281.435767355004)</f>
        <v>49281.43577</v>
      </c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22.5" customHeight="1">
      <c r="A772" s="174" t="s">
        <v>4142</v>
      </c>
      <c r="B772" s="174" t="s">
        <v>268</v>
      </c>
      <c r="C772" s="189">
        <v>2021.0</v>
      </c>
      <c r="D772" s="175" t="s">
        <v>2496</v>
      </c>
      <c r="E772" s="174" t="s">
        <v>2818</v>
      </c>
      <c r="F772" s="190">
        <v>837955.77</v>
      </c>
      <c r="G772" s="191">
        <f>IFERROR(__xludf.DUMMYFUNCTION("F772 * GOOGLEFINANCE(""CURRENCY:MXNUSD"")"),49281.435767355004)</f>
        <v>49281.43577</v>
      </c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22.5" customHeight="1">
      <c r="A773" s="174" t="s">
        <v>4143</v>
      </c>
      <c r="B773" s="174" t="s">
        <v>268</v>
      </c>
      <c r="C773" s="189">
        <v>2022.0</v>
      </c>
      <c r="D773" s="175" t="s">
        <v>2495</v>
      </c>
      <c r="E773" s="174" t="s">
        <v>2818</v>
      </c>
      <c r="F773" s="190">
        <v>899702.57</v>
      </c>
      <c r="G773" s="191">
        <f>IFERROR(__xludf.DUMMYFUNCTION("F773 * GOOGLEFINANCE(""CURRENCY:MXNUSD"")"),52912.857695555)</f>
        <v>52912.8577</v>
      </c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22.5" customHeight="1">
      <c r="A774" s="174" t="s">
        <v>4144</v>
      </c>
      <c r="B774" s="174" t="s">
        <v>268</v>
      </c>
      <c r="C774" s="189">
        <v>2022.0</v>
      </c>
      <c r="D774" s="175" t="s">
        <v>2834</v>
      </c>
      <c r="E774" s="174" t="s">
        <v>2818</v>
      </c>
      <c r="F774" s="190">
        <v>899702.57</v>
      </c>
      <c r="G774" s="191">
        <f>IFERROR(__xludf.DUMMYFUNCTION("F774 * GOOGLEFINANCE(""CURRENCY:MXNUSD"")"),52912.857695555)</f>
        <v>52912.8577</v>
      </c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22.5" customHeight="1">
      <c r="A775" s="174" t="s">
        <v>4145</v>
      </c>
      <c r="B775" s="174" t="s">
        <v>268</v>
      </c>
      <c r="C775" s="189">
        <v>2022.0</v>
      </c>
      <c r="D775" s="175" t="s">
        <v>2585</v>
      </c>
      <c r="E775" s="174" t="s">
        <v>2818</v>
      </c>
      <c r="F775" s="190">
        <v>899702.57</v>
      </c>
      <c r="G775" s="191">
        <f>IFERROR(__xludf.DUMMYFUNCTION("F775 * GOOGLEFINANCE(""CURRENCY:MXNUSD"")"),52912.857695555)</f>
        <v>52912.8577</v>
      </c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22.5" customHeight="1">
      <c r="A776" s="174" t="s">
        <v>4146</v>
      </c>
      <c r="B776" s="174" t="s">
        <v>268</v>
      </c>
      <c r="C776" s="189">
        <v>2022.0</v>
      </c>
      <c r="D776" s="175" t="s">
        <v>2594</v>
      </c>
      <c r="E776" s="174" t="s">
        <v>2818</v>
      </c>
      <c r="F776" s="190">
        <v>899702.57</v>
      </c>
      <c r="G776" s="191">
        <f>IFERROR(__xludf.DUMMYFUNCTION("F776 * GOOGLEFINANCE(""CURRENCY:MXNUSD"")"),52912.857695555)</f>
        <v>52912.8577</v>
      </c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22.5" customHeight="1">
      <c r="A777" s="174" t="s">
        <v>4147</v>
      </c>
      <c r="B777" s="174" t="s">
        <v>268</v>
      </c>
      <c r="C777" s="189">
        <v>2022.0</v>
      </c>
      <c r="D777" s="175" t="s">
        <v>2739</v>
      </c>
      <c r="E777" s="174" t="s">
        <v>2818</v>
      </c>
      <c r="F777" s="190">
        <v>899702.57</v>
      </c>
      <c r="G777" s="191">
        <f>IFERROR(__xludf.DUMMYFUNCTION("F777 * GOOGLEFINANCE(""CURRENCY:MXNUSD"")"),52912.857695555)</f>
        <v>52912.8577</v>
      </c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22.5" customHeight="1">
      <c r="A778" s="174" t="s">
        <v>4148</v>
      </c>
      <c r="B778" s="174" t="s">
        <v>268</v>
      </c>
      <c r="C778" s="189">
        <v>2022.0</v>
      </c>
      <c r="D778" s="175" t="s">
        <v>2541</v>
      </c>
      <c r="E778" s="174" t="s">
        <v>2818</v>
      </c>
      <c r="F778" s="190">
        <v>899702.57</v>
      </c>
      <c r="G778" s="191">
        <f>IFERROR(__xludf.DUMMYFUNCTION("F778 * GOOGLEFINANCE(""CURRENCY:MXNUSD"")"),52912.857695555)</f>
        <v>52912.8577</v>
      </c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22.5" customHeight="1">
      <c r="A779" s="174" t="s">
        <v>4149</v>
      </c>
      <c r="B779" s="174" t="s">
        <v>268</v>
      </c>
      <c r="C779" s="189">
        <v>2022.0</v>
      </c>
      <c r="D779" s="175" t="s">
        <v>2553</v>
      </c>
      <c r="E779" s="174" t="s">
        <v>2818</v>
      </c>
      <c r="F779" s="190">
        <v>899702.57</v>
      </c>
      <c r="G779" s="191">
        <f>IFERROR(__xludf.DUMMYFUNCTION("F779 * GOOGLEFINANCE(""CURRENCY:MXNUSD"")"),52912.857695555)</f>
        <v>52912.8577</v>
      </c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22.5" customHeight="1">
      <c r="A780" s="174" t="s">
        <v>4150</v>
      </c>
      <c r="B780" s="174" t="s">
        <v>268</v>
      </c>
      <c r="C780" s="189">
        <v>2022.0</v>
      </c>
      <c r="D780" s="175" t="s">
        <v>2573</v>
      </c>
      <c r="E780" s="174" t="s">
        <v>2818</v>
      </c>
      <c r="F780" s="190">
        <v>899702.57</v>
      </c>
      <c r="G780" s="191">
        <f>IFERROR(__xludf.DUMMYFUNCTION("F780 * GOOGLEFINANCE(""CURRENCY:MXNUSD"")"),52912.857695555)</f>
        <v>52912.8577</v>
      </c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22.5" customHeight="1">
      <c r="A781" s="174" t="s">
        <v>4151</v>
      </c>
      <c r="B781" s="174" t="s">
        <v>268</v>
      </c>
      <c r="C781" s="189">
        <v>2022.0</v>
      </c>
      <c r="D781" s="175" t="s">
        <v>2593</v>
      </c>
      <c r="E781" s="174" t="s">
        <v>2818</v>
      </c>
      <c r="F781" s="190">
        <v>899702.57</v>
      </c>
      <c r="G781" s="191">
        <f>IFERROR(__xludf.DUMMYFUNCTION("F781 * GOOGLEFINANCE(""CURRENCY:MXNUSD"")"),52912.857695555)</f>
        <v>52912.8577</v>
      </c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22.5" customHeight="1">
      <c r="A782" s="174" t="s">
        <v>4152</v>
      </c>
      <c r="B782" s="174" t="s">
        <v>268</v>
      </c>
      <c r="C782" s="189">
        <v>2022.0</v>
      </c>
      <c r="D782" s="175" t="s">
        <v>2616</v>
      </c>
      <c r="E782" s="174" t="s">
        <v>2818</v>
      </c>
      <c r="F782" s="190">
        <v>899702.57</v>
      </c>
      <c r="G782" s="191">
        <f>IFERROR(__xludf.DUMMYFUNCTION("F782 * GOOGLEFINANCE(""CURRENCY:MXNUSD"")"),52912.857695555)</f>
        <v>52912.8577</v>
      </c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22.5" customHeight="1">
      <c r="A783" s="174" t="s">
        <v>4153</v>
      </c>
      <c r="B783" s="174" t="s">
        <v>268</v>
      </c>
      <c r="C783" s="189">
        <v>2022.0</v>
      </c>
      <c r="D783" s="175" t="s">
        <v>2742</v>
      </c>
      <c r="E783" s="174" t="s">
        <v>2818</v>
      </c>
      <c r="F783" s="190">
        <v>899702.57</v>
      </c>
      <c r="G783" s="191">
        <f>IFERROR(__xludf.DUMMYFUNCTION("F783 * GOOGLEFINANCE(""CURRENCY:MXNUSD"")"),52912.857695555)</f>
        <v>52912.8577</v>
      </c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22.5" customHeight="1">
      <c r="A784" s="174" t="s">
        <v>4154</v>
      </c>
      <c r="B784" s="174" t="s">
        <v>268</v>
      </c>
      <c r="C784" s="189">
        <v>2022.0</v>
      </c>
      <c r="D784" s="175" t="s">
        <v>2496</v>
      </c>
      <c r="E784" s="174" t="s">
        <v>2818</v>
      </c>
      <c r="F784" s="190">
        <v>899702.57</v>
      </c>
      <c r="G784" s="191">
        <f>IFERROR(__xludf.DUMMYFUNCTION("F784 * GOOGLEFINANCE(""CURRENCY:MXNUSD"")"),52912.857695555)</f>
        <v>52912.8577</v>
      </c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22.5" customHeight="1">
      <c r="A785" s="174" t="s">
        <v>4155</v>
      </c>
      <c r="B785" s="174" t="s">
        <v>268</v>
      </c>
      <c r="C785" s="189">
        <v>2023.0</v>
      </c>
      <c r="D785" s="175" t="s">
        <v>2495</v>
      </c>
      <c r="E785" s="174" t="s">
        <v>2818</v>
      </c>
      <c r="F785" s="190">
        <v>969784.9</v>
      </c>
      <c r="G785" s="191">
        <f>IFERROR(__xludf.DUMMYFUNCTION("F785 * GOOGLEFINANCE(""CURRENCY:MXNUSD"")"),57034.504646350004)</f>
        <v>57034.50465</v>
      </c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22.5" customHeight="1">
      <c r="A786" s="174" t="s">
        <v>4156</v>
      </c>
      <c r="B786" s="174" t="s">
        <v>268</v>
      </c>
      <c r="C786" s="189">
        <v>2023.0</v>
      </c>
      <c r="D786" s="175" t="s">
        <v>2834</v>
      </c>
      <c r="E786" s="174" t="s">
        <v>2818</v>
      </c>
      <c r="F786" s="190">
        <v>969784.9</v>
      </c>
      <c r="G786" s="191">
        <f>IFERROR(__xludf.DUMMYFUNCTION("F786 * GOOGLEFINANCE(""CURRENCY:MXNUSD"")"),57034.504646350004)</f>
        <v>57034.50465</v>
      </c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22.5" customHeight="1">
      <c r="A787" s="174" t="s">
        <v>4157</v>
      </c>
      <c r="B787" s="174" t="s">
        <v>268</v>
      </c>
      <c r="C787" s="189">
        <v>2023.0</v>
      </c>
      <c r="D787" s="175" t="s">
        <v>2585</v>
      </c>
      <c r="E787" s="174" t="s">
        <v>2818</v>
      </c>
      <c r="F787" s="190">
        <v>969784.9</v>
      </c>
      <c r="G787" s="191">
        <f>IFERROR(__xludf.DUMMYFUNCTION("F787 * GOOGLEFINANCE(""CURRENCY:MXNUSD"")"),57034.504646350004)</f>
        <v>57034.50465</v>
      </c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22.5" customHeight="1">
      <c r="A788" s="174" t="s">
        <v>4158</v>
      </c>
      <c r="B788" s="174" t="s">
        <v>268</v>
      </c>
      <c r="C788" s="189">
        <v>2023.0</v>
      </c>
      <c r="D788" s="175" t="s">
        <v>2594</v>
      </c>
      <c r="E788" s="174" t="s">
        <v>2818</v>
      </c>
      <c r="F788" s="190">
        <v>969784.9</v>
      </c>
      <c r="G788" s="191">
        <f>IFERROR(__xludf.DUMMYFUNCTION("F788 * GOOGLEFINANCE(""CURRENCY:MXNUSD"")"),57034.504646350004)</f>
        <v>57034.50465</v>
      </c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22.5" customHeight="1">
      <c r="A789" s="174" t="s">
        <v>4159</v>
      </c>
      <c r="B789" s="174" t="s">
        <v>268</v>
      </c>
      <c r="C789" s="189">
        <v>2023.0</v>
      </c>
      <c r="D789" s="175" t="s">
        <v>2739</v>
      </c>
      <c r="E789" s="174" t="s">
        <v>2818</v>
      </c>
      <c r="F789" s="190">
        <v>969784.9</v>
      </c>
      <c r="G789" s="191">
        <f>IFERROR(__xludf.DUMMYFUNCTION("F789 * GOOGLEFINANCE(""CURRENCY:MXNUSD"")"),57034.504646350004)</f>
        <v>57034.50465</v>
      </c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22.5" customHeight="1">
      <c r="A790" s="174" t="s">
        <v>4160</v>
      </c>
      <c r="B790" s="174" t="s">
        <v>268</v>
      </c>
      <c r="C790" s="189">
        <v>2023.0</v>
      </c>
      <c r="D790" s="175" t="s">
        <v>2541</v>
      </c>
      <c r="E790" s="174" t="s">
        <v>2818</v>
      </c>
      <c r="F790" s="190">
        <v>2319071.56</v>
      </c>
      <c r="G790" s="191">
        <f>IFERROR(__xludf.DUMMYFUNCTION("F790 * GOOGLEFINANCE(""CURRENCY:MXNUSD"")"),136388.07705094002)</f>
        <v>136388.0771</v>
      </c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22.5" customHeight="1">
      <c r="A791" s="174" t="s">
        <v>4161</v>
      </c>
      <c r="B791" s="174" t="s">
        <v>268</v>
      </c>
      <c r="C791" s="189">
        <v>2023.0</v>
      </c>
      <c r="D791" s="175" t="s">
        <v>2553</v>
      </c>
      <c r="E791" s="174" t="s">
        <v>2818</v>
      </c>
      <c r="F791" s="190">
        <v>2319071.56</v>
      </c>
      <c r="G791" s="191">
        <f>IFERROR(__xludf.DUMMYFUNCTION("F791 * GOOGLEFINANCE(""CURRENCY:MXNUSD"")"),136388.07705094002)</f>
        <v>136388.0771</v>
      </c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22.5" customHeight="1">
      <c r="A792" s="174" t="s">
        <v>4162</v>
      </c>
      <c r="B792" s="174" t="s">
        <v>268</v>
      </c>
      <c r="C792" s="189">
        <v>2023.0</v>
      </c>
      <c r="D792" s="175" t="s">
        <v>2573</v>
      </c>
      <c r="E792" s="174" t="s">
        <v>2818</v>
      </c>
      <c r="F792" s="190">
        <v>2319071.56</v>
      </c>
      <c r="G792" s="191">
        <f>IFERROR(__xludf.DUMMYFUNCTION("F792 * GOOGLEFINANCE(""CURRENCY:MXNUSD"")"),136388.07705094002)</f>
        <v>136388.0771</v>
      </c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22.5" customHeight="1">
      <c r="A793" s="174" t="s">
        <v>4163</v>
      </c>
      <c r="B793" s="174" t="s">
        <v>268</v>
      </c>
      <c r="C793" s="189">
        <v>2023.0</v>
      </c>
      <c r="D793" s="175" t="s">
        <v>2593</v>
      </c>
      <c r="E793" s="174" t="s">
        <v>2818</v>
      </c>
      <c r="F793" s="190">
        <v>2319071.56</v>
      </c>
      <c r="G793" s="191">
        <f>IFERROR(__xludf.DUMMYFUNCTION("F793 * GOOGLEFINANCE(""CURRENCY:MXNUSD"")"),136388.07705094002)</f>
        <v>136388.0771</v>
      </c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22.5" customHeight="1">
      <c r="A794" s="174" t="s">
        <v>4164</v>
      </c>
      <c r="B794" s="174" t="s">
        <v>268</v>
      </c>
      <c r="C794" s="189">
        <v>2023.0</v>
      </c>
      <c r="D794" s="175" t="s">
        <v>2616</v>
      </c>
      <c r="E794" s="174" t="s">
        <v>2818</v>
      </c>
      <c r="F794" s="190">
        <v>2319071.56</v>
      </c>
      <c r="G794" s="191">
        <f>IFERROR(__xludf.DUMMYFUNCTION("F794 * GOOGLEFINANCE(""CURRENCY:MXNUSD"")"),136388.07705094002)</f>
        <v>136388.0771</v>
      </c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22.5" customHeight="1">
      <c r="A795" s="174" t="s">
        <v>4165</v>
      </c>
      <c r="B795" s="174" t="s">
        <v>268</v>
      </c>
      <c r="C795" s="189">
        <v>2023.0</v>
      </c>
      <c r="D795" s="175" t="s">
        <v>2742</v>
      </c>
      <c r="E795" s="174" t="s">
        <v>2818</v>
      </c>
      <c r="F795" s="190">
        <v>2319071.56</v>
      </c>
      <c r="G795" s="191">
        <f>IFERROR(__xludf.DUMMYFUNCTION("F795 * GOOGLEFINANCE(""CURRENCY:MXNUSD"")"),136388.07705094002)</f>
        <v>136388.0771</v>
      </c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22.5" customHeight="1">
      <c r="A796" s="174" t="s">
        <v>4166</v>
      </c>
      <c r="B796" s="174" t="s">
        <v>268</v>
      </c>
      <c r="C796" s="189">
        <v>2023.0</v>
      </c>
      <c r="D796" s="175" t="s">
        <v>2496</v>
      </c>
      <c r="E796" s="174" t="s">
        <v>2818</v>
      </c>
      <c r="F796" s="190">
        <v>2319071.56</v>
      </c>
      <c r="G796" s="191">
        <f>IFERROR(__xludf.DUMMYFUNCTION("F796 * GOOGLEFINANCE(""CURRENCY:MXNUSD"")"),136388.07705094002)</f>
        <v>136388.0771</v>
      </c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22.5" customHeight="1">
      <c r="A797" s="174" t="s">
        <v>4167</v>
      </c>
      <c r="B797" s="174" t="s">
        <v>268</v>
      </c>
      <c r="C797" s="189">
        <v>2024.0</v>
      </c>
      <c r="D797" s="175" t="s">
        <v>2495</v>
      </c>
      <c r="E797" s="174" t="s">
        <v>2818</v>
      </c>
      <c r="F797" s="190">
        <v>2419254.72</v>
      </c>
      <c r="G797" s="191">
        <f>IFERROR(__xludf.DUMMYFUNCTION("F797 * GOOGLEFINANCE(""CURRENCY:MXNUSD"")"),142279.99896528)</f>
        <v>142279.999</v>
      </c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22.5" customHeight="1">
      <c r="A798" s="174" t="s">
        <v>4168</v>
      </c>
      <c r="B798" s="174" t="s">
        <v>268</v>
      </c>
      <c r="C798" s="189">
        <v>2024.0</v>
      </c>
      <c r="D798" s="175" t="s">
        <v>2834</v>
      </c>
      <c r="E798" s="174" t="s">
        <v>2818</v>
      </c>
      <c r="F798" s="190">
        <v>2419254.72</v>
      </c>
      <c r="G798" s="191">
        <f>IFERROR(__xludf.DUMMYFUNCTION("F798 * GOOGLEFINANCE(""CURRENCY:MXNUSD"")"),142279.99896528)</f>
        <v>142279.999</v>
      </c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22.5" customHeight="1">
      <c r="A799" s="174" t="s">
        <v>4169</v>
      </c>
      <c r="B799" s="174" t="s">
        <v>268</v>
      </c>
      <c r="C799" s="189">
        <v>2024.0</v>
      </c>
      <c r="D799" s="175" t="s">
        <v>2585</v>
      </c>
      <c r="E799" s="174" t="s">
        <v>2818</v>
      </c>
      <c r="F799" s="190">
        <v>2419254.72</v>
      </c>
      <c r="G799" s="191">
        <f>IFERROR(__xludf.DUMMYFUNCTION("F799 * GOOGLEFINANCE(""CURRENCY:MXNUSD"")"),142279.99896528)</f>
        <v>142279.999</v>
      </c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22.5" customHeight="1">
      <c r="A800" s="174" t="s">
        <v>4170</v>
      </c>
      <c r="B800" s="174" t="s">
        <v>268</v>
      </c>
      <c r="C800" s="189">
        <v>2024.0</v>
      </c>
      <c r="D800" s="175" t="s">
        <v>2594</v>
      </c>
      <c r="E800" s="174" t="s">
        <v>2818</v>
      </c>
      <c r="F800" s="190">
        <v>2419254.72</v>
      </c>
      <c r="G800" s="191">
        <f>IFERROR(__xludf.DUMMYFUNCTION("F800 * GOOGLEFINANCE(""CURRENCY:MXNUSD"")"),142279.99896528)</f>
        <v>142279.999</v>
      </c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22.5" customHeight="1">
      <c r="A801" s="174" t="s">
        <v>4171</v>
      </c>
      <c r="B801" s="174" t="s">
        <v>268</v>
      </c>
      <c r="C801" s="189">
        <v>2024.0</v>
      </c>
      <c r="D801" s="175" t="s">
        <v>2739</v>
      </c>
      <c r="E801" s="174" t="s">
        <v>2818</v>
      </c>
      <c r="F801" s="190">
        <v>2419254.72</v>
      </c>
      <c r="G801" s="191">
        <f>IFERROR(__xludf.DUMMYFUNCTION("F801 * GOOGLEFINANCE(""CURRENCY:MXNUSD"")"),142279.99896528)</f>
        <v>142279.999</v>
      </c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22.5" customHeight="1">
      <c r="A802" s="174" t="s">
        <v>4172</v>
      </c>
      <c r="B802" s="174" t="s">
        <v>268</v>
      </c>
      <c r="C802" s="189">
        <v>2024.0</v>
      </c>
      <c r="D802" s="175" t="s">
        <v>2541</v>
      </c>
      <c r="E802" s="174" t="s">
        <v>2818</v>
      </c>
      <c r="F802" s="190">
        <v>2419254.72</v>
      </c>
      <c r="G802" s="191">
        <f>IFERROR(__xludf.DUMMYFUNCTION("F802 * GOOGLEFINANCE(""CURRENCY:MXNUSD"")"),142279.99896528)</f>
        <v>142279.999</v>
      </c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22.5" customHeight="1">
      <c r="A803" s="174" t="s">
        <v>4173</v>
      </c>
      <c r="B803" s="174" t="s">
        <v>268</v>
      </c>
      <c r="C803" s="189">
        <v>2024.0</v>
      </c>
      <c r="D803" s="175" t="s">
        <v>2553</v>
      </c>
      <c r="E803" s="174" t="s">
        <v>2818</v>
      </c>
      <c r="F803" s="190">
        <v>2419254.72</v>
      </c>
      <c r="G803" s="191">
        <f>IFERROR(__xludf.DUMMYFUNCTION("F803 * GOOGLEFINANCE(""CURRENCY:MXNUSD"")"),142279.99896528)</f>
        <v>142279.999</v>
      </c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22.5" customHeight="1">
      <c r="A804" s="174" t="s">
        <v>4174</v>
      </c>
      <c r="B804" s="174" t="s">
        <v>268</v>
      </c>
      <c r="C804" s="189">
        <v>2024.0</v>
      </c>
      <c r="D804" s="175" t="s">
        <v>2573</v>
      </c>
      <c r="E804" s="174" t="s">
        <v>2818</v>
      </c>
      <c r="F804" s="190">
        <v>2419254.72</v>
      </c>
      <c r="G804" s="191">
        <f>IFERROR(__xludf.DUMMYFUNCTION("F804 * GOOGLEFINANCE(""CURRENCY:MXNUSD"")"),142279.99896528)</f>
        <v>142279.999</v>
      </c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22.5" customHeight="1">
      <c r="A805" s="174" t="s">
        <v>4175</v>
      </c>
      <c r="B805" s="174" t="s">
        <v>268</v>
      </c>
      <c r="C805" s="189">
        <v>2024.0</v>
      </c>
      <c r="D805" s="175" t="s">
        <v>2593</v>
      </c>
      <c r="E805" s="174" t="s">
        <v>2818</v>
      </c>
      <c r="F805" s="190">
        <v>2419254.72</v>
      </c>
      <c r="G805" s="191">
        <f>IFERROR(__xludf.DUMMYFUNCTION("F805 * GOOGLEFINANCE(""CURRENCY:MXNUSD"")"),142279.99896528)</f>
        <v>142279.999</v>
      </c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22.5" customHeight="1">
      <c r="A806" s="174" t="s">
        <v>4176</v>
      </c>
      <c r="B806" s="174" t="s">
        <v>268</v>
      </c>
      <c r="C806" s="189">
        <v>2024.0</v>
      </c>
      <c r="D806" s="175" t="s">
        <v>2616</v>
      </c>
      <c r="E806" s="174" t="s">
        <v>2818</v>
      </c>
      <c r="F806" s="190">
        <v>2419254.72</v>
      </c>
      <c r="G806" s="191">
        <f>IFERROR(__xludf.DUMMYFUNCTION("F806 * GOOGLEFINANCE(""CURRENCY:MXNUSD"")"),142279.99896528)</f>
        <v>142279.999</v>
      </c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22.5" customHeight="1">
      <c r="A807" s="174" t="s">
        <v>4177</v>
      </c>
      <c r="B807" s="174" t="s">
        <v>268</v>
      </c>
      <c r="C807" s="189">
        <v>2024.0</v>
      </c>
      <c r="D807" s="175" t="s">
        <v>2742</v>
      </c>
      <c r="E807" s="174" t="s">
        <v>2818</v>
      </c>
      <c r="F807" s="190">
        <v>2419254.72</v>
      </c>
      <c r="G807" s="191">
        <f>IFERROR(__xludf.DUMMYFUNCTION("F807 * GOOGLEFINANCE(""CURRENCY:MXNUSD"")"),142279.99896528)</f>
        <v>142279.999</v>
      </c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22.5" customHeight="1">
      <c r="A808" s="174" t="s">
        <v>4178</v>
      </c>
      <c r="B808" s="174" t="s">
        <v>292</v>
      </c>
      <c r="C808" s="189">
        <v>2018.0</v>
      </c>
      <c r="D808" s="175" t="s">
        <v>2541</v>
      </c>
      <c r="E808" s="174" t="s">
        <v>2818</v>
      </c>
      <c r="F808" s="190">
        <v>137756.28</v>
      </c>
      <c r="G808" s="191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22.5" customHeight="1">
      <c r="A809" s="174" t="s">
        <v>4179</v>
      </c>
      <c r="B809" s="174" t="s">
        <v>292</v>
      </c>
      <c r="C809" s="189">
        <v>2018.0</v>
      </c>
      <c r="D809" s="175" t="s">
        <v>2553</v>
      </c>
      <c r="E809" s="174" t="s">
        <v>2818</v>
      </c>
      <c r="F809" s="190">
        <v>1033172.11</v>
      </c>
      <c r="G809" s="191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22.5" customHeight="1">
      <c r="A810" s="174" t="s">
        <v>4180</v>
      </c>
      <c r="B810" s="174" t="s">
        <v>292</v>
      </c>
      <c r="C810" s="189">
        <v>2018.0</v>
      </c>
      <c r="D810" s="175" t="s">
        <v>2573</v>
      </c>
      <c r="E810" s="174" t="s">
        <v>2818</v>
      </c>
      <c r="F810" s="190">
        <v>1033172.11</v>
      </c>
      <c r="G810" s="191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22.5" customHeight="1">
      <c r="A811" s="174" t="s">
        <v>4181</v>
      </c>
      <c r="B811" s="174" t="s">
        <v>292</v>
      </c>
      <c r="C811" s="189">
        <v>2018.0</v>
      </c>
      <c r="D811" s="175" t="s">
        <v>2593</v>
      </c>
      <c r="E811" s="174" t="s">
        <v>2818</v>
      </c>
      <c r="F811" s="190">
        <v>1033172.11</v>
      </c>
      <c r="G811" s="191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22.5" customHeight="1">
      <c r="A812" s="174" t="s">
        <v>4182</v>
      </c>
      <c r="B812" s="174" t="s">
        <v>292</v>
      </c>
      <c r="C812" s="189">
        <v>2018.0</v>
      </c>
      <c r="D812" s="175" t="s">
        <v>2616</v>
      </c>
      <c r="E812" s="174" t="s">
        <v>2818</v>
      </c>
      <c r="F812" s="190">
        <v>1033172.11</v>
      </c>
      <c r="G812" s="191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22.5" customHeight="1">
      <c r="A813" s="174" t="s">
        <v>4183</v>
      </c>
      <c r="B813" s="174" t="s">
        <v>292</v>
      </c>
      <c r="C813" s="189">
        <v>2018.0</v>
      </c>
      <c r="D813" s="175" t="s">
        <v>2742</v>
      </c>
      <c r="E813" s="174" t="s">
        <v>2818</v>
      </c>
      <c r="F813" s="190">
        <v>1033172.11</v>
      </c>
      <c r="G813" s="191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22.5" customHeight="1">
      <c r="A814" s="174" t="s">
        <v>4184</v>
      </c>
      <c r="B814" s="174" t="s">
        <v>292</v>
      </c>
      <c r="C814" s="189">
        <v>2018.0</v>
      </c>
      <c r="D814" s="175" t="s">
        <v>2496</v>
      </c>
      <c r="E814" s="174" t="s">
        <v>2818</v>
      </c>
      <c r="F814" s="190">
        <v>1033172.11</v>
      </c>
      <c r="G814" s="191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22.5" customHeight="1">
      <c r="A815" s="174" t="s">
        <v>4185</v>
      </c>
      <c r="B815" s="174" t="s">
        <v>292</v>
      </c>
      <c r="C815" s="189">
        <v>2019.0</v>
      </c>
      <c r="D815" s="175" t="s">
        <v>2495</v>
      </c>
      <c r="E815" s="174" t="s">
        <v>2818</v>
      </c>
      <c r="F815" s="190">
        <v>1081937.58</v>
      </c>
      <c r="G815" s="191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22.5" customHeight="1">
      <c r="A816" s="174" t="s">
        <v>4186</v>
      </c>
      <c r="B816" s="174" t="s">
        <v>292</v>
      </c>
      <c r="C816" s="189">
        <v>2019.0</v>
      </c>
      <c r="D816" s="175" t="s">
        <v>2834</v>
      </c>
      <c r="E816" s="174" t="s">
        <v>2818</v>
      </c>
      <c r="F816" s="190">
        <v>1081937.58</v>
      </c>
      <c r="G816" s="191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22.5" customHeight="1">
      <c r="A817" s="174" t="s">
        <v>4187</v>
      </c>
      <c r="B817" s="174" t="s">
        <v>292</v>
      </c>
      <c r="C817" s="189">
        <v>2019.0</v>
      </c>
      <c r="D817" s="175" t="s">
        <v>2585</v>
      </c>
      <c r="E817" s="174" t="s">
        <v>2818</v>
      </c>
      <c r="F817" s="190">
        <v>1081937.58</v>
      </c>
      <c r="G817" s="191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22.5" customHeight="1">
      <c r="A818" s="174" t="s">
        <v>4188</v>
      </c>
      <c r="B818" s="174" t="s">
        <v>292</v>
      </c>
      <c r="C818" s="189">
        <v>2019.0</v>
      </c>
      <c r="D818" s="175" t="s">
        <v>2594</v>
      </c>
      <c r="E818" s="174" t="s">
        <v>2818</v>
      </c>
      <c r="F818" s="190">
        <v>1081937.58</v>
      </c>
      <c r="G818" s="191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22.5" customHeight="1">
      <c r="A819" s="174" t="s">
        <v>4189</v>
      </c>
      <c r="B819" s="174" t="s">
        <v>292</v>
      </c>
      <c r="C819" s="189">
        <v>2019.0</v>
      </c>
      <c r="D819" s="175" t="s">
        <v>2739</v>
      </c>
      <c r="E819" s="174" t="s">
        <v>2818</v>
      </c>
      <c r="F819" s="190">
        <v>1081937.58</v>
      </c>
      <c r="G819" s="191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22.5" customHeight="1">
      <c r="A820" s="174" t="s">
        <v>4190</v>
      </c>
      <c r="B820" s="174" t="s">
        <v>292</v>
      </c>
      <c r="C820" s="189">
        <v>2019.0</v>
      </c>
      <c r="D820" s="175" t="s">
        <v>2541</v>
      </c>
      <c r="E820" s="174" t="s">
        <v>2818</v>
      </c>
      <c r="F820" s="190">
        <v>1081937.58</v>
      </c>
      <c r="G820" s="191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22.5" customHeight="1">
      <c r="A821" s="174" t="s">
        <v>4191</v>
      </c>
      <c r="B821" s="174" t="s">
        <v>292</v>
      </c>
      <c r="C821" s="189">
        <v>2019.0</v>
      </c>
      <c r="D821" s="175" t="s">
        <v>2553</v>
      </c>
      <c r="E821" s="174" t="s">
        <v>2818</v>
      </c>
      <c r="F821" s="190">
        <v>1081937.58</v>
      </c>
      <c r="G821" s="191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22.5" customHeight="1">
      <c r="A822" s="174" t="s">
        <v>4192</v>
      </c>
      <c r="B822" s="174" t="s">
        <v>292</v>
      </c>
      <c r="C822" s="189">
        <v>2019.0</v>
      </c>
      <c r="D822" s="175" t="s">
        <v>2573</v>
      </c>
      <c r="E822" s="174" t="s">
        <v>2818</v>
      </c>
      <c r="F822" s="190">
        <v>1081937.58</v>
      </c>
      <c r="G822" s="191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22.5" customHeight="1">
      <c r="A823" s="174" t="s">
        <v>4193</v>
      </c>
      <c r="B823" s="174" t="s">
        <v>292</v>
      </c>
      <c r="C823" s="189">
        <v>2019.0</v>
      </c>
      <c r="D823" s="175" t="s">
        <v>2593</v>
      </c>
      <c r="E823" s="174" t="s">
        <v>2818</v>
      </c>
      <c r="F823" s="190">
        <v>1081937.58</v>
      </c>
      <c r="G823" s="191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22.5" customHeight="1">
      <c r="A824" s="174" t="s">
        <v>4194</v>
      </c>
      <c r="B824" s="174" t="s">
        <v>292</v>
      </c>
      <c r="C824" s="189">
        <v>2019.0</v>
      </c>
      <c r="D824" s="175" t="s">
        <v>2616</v>
      </c>
      <c r="E824" s="174" t="s">
        <v>2818</v>
      </c>
      <c r="F824" s="190">
        <v>1081937.58</v>
      </c>
      <c r="G824" s="191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22.5" customHeight="1">
      <c r="A825" s="174" t="s">
        <v>4195</v>
      </c>
      <c r="B825" s="174" t="s">
        <v>292</v>
      </c>
      <c r="C825" s="189">
        <v>2019.0</v>
      </c>
      <c r="D825" s="175" t="s">
        <v>2742</v>
      </c>
      <c r="E825" s="174" t="s">
        <v>2818</v>
      </c>
      <c r="F825" s="190">
        <v>1081937.58</v>
      </c>
      <c r="G825" s="191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22.5" customHeight="1">
      <c r="A826" s="174" t="s">
        <v>4196</v>
      </c>
      <c r="B826" s="174" t="s">
        <v>292</v>
      </c>
      <c r="C826" s="189">
        <v>2019.0</v>
      </c>
      <c r="D826" s="175" t="s">
        <v>2496</v>
      </c>
      <c r="E826" s="174" t="s">
        <v>2818</v>
      </c>
      <c r="F826" s="190">
        <v>1081937.58</v>
      </c>
      <c r="G826" s="191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22.5" customHeight="1">
      <c r="A827" s="174" t="s">
        <v>4197</v>
      </c>
      <c r="B827" s="174" t="s">
        <v>292</v>
      </c>
      <c r="C827" s="189">
        <v>2020.0</v>
      </c>
      <c r="D827" s="175" t="s">
        <v>2495</v>
      </c>
      <c r="E827" s="174" t="s">
        <v>2818</v>
      </c>
      <c r="F827" s="190">
        <v>1114072.84</v>
      </c>
      <c r="G827" s="191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22.5" customHeight="1">
      <c r="A828" s="174" t="s">
        <v>4198</v>
      </c>
      <c r="B828" s="174" t="s">
        <v>292</v>
      </c>
      <c r="C828" s="189">
        <v>2020.0</v>
      </c>
      <c r="D828" s="175" t="s">
        <v>2834</v>
      </c>
      <c r="E828" s="174" t="s">
        <v>2818</v>
      </c>
      <c r="F828" s="190">
        <v>1114072.84</v>
      </c>
      <c r="G828" s="191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22.5" customHeight="1">
      <c r="A829" s="174" t="s">
        <v>4199</v>
      </c>
      <c r="B829" s="174" t="s">
        <v>292</v>
      </c>
      <c r="C829" s="189">
        <v>2020.0</v>
      </c>
      <c r="D829" s="175" t="s">
        <v>2585</v>
      </c>
      <c r="E829" s="174" t="s">
        <v>2818</v>
      </c>
      <c r="F829" s="190">
        <v>1114072.84</v>
      </c>
      <c r="G829" s="191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22.5" customHeight="1">
      <c r="A830" s="174" t="s">
        <v>4200</v>
      </c>
      <c r="B830" s="174" t="s">
        <v>292</v>
      </c>
      <c r="C830" s="189">
        <v>2020.0</v>
      </c>
      <c r="D830" s="175" t="s">
        <v>2594</v>
      </c>
      <c r="E830" s="174" t="s">
        <v>2818</v>
      </c>
      <c r="F830" s="190">
        <v>1114072.84</v>
      </c>
      <c r="G830" s="191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22.5" customHeight="1">
      <c r="A831" s="174" t="s">
        <v>4201</v>
      </c>
      <c r="B831" s="174" t="s">
        <v>292</v>
      </c>
      <c r="C831" s="189">
        <v>2020.0</v>
      </c>
      <c r="D831" s="175" t="s">
        <v>2739</v>
      </c>
      <c r="E831" s="174" t="s">
        <v>2818</v>
      </c>
      <c r="F831" s="190">
        <v>1114072.84</v>
      </c>
      <c r="G831" s="191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22.5" customHeight="1">
      <c r="A832" s="174" t="s">
        <v>4202</v>
      </c>
      <c r="B832" s="174" t="s">
        <v>292</v>
      </c>
      <c r="C832" s="189">
        <v>2020.0</v>
      </c>
      <c r="D832" s="175" t="s">
        <v>2541</v>
      </c>
      <c r="E832" s="174" t="s">
        <v>2818</v>
      </c>
      <c r="F832" s="190">
        <v>1114072.84</v>
      </c>
      <c r="G832" s="191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22.5" customHeight="1">
      <c r="A833" s="174" t="s">
        <v>4203</v>
      </c>
      <c r="B833" s="174" t="s">
        <v>292</v>
      </c>
      <c r="C833" s="189">
        <v>2020.0</v>
      </c>
      <c r="D833" s="175" t="s">
        <v>2553</v>
      </c>
      <c r="E833" s="174" t="s">
        <v>2818</v>
      </c>
      <c r="F833" s="190">
        <v>1114072.84</v>
      </c>
      <c r="G833" s="191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22.5" customHeight="1">
      <c r="A834" s="174" t="s">
        <v>4204</v>
      </c>
      <c r="B834" s="174" t="s">
        <v>292</v>
      </c>
      <c r="C834" s="189">
        <v>2020.0</v>
      </c>
      <c r="D834" s="175" t="s">
        <v>2573</v>
      </c>
      <c r="E834" s="174" t="s">
        <v>2818</v>
      </c>
      <c r="F834" s="190">
        <v>1114072.84</v>
      </c>
      <c r="G834" s="191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22.5" customHeight="1">
      <c r="A835" s="174" t="s">
        <v>4205</v>
      </c>
      <c r="B835" s="174" t="s">
        <v>292</v>
      </c>
      <c r="C835" s="189">
        <v>2020.0</v>
      </c>
      <c r="D835" s="175" t="s">
        <v>2593</v>
      </c>
      <c r="E835" s="174" t="s">
        <v>2818</v>
      </c>
      <c r="F835" s="190">
        <v>1114072.84</v>
      </c>
      <c r="G835" s="191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22.5" customHeight="1">
      <c r="A836" s="174" t="s">
        <v>4206</v>
      </c>
      <c r="B836" s="174" t="s">
        <v>292</v>
      </c>
      <c r="C836" s="189">
        <v>2020.0</v>
      </c>
      <c r="D836" s="175" t="s">
        <v>2616</v>
      </c>
      <c r="E836" s="174" t="s">
        <v>2818</v>
      </c>
      <c r="F836" s="190">
        <v>1114072.84</v>
      </c>
      <c r="G836" s="191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22.5" customHeight="1">
      <c r="A837" s="174" t="s">
        <v>4207</v>
      </c>
      <c r="B837" s="174" t="s">
        <v>292</v>
      </c>
      <c r="C837" s="189">
        <v>2020.0</v>
      </c>
      <c r="D837" s="175" t="s">
        <v>2742</v>
      </c>
      <c r="E837" s="174" t="s">
        <v>2818</v>
      </c>
      <c r="F837" s="190">
        <v>1114072.84</v>
      </c>
      <c r="G837" s="191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22.5" customHeight="1">
      <c r="A838" s="174" t="s">
        <v>4208</v>
      </c>
      <c r="B838" s="174" t="s">
        <v>292</v>
      </c>
      <c r="C838" s="189">
        <v>2020.0</v>
      </c>
      <c r="D838" s="175" t="s">
        <v>2496</v>
      </c>
      <c r="E838" s="174" t="s">
        <v>2818</v>
      </c>
      <c r="F838" s="190">
        <v>1114072.84</v>
      </c>
      <c r="G838" s="191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22.5" customHeight="1">
      <c r="A839" s="174" t="s">
        <v>4209</v>
      </c>
      <c r="B839" s="174" t="s">
        <v>292</v>
      </c>
      <c r="C839" s="189">
        <v>2021.0</v>
      </c>
      <c r="D839" s="175" t="s">
        <v>2495</v>
      </c>
      <c r="E839" s="174" t="s">
        <v>2818</v>
      </c>
      <c r="F839" s="190">
        <v>1151171.63</v>
      </c>
      <c r="G839" s="191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22.5" customHeight="1">
      <c r="A840" s="174" t="s">
        <v>4210</v>
      </c>
      <c r="B840" s="174" t="s">
        <v>292</v>
      </c>
      <c r="C840" s="189">
        <v>2021.0</v>
      </c>
      <c r="D840" s="175" t="s">
        <v>2834</v>
      </c>
      <c r="E840" s="174" t="s">
        <v>2818</v>
      </c>
      <c r="F840" s="190">
        <v>1151171.63</v>
      </c>
      <c r="G840" s="191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22.5" customHeight="1">
      <c r="A841" s="174" t="s">
        <v>4211</v>
      </c>
      <c r="B841" s="174" t="s">
        <v>292</v>
      </c>
      <c r="C841" s="189">
        <v>2021.0</v>
      </c>
      <c r="D841" s="175" t="s">
        <v>2585</v>
      </c>
      <c r="E841" s="174" t="s">
        <v>2818</v>
      </c>
      <c r="F841" s="190">
        <v>1151171.63</v>
      </c>
      <c r="G841" s="191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22.5" customHeight="1">
      <c r="A842" s="174" t="s">
        <v>4212</v>
      </c>
      <c r="B842" s="174" t="s">
        <v>292</v>
      </c>
      <c r="C842" s="189">
        <v>2021.0</v>
      </c>
      <c r="D842" s="175" t="s">
        <v>2594</v>
      </c>
      <c r="E842" s="174" t="s">
        <v>2818</v>
      </c>
      <c r="F842" s="190">
        <v>1151171.63</v>
      </c>
      <c r="G842" s="191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22.5" customHeight="1">
      <c r="A843" s="174" t="s">
        <v>4213</v>
      </c>
      <c r="B843" s="174" t="s">
        <v>292</v>
      </c>
      <c r="C843" s="189">
        <v>2021.0</v>
      </c>
      <c r="D843" s="175" t="s">
        <v>2739</v>
      </c>
      <c r="E843" s="174" t="s">
        <v>2818</v>
      </c>
      <c r="F843" s="190">
        <v>1151171.63</v>
      </c>
      <c r="G843" s="191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22.5" customHeight="1">
      <c r="A844" s="174" t="s">
        <v>4214</v>
      </c>
      <c r="B844" s="174" t="s">
        <v>292</v>
      </c>
      <c r="C844" s="189">
        <v>2021.0</v>
      </c>
      <c r="D844" s="175" t="s">
        <v>2541</v>
      </c>
      <c r="E844" s="174" t="s">
        <v>2818</v>
      </c>
      <c r="F844" s="190">
        <v>1151171.63</v>
      </c>
      <c r="G844" s="191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22.5" customHeight="1">
      <c r="A845" s="174" t="s">
        <v>4215</v>
      </c>
      <c r="B845" s="174" t="s">
        <v>292</v>
      </c>
      <c r="C845" s="189">
        <v>2021.0</v>
      </c>
      <c r="D845" s="175" t="s">
        <v>2553</v>
      </c>
      <c r="E845" s="174" t="s">
        <v>2818</v>
      </c>
      <c r="F845" s="190">
        <v>1151171.63</v>
      </c>
      <c r="G845" s="191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22.5" customHeight="1">
      <c r="A846" s="174" t="s">
        <v>4216</v>
      </c>
      <c r="B846" s="174" t="s">
        <v>292</v>
      </c>
      <c r="C846" s="189">
        <v>2021.0</v>
      </c>
      <c r="D846" s="175" t="s">
        <v>2573</v>
      </c>
      <c r="E846" s="174" t="s">
        <v>2818</v>
      </c>
      <c r="F846" s="190">
        <v>1151171.63</v>
      </c>
      <c r="G846" s="191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22.5" customHeight="1">
      <c r="A847" s="174" t="s">
        <v>4217</v>
      </c>
      <c r="B847" s="174" t="s">
        <v>292</v>
      </c>
      <c r="C847" s="189">
        <v>2021.0</v>
      </c>
      <c r="D847" s="175" t="s">
        <v>2593</v>
      </c>
      <c r="E847" s="174" t="s">
        <v>2818</v>
      </c>
      <c r="F847" s="190">
        <v>1151171.63</v>
      </c>
      <c r="G847" s="191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22.5" customHeight="1">
      <c r="A848" s="174" t="s">
        <v>4218</v>
      </c>
      <c r="B848" s="174" t="s">
        <v>292</v>
      </c>
      <c r="C848" s="189">
        <v>2021.0</v>
      </c>
      <c r="D848" s="175" t="s">
        <v>2616</v>
      </c>
      <c r="E848" s="174" t="s">
        <v>2818</v>
      </c>
      <c r="F848" s="190">
        <v>1151171.63</v>
      </c>
      <c r="G848" s="191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22.5" customHeight="1">
      <c r="A849" s="174" t="s">
        <v>4219</v>
      </c>
      <c r="B849" s="174" t="s">
        <v>292</v>
      </c>
      <c r="C849" s="189">
        <v>2021.0</v>
      </c>
      <c r="D849" s="175" t="s">
        <v>2742</v>
      </c>
      <c r="E849" s="174" t="s">
        <v>2818</v>
      </c>
      <c r="F849" s="190">
        <v>1151171.63</v>
      </c>
      <c r="G849" s="191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22.5" customHeight="1">
      <c r="A850" s="174" t="s">
        <v>4220</v>
      </c>
      <c r="B850" s="174" t="s">
        <v>292</v>
      </c>
      <c r="C850" s="189">
        <v>2021.0</v>
      </c>
      <c r="D850" s="175" t="s">
        <v>2496</v>
      </c>
      <c r="E850" s="174" t="s">
        <v>2818</v>
      </c>
      <c r="F850" s="190">
        <v>1151171.63</v>
      </c>
      <c r="G850" s="191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22.5" customHeight="1">
      <c r="A851" s="174" t="s">
        <v>4221</v>
      </c>
      <c r="B851" s="174" t="s">
        <v>292</v>
      </c>
      <c r="C851" s="189">
        <v>2022.0</v>
      </c>
      <c r="D851" s="175" t="s">
        <v>2495</v>
      </c>
      <c r="E851" s="174" t="s">
        <v>2818</v>
      </c>
      <c r="F851" s="190">
        <v>1235998.5</v>
      </c>
      <c r="G851" s="191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22.5" customHeight="1">
      <c r="A852" s="174" t="s">
        <v>4222</v>
      </c>
      <c r="B852" s="174" t="s">
        <v>292</v>
      </c>
      <c r="C852" s="189">
        <v>2022.0</v>
      </c>
      <c r="D852" s="175" t="s">
        <v>2834</v>
      </c>
      <c r="E852" s="174" t="s">
        <v>2818</v>
      </c>
      <c r="F852" s="190">
        <v>1235998.5</v>
      </c>
      <c r="G852" s="191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22.5" customHeight="1">
      <c r="A853" s="174" t="s">
        <v>4223</v>
      </c>
      <c r="B853" s="174" t="s">
        <v>292</v>
      </c>
      <c r="C853" s="189">
        <v>2022.0</v>
      </c>
      <c r="D853" s="175" t="s">
        <v>2585</v>
      </c>
      <c r="E853" s="174" t="s">
        <v>2818</v>
      </c>
      <c r="F853" s="190">
        <v>1235998.5</v>
      </c>
      <c r="G853" s="191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22.5" customHeight="1">
      <c r="A854" s="174" t="s">
        <v>4224</v>
      </c>
      <c r="B854" s="174" t="s">
        <v>292</v>
      </c>
      <c r="C854" s="189">
        <v>2022.0</v>
      </c>
      <c r="D854" s="175" t="s">
        <v>2594</v>
      </c>
      <c r="E854" s="174" t="s">
        <v>2818</v>
      </c>
      <c r="F854" s="190">
        <v>1235998.5</v>
      </c>
      <c r="G854" s="191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22.5" customHeight="1">
      <c r="A855" s="174" t="s">
        <v>4225</v>
      </c>
      <c r="B855" s="174" t="s">
        <v>292</v>
      </c>
      <c r="C855" s="189">
        <v>2022.0</v>
      </c>
      <c r="D855" s="175" t="s">
        <v>2739</v>
      </c>
      <c r="E855" s="174" t="s">
        <v>2818</v>
      </c>
      <c r="F855" s="190">
        <v>1235998.5</v>
      </c>
      <c r="G855" s="191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22.5" customHeight="1">
      <c r="A856" s="174" t="s">
        <v>4226</v>
      </c>
      <c r="B856" s="174" t="s">
        <v>292</v>
      </c>
      <c r="C856" s="189">
        <v>2022.0</v>
      </c>
      <c r="D856" s="175" t="s">
        <v>2541</v>
      </c>
      <c r="E856" s="174" t="s">
        <v>2818</v>
      </c>
      <c r="F856" s="190">
        <v>1235998.5</v>
      </c>
      <c r="G856" s="191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22.5" customHeight="1">
      <c r="A857" s="174" t="s">
        <v>4227</v>
      </c>
      <c r="B857" s="174" t="s">
        <v>292</v>
      </c>
      <c r="C857" s="189">
        <v>2022.0</v>
      </c>
      <c r="D857" s="175" t="s">
        <v>2553</v>
      </c>
      <c r="E857" s="174" t="s">
        <v>2818</v>
      </c>
      <c r="F857" s="190">
        <v>1235998.5</v>
      </c>
      <c r="G857" s="191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22.5" customHeight="1">
      <c r="A858" s="174" t="s">
        <v>4228</v>
      </c>
      <c r="B858" s="174" t="s">
        <v>292</v>
      </c>
      <c r="C858" s="189">
        <v>2022.0</v>
      </c>
      <c r="D858" s="175" t="s">
        <v>2573</v>
      </c>
      <c r="E858" s="174" t="s">
        <v>2818</v>
      </c>
      <c r="F858" s="190">
        <v>1235998.5</v>
      </c>
      <c r="G858" s="191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22.5" customHeight="1">
      <c r="A859" s="174" t="s">
        <v>4229</v>
      </c>
      <c r="B859" s="174" t="s">
        <v>292</v>
      </c>
      <c r="C859" s="189">
        <v>2022.0</v>
      </c>
      <c r="D859" s="175" t="s">
        <v>2593</v>
      </c>
      <c r="E859" s="174" t="s">
        <v>2818</v>
      </c>
      <c r="F859" s="190">
        <v>1235998.5</v>
      </c>
      <c r="G859" s="191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22.5" customHeight="1">
      <c r="A860" s="174" t="s">
        <v>4230</v>
      </c>
      <c r="B860" s="174" t="s">
        <v>292</v>
      </c>
      <c r="C860" s="189">
        <v>2022.0</v>
      </c>
      <c r="D860" s="175" t="s">
        <v>2616</v>
      </c>
      <c r="E860" s="174" t="s">
        <v>2818</v>
      </c>
      <c r="F860" s="190">
        <v>1235998.5</v>
      </c>
      <c r="G860" s="191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22.5" customHeight="1">
      <c r="A861" s="174" t="s">
        <v>4231</v>
      </c>
      <c r="B861" s="174" t="s">
        <v>292</v>
      </c>
      <c r="C861" s="189">
        <v>2022.0</v>
      </c>
      <c r="D861" s="175" t="s">
        <v>2742</v>
      </c>
      <c r="E861" s="174" t="s">
        <v>2818</v>
      </c>
      <c r="F861" s="190">
        <v>1235998.5</v>
      </c>
      <c r="G861" s="191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22.5" customHeight="1">
      <c r="A862" s="174" t="s">
        <v>4232</v>
      </c>
      <c r="B862" s="174" t="s">
        <v>292</v>
      </c>
      <c r="C862" s="189">
        <v>2022.0</v>
      </c>
      <c r="D862" s="175" t="s">
        <v>2496</v>
      </c>
      <c r="E862" s="174" t="s">
        <v>2818</v>
      </c>
      <c r="F862" s="190">
        <v>1235998.5</v>
      </c>
      <c r="G862" s="191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22.5" customHeight="1">
      <c r="A863" s="174" t="s">
        <v>4233</v>
      </c>
      <c r="B863" s="174" t="s">
        <v>292</v>
      </c>
      <c r="C863" s="189">
        <v>2023.0</v>
      </c>
      <c r="D863" s="175" t="s">
        <v>2495</v>
      </c>
      <c r="E863" s="174" t="s">
        <v>2818</v>
      </c>
      <c r="F863" s="190">
        <v>1332276.59</v>
      </c>
      <c r="G863" s="191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22.5" customHeight="1">
      <c r="A864" s="174" t="s">
        <v>4234</v>
      </c>
      <c r="B864" s="174" t="s">
        <v>292</v>
      </c>
      <c r="C864" s="189">
        <v>2023.0</v>
      </c>
      <c r="D864" s="175" t="s">
        <v>2834</v>
      </c>
      <c r="E864" s="174" t="s">
        <v>2818</v>
      </c>
      <c r="F864" s="190">
        <v>1332276.59</v>
      </c>
      <c r="G864" s="191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22.5" customHeight="1">
      <c r="A865" s="174" t="s">
        <v>4235</v>
      </c>
      <c r="B865" s="174" t="s">
        <v>292</v>
      </c>
      <c r="C865" s="189">
        <v>2023.0</v>
      </c>
      <c r="D865" s="175" t="s">
        <v>2585</v>
      </c>
      <c r="E865" s="174" t="s">
        <v>2818</v>
      </c>
      <c r="F865" s="190">
        <v>1332276.59</v>
      </c>
      <c r="G865" s="191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22.5" customHeight="1">
      <c r="A866" s="174" t="s">
        <v>4236</v>
      </c>
      <c r="B866" s="174" t="s">
        <v>292</v>
      </c>
      <c r="C866" s="189">
        <v>2023.0</v>
      </c>
      <c r="D866" s="175" t="s">
        <v>2594</v>
      </c>
      <c r="E866" s="174" t="s">
        <v>2818</v>
      </c>
      <c r="F866" s="190">
        <v>1332276.59</v>
      </c>
      <c r="G866" s="191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22.5" customHeight="1">
      <c r="A867" s="174" t="s">
        <v>4237</v>
      </c>
      <c r="B867" s="174" t="s">
        <v>292</v>
      </c>
      <c r="C867" s="189">
        <v>2023.0</v>
      </c>
      <c r="D867" s="175" t="s">
        <v>2739</v>
      </c>
      <c r="E867" s="174" t="s">
        <v>2818</v>
      </c>
      <c r="F867" s="190">
        <v>730603.29</v>
      </c>
      <c r="G867" s="191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22.5" customHeight="1">
      <c r="A868" s="174" t="s">
        <v>4238</v>
      </c>
      <c r="B868" s="174" t="s">
        <v>317</v>
      </c>
      <c r="C868" s="189">
        <v>2018.0</v>
      </c>
      <c r="D868" s="175" t="s">
        <v>2739</v>
      </c>
      <c r="E868" s="174" t="s">
        <v>3139</v>
      </c>
      <c r="F868" s="190">
        <v>3045792.75</v>
      </c>
      <c r="G868" s="191">
        <v>169980.3632</v>
      </c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22.5" customHeight="1">
      <c r="A869" s="174" t="s">
        <v>4239</v>
      </c>
      <c r="B869" s="174" t="s">
        <v>317</v>
      </c>
      <c r="C869" s="189">
        <v>2018.0</v>
      </c>
      <c r="D869" s="175" t="s">
        <v>2541</v>
      </c>
      <c r="E869" s="174" t="s">
        <v>3139</v>
      </c>
      <c r="F869" s="190">
        <v>3776783.0</v>
      </c>
      <c r="G869" s="191">
        <v>210775.6499</v>
      </c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22.5" customHeight="1">
      <c r="A870" s="174" t="s">
        <v>4240</v>
      </c>
      <c r="B870" s="174" t="s">
        <v>317</v>
      </c>
      <c r="C870" s="189">
        <v>2018.0</v>
      </c>
      <c r="D870" s="175" t="s">
        <v>2553</v>
      </c>
      <c r="E870" s="174" t="s">
        <v>3139</v>
      </c>
      <c r="F870" s="190">
        <v>3776783.0</v>
      </c>
      <c r="G870" s="191">
        <v>210775.6499</v>
      </c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22.5" customHeight="1">
      <c r="A871" s="174" t="s">
        <v>4241</v>
      </c>
      <c r="B871" s="174" t="s">
        <v>317</v>
      </c>
      <c r="C871" s="189">
        <v>2018.0</v>
      </c>
      <c r="D871" s="175" t="s">
        <v>2573</v>
      </c>
      <c r="E871" s="174" t="s">
        <v>3139</v>
      </c>
      <c r="F871" s="190">
        <v>3776783.0</v>
      </c>
      <c r="G871" s="191">
        <v>210775.6499</v>
      </c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22.5" customHeight="1">
      <c r="A872" s="174" t="s">
        <v>4242</v>
      </c>
      <c r="B872" s="174" t="s">
        <v>317</v>
      </c>
      <c r="C872" s="189">
        <v>2018.0</v>
      </c>
      <c r="D872" s="175" t="s">
        <v>2593</v>
      </c>
      <c r="E872" s="174" t="s">
        <v>3139</v>
      </c>
      <c r="F872" s="190">
        <v>3776783.0</v>
      </c>
      <c r="G872" s="191">
        <v>210775.6499</v>
      </c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22.5" customHeight="1">
      <c r="A873" s="174" t="s">
        <v>4243</v>
      </c>
      <c r="B873" s="174" t="s">
        <v>317</v>
      </c>
      <c r="C873" s="189">
        <v>2018.0</v>
      </c>
      <c r="D873" s="175" t="s">
        <v>2616</v>
      </c>
      <c r="E873" s="174" t="s">
        <v>3139</v>
      </c>
      <c r="F873" s="190">
        <v>3776783.0</v>
      </c>
      <c r="G873" s="191">
        <v>210775.6499</v>
      </c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22.5" customHeight="1">
      <c r="A874" s="174" t="s">
        <v>4244</v>
      </c>
      <c r="B874" s="174" t="s">
        <v>317</v>
      </c>
      <c r="C874" s="189">
        <v>2018.0</v>
      </c>
      <c r="D874" s="175" t="s">
        <v>2742</v>
      </c>
      <c r="E874" s="174" t="s">
        <v>3139</v>
      </c>
      <c r="F874" s="190">
        <v>3776783.0</v>
      </c>
      <c r="G874" s="191">
        <v>210775.6499</v>
      </c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22.5" customHeight="1">
      <c r="A875" s="174" t="s">
        <v>4245</v>
      </c>
      <c r="B875" s="174" t="s">
        <v>317</v>
      </c>
      <c r="C875" s="189">
        <v>2018.0</v>
      </c>
      <c r="D875" s="175" t="s">
        <v>2496</v>
      </c>
      <c r="E875" s="174" t="s">
        <v>3139</v>
      </c>
      <c r="F875" s="190">
        <v>3776783.0</v>
      </c>
      <c r="G875" s="191">
        <v>210775.6499</v>
      </c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22.5" customHeight="1">
      <c r="A876" s="174" t="s">
        <v>4246</v>
      </c>
      <c r="B876" s="174" t="s">
        <v>317</v>
      </c>
      <c r="C876" s="189">
        <v>2019.0</v>
      </c>
      <c r="D876" s="175" t="s">
        <v>2495</v>
      </c>
      <c r="E876" s="174" t="s">
        <v>3139</v>
      </c>
      <c r="F876" s="190">
        <v>3955046.25</v>
      </c>
      <c r="G876" s="191">
        <v>220724.2099</v>
      </c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22.5" customHeight="1">
      <c r="A877" s="174" t="s">
        <v>4247</v>
      </c>
      <c r="B877" s="174" t="s">
        <v>317</v>
      </c>
      <c r="C877" s="189">
        <v>2019.0</v>
      </c>
      <c r="D877" s="175" t="s">
        <v>2834</v>
      </c>
      <c r="E877" s="174" t="s">
        <v>3139</v>
      </c>
      <c r="F877" s="190">
        <v>3955046.25</v>
      </c>
      <c r="G877" s="191">
        <v>220724.2099</v>
      </c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22.5" customHeight="1">
      <c r="A878" s="174" t="s">
        <v>4248</v>
      </c>
      <c r="B878" s="174" t="s">
        <v>317</v>
      </c>
      <c r="C878" s="189">
        <v>2019.0</v>
      </c>
      <c r="D878" s="175" t="s">
        <v>2585</v>
      </c>
      <c r="E878" s="174" t="s">
        <v>3139</v>
      </c>
      <c r="F878" s="190">
        <v>3955046.25</v>
      </c>
      <c r="G878" s="191">
        <v>220724.2099</v>
      </c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22.5" customHeight="1">
      <c r="A879" s="174" t="s">
        <v>4249</v>
      </c>
      <c r="B879" s="174" t="s">
        <v>317</v>
      </c>
      <c r="C879" s="189">
        <v>2019.0</v>
      </c>
      <c r="D879" s="175" t="s">
        <v>2594</v>
      </c>
      <c r="E879" s="174" t="s">
        <v>3139</v>
      </c>
      <c r="F879" s="190">
        <v>3955046.25</v>
      </c>
      <c r="G879" s="191">
        <v>220724.2099</v>
      </c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22.5" customHeight="1">
      <c r="A880" s="174" t="s">
        <v>4250</v>
      </c>
      <c r="B880" s="174" t="s">
        <v>317</v>
      </c>
      <c r="C880" s="189">
        <v>2019.0</v>
      </c>
      <c r="D880" s="175" t="s">
        <v>2739</v>
      </c>
      <c r="E880" s="174" t="s">
        <v>3139</v>
      </c>
      <c r="F880" s="190">
        <v>3955046.25</v>
      </c>
      <c r="G880" s="191">
        <v>220724.2099</v>
      </c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22.5" customHeight="1">
      <c r="A881" s="174" t="s">
        <v>4251</v>
      </c>
      <c r="B881" s="174" t="s">
        <v>317</v>
      </c>
      <c r="C881" s="189">
        <v>2019.0</v>
      </c>
      <c r="D881" s="175" t="s">
        <v>2541</v>
      </c>
      <c r="E881" s="174" t="s">
        <v>3139</v>
      </c>
      <c r="F881" s="190">
        <v>3955046.25</v>
      </c>
      <c r="G881" s="191">
        <v>220724.2099</v>
      </c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22.5" customHeight="1">
      <c r="A882" s="174" t="s">
        <v>4252</v>
      </c>
      <c r="B882" s="174" t="s">
        <v>317</v>
      </c>
      <c r="C882" s="189">
        <v>2019.0</v>
      </c>
      <c r="D882" s="175" t="s">
        <v>2553</v>
      </c>
      <c r="E882" s="174" t="s">
        <v>3139</v>
      </c>
      <c r="F882" s="190">
        <v>3955046.25</v>
      </c>
      <c r="G882" s="191">
        <v>220724.2099</v>
      </c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22.5" customHeight="1">
      <c r="A883" s="174" t="s">
        <v>4253</v>
      </c>
      <c r="B883" s="174" t="s">
        <v>317</v>
      </c>
      <c r="C883" s="189">
        <v>2019.0</v>
      </c>
      <c r="D883" s="175" t="s">
        <v>2573</v>
      </c>
      <c r="E883" s="174" t="s">
        <v>3139</v>
      </c>
      <c r="F883" s="190">
        <v>3955046.25</v>
      </c>
      <c r="G883" s="191">
        <v>220724.2099</v>
      </c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22.5" customHeight="1">
      <c r="A884" s="174" t="s">
        <v>4254</v>
      </c>
      <c r="B884" s="174" t="s">
        <v>317</v>
      </c>
      <c r="C884" s="189">
        <v>2019.0</v>
      </c>
      <c r="D884" s="175" t="s">
        <v>2593</v>
      </c>
      <c r="E884" s="174" t="s">
        <v>3139</v>
      </c>
      <c r="F884" s="190">
        <v>3955046.25</v>
      </c>
      <c r="G884" s="191">
        <v>220724.2099</v>
      </c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22.5" customHeight="1">
      <c r="A885" s="174" t="s">
        <v>4255</v>
      </c>
      <c r="B885" s="174" t="s">
        <v>317</v>
      </c>
      <c r="C885" s="189">
        <v>2019.0</v>
      </c>
      <c r="D885" s="175" t="s">
        <v>2616</v>
      </c>
      <c r="E885" s="174" t="s">
        <v>3139</v>
      </c>
      <c r="F885" s="190">
        <v>3955046.25</v>
      </c>
      <c r="G885" s="191">
        <v>220724.2099</v>
      </c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22.5" customHeight="1">
      <c r="A886" s="174" t="s">
        <v>4256</v>
      </c>
      <c r="B886" s="174" t="s">
        <v>317</v>
      </c>
      <c r="C886" s="189">
        <v>2019.0</v>
      </c>
      <c r="D886" s="175" t="s">
        <v>2742</v>
      </c>
      <c r="E886" s="174" t="s">
        <v>3139</v>
      </c>
      <c r="F886" s="190">
        <v>3955046.25</v>
      </c>
      <c r="G886" s="191">
        <v>220724.2099</v>
      </c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22.5" customHeight="1">
      <c r="A887" s="174" t="s">
        <v>4257</v>
      </c>
      <c r="B887" s="174" t="s">
        <v>317</v>
      </c>
      <c r="C887" s="189">
        <v>2019.0</v>
      </c>
      <c r="D887" s="175" t="s">
        <v>2496</v>
      </c>
      <c r="E887" s="174" t="s">
        <v>3139</v>
      </c>
      <c r="F887" s="190">
        <v>3955046.25</v>
      </c>
      <c r="G887" s="191">
        <v>220724.2099</v>
      </c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22.5" customHeight="1">
      <c r="A888" s="174" t="s">
        <v>4258</v>
      </c>
      <c r="B888" s="174" t="s">
        <v>317</v>
      </c>
      <c r="C888" s="189">
        <v>2020.0</v>
      </c>
      <c r="D888" s="175" t="s">
        <v>2495</v>
      </c>
      <c r="E888" s="174" t="s">
        <v>3139</v>
      </c>
      <c r="F888" s="190">
        <v>4072517.39</v>
      </c>
      <c r="G888" s="191">
        <v>227280.0686</v>
      </c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22.5" customHeight="1">
      <c r="A889" s="174" t="s">
        <v>4259</v>
      </c>
      <c r="B889" s="174" t="s">
        <v>317</v>
      </c>
      <c r="C889" s="189">
        <v>2020.0</v>
      </c>
      <c r="D889" s="175" t="s">
        <v>2834</v>
      </c>
      <c r="E889" s="174" t="s">
        <v>3139</v>
      </c>
      <c r="F889" s="190">
        <v>4072517.39</v>
      </c>
      <c r="G889" s="191">
        <v>227280.0686</v>
      </c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22.5" customHeight="1">
      <c r="A890" s="174" t="s">
        <v>4260</v>
      </c>
      <c r="B890" s="174" t="s">
        <v>317</v>
      </c>
      <c r="C890" s="189">
        <v>2020.0</v>
      </c>
      <c r="D890" s="175" t="s">
        <v>2585</v>
      </c>
      <c r="E890" s="174" t="s">
        <v>3139</v>
      </c>
      <c r="F890" s="190">
        <v>4072517.39</v>
      </c>
      <c r="G890" s="191">
        <v>227280.0686</v>
      </c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22.5" customHeight="1">
      <c r="A891" s="174" t="s">
        <v>4261</v>
      </c>
      <c r="B891" s="174" t="s">
        <v>317</v>
      </c>
      <c r="C891" s="189">
        <v>2020.0</v>
      </c>
      <c r="D891" s="175" t="s">
        <v>2594</v>
      </c>
      <c r="E891" s="174" t="s">
        <v>3139</v>
      </c>
      <c r="F891" s="190">
        <v>4072517.39</v>
      </c>
      <c r="G891" s="191">
        <v>227280.0686</v>
      </c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22.5" customHeight="1">
      <c r="A892" s="174" t="s">
        <v>4262</v>
      </c>
      <c r="B892" s="174" t="s">
        <v>317</v>
      </c>
      <c r="C892" s="189">
        <v>2020.0</v>
      </c>
      <c r="D892" s="175" t="s">
        <v>2739</v>
      </c>
      <c r="E892" s="174" t="s">
        <v>3139</v>
      </c>
      <c r="F892" s="190">
        <v>4072517.39</v>
      </c>
      <c r="G892" s="191">
        <v>227280.0686</v>
      </c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22.5" customHeight="1">
      <c r="A893" s="174" t="s">
        <v>4263</v>
      </c>
      <c r="B893" s="174" t="s">
        <v>317</v>
      </c>
      <c r="C893" s="189">
        <v>2020.0</v>
      </c>
      <c r="D893" s="175" t="s">
        <v>2541</v>
      </c>
      <c r="E893" s="174" t="s">
        <v>3139</v>
      </c>
      <c r="F893" s="190">
        <v>4072517.39</v>
      </c>
      <c r="G893" s="191">
        <v>227280.0686</v>
      </c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22.5" customHeight="1">
      <c r="A894" s="174" t="s">
        <v>4264</v>
      </c>
      <c r="B894" s="174" t="s">
        <v>317</v>
      </c>
      <c r="C894" s="189">
        <v>2020.0</v>
      </c>
      <c r="D894" s="175" t="s">
        <v>2553</v>
      </c>
      <c r="E894" s="174" t="s">
        <v>3139</v>
      </c>
      <c r="F894" s="190">
        <v>4072517.39</v>
      </c>
      <c r="G894" s="191">
        <v>227280.0686</v>
      </c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22.5" customHeight="1">
      <c r="A895" s="174" t="s">
        <v>4265</v>
      </c>
      <c r="B895" s="174" t="s">
        <v>317</v>
      </c>
      <c r="C895" s="189">
        <v>2020.0</v>
      </c>
      <c r="D895" s="175" t="s">
        <v>2573</v>
      </c>
      <c r="E895" s="174" t="s">
        <v>3139</v>
      </c>
      <c r="F895" s="190">
        <v>4072517.39</v>
      </c>
      <c r="G895" s="191">
        <v>227280.0686</v>
      </c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22.5" customHeight="1">
      <c r="A896" s="174" t="s">
        <v>4266</v>
      </c>
      <c r="B896" s="174" t="s">
        <v>317</v>
      </c>
      <c r="C896" s="189">
        <v>2020.0</v>
      </c>
      <c r="D896" s="175" t="s">
        <v>2593</v>
      </c>
      <c r="E896" s="174" t="s">
        <v>3139</v>
      </c>
      <c r="F896" s="190">
        <v>4072517.39</v>
      </c>
      <c r="G896" s="191">
        <v>227280.0686</v>
      </c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22.5" customHeight="1">
      <c r="A897" s="174" t="s">
        <v>4267</v>
      </c>
      <c r="B897" s="174" t="s">
        <v>317</v>
      </c>
      <c r="C897" s="189">
        <v>2020.0</v>
      </c>
      <c r="D897" s="175" t="s">
        <v>2616</v>
      </c>
      <c r="E897" s="174" t="s">
        <v>3139</v>
      </c>
      <c r="F897" s="190">
        <v>4072517.39</v>
      </c>
      <c r="G897" s="191">
        <v>227280.0686</v>
      </c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22.5" customHeight="1">
      <c r="A898" s="174" t="s">
        <v>4268</v>
      </c>
      <c r="B898" s="174" t="s">
        <v>317</v>
      </c>
      <c r="C898" s="189">
        <v>2020.0</v>
      </c>
      <c r="D898" s="175" t="s">
        <v>2742</v>
      </c>
      <c r="E898" s="174" t="s">
        <v>3139</v>
      </c>
      <c r="F898" s="190">
        <v>4072517.39</v>
      </c>
      <c r="G898" s="191">
        <v>227280.0686</v>
      </c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22.5" customHeight="1">
      <c r="A899" s="174" t="s">
        <v>4269</v>
      </c>
      <c r="B899" s="174" t="s">
        <v>317</v>
      </c>
      <c r="C899" s="189">
        <v>2020.0</v>
      </c>
      <c r="D899" s="175" t="s">
        <v>2496</v>
      </c>
      <c r="E899" s="174" t="s">
        <v>3139</v>
      </c>
      <c r="F899" s="190">
        <v>4072517.39</v>
      </c>
      <c r="G899" s="191">
        <v>227280.0686</v>
      </c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22.5" customHeight="1">
      <c r="A900" s="174" t="s">
        <v>4270</v>
      </c>
      <c r="B900" s="174" t="s">
        <v>317</v>
      </c>
      <c r="C900" s="189">
        <v>2021.0</v>
      </c>
      <c r="D900" s="175" t="s">
        <v>2495</v>
      </c>
      <c r="E900" s="174" t="s">
        <v>3139</v>
      </c>
      <c r="F900" s="190">
        <v>4208132.81</v>
      </c>
      <c r="G900" s="191">
        <v>234848.5279</v>
      </c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22.5" customHeight="1">
      <c r="A901" s="174" t="s">
        <v>4271</v>
      </c>
      <c r="B901" s="174" t="s">
        <v>317</v>
      </c>
      <c r="C901" s="189">
        <v>2021.0</v>
      </c>
      <c r="D901" s="175" t="s">
        <v>2834</v>
      </c>
      <c r="E901" s="174" t="s">
        <v>3139</v>
      </c>
      <c r="F901" s="190">
        <v>4208132.81</v>
      </c>
      <c r="G901" s="191">
        <v>234848.5279</v>
      </c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22.5" customHeight="1">
      <c r="A902" s="174" t="s">
        <v>4272</v>
      </c>
      <c r="B902" s="174" t="s">
        <v>317</v>
      </c>
      <c r="C902" s="189">
        <v>2021.0</v>
      </c>
      <c r="D902" s="175" t="s">
        <v>2585</v>
      </c>
      <c r="E902" s="174" t="s">
        <v>3139</v>
      </c>
      <c r="F902" s="190">
        <v>4208132.81</v>
      </c>
      <c r="G902" s="191">
        <v>234848.5279</v>
      </c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22.5" customHeight="1">
      <c r="A903" s="174" t="s">
        <v>4273</v>
      </c>
      <c r="B903" s="174" t="s">
        <v>317</v>
      </c>
      <c r="C903" s="189">
        <v>2021.0</v>
      </c>
      <c r="D903" s="175" t="s">
        <v>2594</v>
      </c>
      <c r="E903" s="174" t="s">
        <v>3139</v>
      </c>
      <c r="F903" s="190">
        <v>4208132.81</v>
      </c>
      <c r="G903" s="191">
        <v>234848.5279</v>
      </c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22.5" customHeight="1">
      <c r="A904" s="174" t="s">
        <v>4274</v>
      </c>
      <c r="B904" s="174" t="s">
        <v>317</v>
      </c>
      <c r="C904" s="189">
        <v>2021.0</v>
      </c>
      <c r="D904" s="175" t="s">
        <v>2739</v>
      </c>
      <c r="E904" s="174" t="s">
        <v>3139</v>
      </c>
      <c r="F904" s="190">
        <v>4208132.81</v>
      </c>
      <c r="G904" s="191">
        <v>234848.5279</v>
      </c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22.5" customHeight="1">
      <c r="A905" s="174" t="s">
        <v>4275</v>
      </c>
      <c r="B905" s="174" t="s">
        <v>317</v>
      </c>
      <c r="C905" s="189">
        <v>2021.0</v>
      </c>
      <c r="D905" s="175" t="s">
        <v>2541</v>
      </c>
      <c r="E905" s="174" t="s">
        <v>3139</v>
      </c>
      <c r="F905" s="190">
        <v>4208132.81</v>
      </c>
      <c r="G905" s="191">
        <v>234848.5279</v>
      </c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22.5" customHeight="1">
      <c r="A906" s="174" t="s">
        <v>4276</v>
      </c>
      <c r="B906" s="174" t="s">
        <v>317</v>
      </c>
      <c r="C906" s="189">
        <v>2021.0</v>
      </c>
      <c r="D906" s="175" t="s">
        <v>2553</v>
      </c>
      <c r="E906" s="174" t="s">
        <v>3139</v>
      </c>
      <c r="F906" s="190">
        <v>4208132.81</v>
      </c>
      <c r="G906" s="191">
        <v>234848.5279</v>
      </c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22.5" customHeight="1">
      <c r="A907" s="174" t="s">
        <v>4277</v>
      </c>
      <c r="B907" s="174" t="s">
        <v>317</v>
      </c>
      <c r="C907" s="189">
        <v>2021.0</v>
      </c>
      <c r="D907" s="175" t="s">
        <v>2573</v>
      </c>
      <c r="E907" s="174" t="s">
        <v>3139</v>
      </c>
      <c r="F907" s="190">
        <v>4208132.81</v>
      </c>
      <c r="G907" s="191">
        <v>234848.5279</v>
      </c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22.5" customHeight="1">
      <c r="A908" s="174" t="s">
        <v>4278</v>
      </c>
      <c r="B908" s="174" t="s">
        <v>317</v>
      </c>
      <c r="C908" s="189">
        <v>2021.0</v>
      </c>
      <c r="D908" s="175" t="s">
        <v>2593</v>
      </c>
      <c r="E908" s="174" t="s">
        <v>3139</v>
      </c>
      <c r="F908" s="190">
        <v>4208132.81</v>
      </c>
      <c r="G908" s="191">
        <v>234848.5279</v>
      </c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22.5" customHeight="1">
      <c r="A909" s="174" t="s">
        <v>4279</v>
      </c>
      <c r="B909" s="174" t="s">
        <v>317</v>
      </c>
      <c r="C909" s="189">
        <v>2021.0</v>
      </c>
      <c r="D909" s="175" t="s">
        <v>2616</v>
      </c>
      <c r="E909" s="174" t="s">
        <v>3139</v>
      </c>
      <c r="F909" s="190">
        <v>4208132.81</v>
      </c>
      <c r="G909" s="191">
        <v>234848.5279</v>
      </c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22.5" customHeight="1">
      <c r="A910" s="174" t="s">
        <v>4280</v>
      </c>
      <c r="B910" s="174" t="s">
        <v>317</v>
      </c>
      <c r="C910" s="189">
        <v>2021.0</v>
      </c>
      <c r="D910" s="175" t="s">
        <v>2742</v>
      </c>
      <c r="E910" s="174" t="s">
        <v>3139</v>
      </c>
      <c r="F910" s="190">
        <v>4208132.81</v>
      </c>
      <c r="G910" s="191">
        <v>234848.5279</v>
      </c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22.5" customHeight="1">
      <c r="A911" s="174" t="s">
        <v>4281</v>
      </c>
      <c r="B911" s="174" t="s">
        <v>317</v>
      </c>
      <c r="C911" s="189">
        <v>2021.0</v>
      </c>
      <c r="D911" s="175" t="s">
        <v>2496</v>
      </c>
      <c r="E911" s="174" t="s">
        <v>3139</v>
      </c>
      <c r="F911" s="190">
        <v>4208132.81</v>
      </c>
      <c r="G911" s="191">
        <v>234848.5279</v>
      </c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22.5" customHeight="1">
      <c r="A912" s="174" t="s">
        <v>4282</v>
      </c>
      <c r="B912" s="174" t="s">
        <v>317</v>
      </c>
      <c r="C912" s="189">
        <v>2022.0</v>
      </c>
      <c r="D912" s="175" t="s">
        <v>2495</v>
      </c>
      <c r="E912" s="174" t="s">
        <v>3139</v>
      </c>
      <c r="F912" s="190">
        <v>4518219.26</v>
      </c>
      <c r="G912" s="191">
        <v>252153.91</v>
      </c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22.5" customHeight="1">
      <c r="A913" s="174" t="s">
        <v>4283</v>
      </c>
      <c r="B913" s="174" t="s">
        <v>317</v>
      </c>
      <c r="C913" s="189">
        <v>2022.0</v>
      </c>
      <c r="D913" s="175" t="s">
        <v>2834</v>
      </c>
      <c r="E913" s="174" t="s">
        <v>3139</v>
      </c>
      <c r="F913" s="190">
        <v>4518219.26</v>
      </c>
      <c r="G913" s="191">
        <v>252153.91</v>
      </c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22.5" customHeight="1">
      <c r="A914" s="174" t="s">
        <v>4284</v>
      </c>
      <c r="B914" s="174" t="s">
        <v>317</v>
      </c>
      <c r="C914" s="189">
        <v>2022.0</v>
      </c>
      <c r="D914" s="175" t="s">
        <v>2585</v>
      </c>
      <c r="E914" s="174" t="s">
        <v>3139</v>
      </c>
      <c r="F914" s="190">
        <v>4518219.26</v>
      </c>
      <c r="G914" s="191">
        <v>252153.91</v>
      </c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22.5" customHeight="1">
      <c r="A915" s="174" t="s">
        <v>4285</v>
      </c>
      <c r="B915" s="174" t="s">
        <v>317</v>
      </c>
      <c r="C915" s="189">
        <v>2022.0</v>
      </c>
      <c r="D915" s="175" t="s">
        <v>2594</v>
      </c>
      <c r="E915" s="174" t="s">
        <v>3139</v>
      </c>
      <c r="F915" s="190">
        <v>4518219.26</v>
      </c>
      <c r="G915" s="191">
        <v>252153.91</v>
      </c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22.5" customHeight="1">
      <c r="A916" s="174" t="s">
        <v>4286</v>
      </c>
      <c r="B916" s="174" t="s">
        <v>317</v>
      </c>
      <c r="C916" s="189">
        <v>2022.0</v>
      </c>
      <c r="D916" s="175" t="s">
        <v>2739</v>
      </c>
      <c r="E916" s="174" t="s">
        <v>3139</v>
      </c>
      <c r="F916" s="190">
        <v>4518219.26</v>
      </c>
      <c r="G916" s="191">
        <v>252153.91</v>
      </c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22.5" customHeight="1">
      <c r="A917" s="174" t="s">
        <v>4287</v>
      </c>
      <c r="B917" s="174" t="s">
        <v>317</v>
      </c>
      <c r="C917" s="189">
        <v>2022.0</v>
      </c>
      <c r="D917" s="175" t="s">
        <v>2541</v>
      </c>
      <c r="E917" s="174" t="s">
        <v>3139</v>
      </c>
      <c r="F917" s="190">
        <v>4518219.26</v>
      </c>
      <c r="G917" s="191">
        <v>252153.91</v>
      </c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22.5" customHeight="1">
      <c r="A918" s="174" t="s">
        <v>4288</v>
      </c>
      <c r="B918" s="174" t="s">
        <v>317</v>
      </c>
      <c r="C918" s="189">
        <v>2022.0</v>
      </c>
      <c r="D918" s="175" t="s">
        <v>2553</v>
      </c>
      <c r="E918" s="174" t="s">
        <v>3139</v>
      </c>
      <c r="F918" s="190">
        <v>4518219.26</v>
      </c>
      <c r="G918" s="191">
        <v>252153.91</v>
      </c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22.5" customHeight="1">
      <c r="A919" s="174" t="s">
        <v>4289</v>
      </c>
      <c r="B919" s="174" t="s">
        <v>317</v>
      </c>
      <c r="C919" s="189">
        <v>2022.0</v>
      </c>
      <c r="D919" s="175" t="s">
        <v>2573</v>
      </c>
      <c r="E919" s="174" t="s">
        <v>3139</v>
      </c>
      <c r="F919" s="190">
        <v>4518219.26</v>
      </c>
      <c r="G919" s="191">
        <v>252153.91</v>
      </c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22.5" customHeight="1">
      <c r="A920" s="174" t="s">
        <v>4290</v>
      </c>
      <c r="B920" s="174" t="s">
        <v>317</v>
      </c>
      <c r="C920" s="189">
        <v>2022.0</v>
      </c>
      <c r="D920" s="175" t="s">
        <v>2593</v>
      </c>
      <c r="E920" s="174" t="s">
        <v>3139</v>
      </c>
      <c r="F920" s="190">
        <v>4518219.26</v>
      </c>
      <c r="G920" s="191">
        <v>252153.91</v>
      </c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22.5" customHeight="1">
      <c r="A921" s="174" t="s">
        <v>4291</v>
      </c>
      <c r="B921" s="174" t="s">
        <v>317</v>
      </c>
      <c r="C921" s="189">
        <v>2022.0</v>
      </c>
      <c r="D921" s="175" t="s">
        <v>2616</v>
      </c>
      <c r="E921" s="174" t="s">
        <v>3139</v>
      </c>
      <c r="F921" s="190">
        <v>4518219.26</v>
      </c>
      <c r="G921" s="191">
        <v>252153.91</v>
      </c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22.5" customHeight="1">
      <c r="A922" s="174" t="s">
        <v>4292</v>
      </c>
      <c r="B922" s="174" t="s">
        <v>317</v>
      </c>
      <c r="C922" s="189">
        <v>2022.0</v>
      </c>
      <c r="D922" s="175" t="s">
        <v>2742</v>
      </c>
      <c r="E922" s="174" t="s">
        <v>3139</v>
      </c>
      <c r="F922" s="190">
        <v>4518219.26</v>
      </c>
      <c r="G922" s="191">
        <v>252153.91</v>
      </c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22.5" customHeight="1">
      <c r="A923" s="174" t="s">
        <v>4293</v>
      </c>
      <c r="B923" s="174" t="s">
        <v>317</v>
      </c>
      <c r="C923" s="189">
        <v>2022.0</v>
      </c>
      <c r="D923" s="175" t="s">
        <v>2496</v>
      </c>
      <c r="E923" s="174" t="s">
        <v>3139</v>
      </c>
      <c r="F923" s="190">
        <v>4518219.26</v>
      </c>
      <c r="G923" s="191">
        <v>252153.91</v>
      </c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22.5" customHeight="1">
      <c r="A924" s="174" t="s">
        <v>4294</v>
      </c>
      <c r="B924" s="174" t="s">
        <v>317</v>
      </c>
      <c r="C924" s="189">
        <v>2023.0</v>
      </c>
      <c r="D924" s="175" t="s">
        <v>2495</v>
      </c>
      <c r="E924" s="174" t="s">
        <v>3139</v>
      </c>
      <c r="F924" s="190">
        <v>4870165.93</v>
      </c>
      <c r="G924" s="191">
        <v>271795.4378</v>
      </c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22.5" customHeight="1">
      <c r="A925" s="174" t="s">
        <v>4295</v>
      </c>
      <c r="B925" s="174" t="s">
        <v>317</v>
      </c>
      <c r="C925" s="189">
        <v>2023.0</v>
      </c>
      <c r="D925" s="175" t="s">
        <v>2834</v>
      </c>
      <c r="E925" s="174" t="s">
        <v>3139</v>
      </c>
      <c r="F925" s="190">
        <v>4870165.93</v>
      </c>
      <c r="G925" s="191">
        <v>271795.4378</v>
      </c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22.5" customHeight="1">
      <c r="A926" s="174" t="s">
        <v>4296</v>
      </c>
      <c r="B926" s="174" t="s">
        <v>317</v>
      </c>
      <c r="C926" s="189">
        <v>2023.0</v>
      </c>
      <c r="D926" s="175" t="s">
        <v>2585</v>
      </c>
      <c r="E926" s="174" t="s">
        <v>3139</v>
      </c>
      <c r="F926" s="190">
        <v>4870165.93</v>
      </c>
      <c r="G926" s="191">
        <v>271795.4378</v>
      </c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22.5" customHeight="1">
      <c r="A927" s="174" t="s">
        <v>4297</v>
      </c>
      <c r="B927" s="174" t="s">
        <v>317</v>
      </c>
      <c r="C927" s="189">
        <v>2023.0</v>
      </c>
      <c r="D927" s="175" t="s">
        <v>2594</v>
      </c>
      <c r="E927" s="174" t="s">
        <v>3139</v>
      </c>
      <c r="F927" s="190">
        <v>4870165.93</v>
      </c>
      <c r="G927" s="191">
        <v>271795.4378</v>
      </c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22.5" customHeight="1">
      <c r="A928" s="174" t="s">
        <v>4298</v>
      </c>
      <c r="B928" s="174" t="s">
        <v>317</v>
      </c>
      <c r="C928" s="189">
        <v>2023.0</v>
      </c>
      <c r="D928" s="175" t="s">
        <v>2739</v>
      </c>
      <c r="E928" s="174" t="s">
        <v>3139</v>
      </c>
      <c r="F928" s="190">
        <v>1.164615296E7</v>
      </c>
      <c r="G928" s="191">
        <v>649951.4159</v>
      </c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22.5" customHeight="1">
      <c r="A929" s="174" t="s">
        <v>4299</v>
      </c>
      <c r="B929" s="174" t="s">
        <v>317</v>
      </c>
      <c r="C929" s="189">
        <v>2023.0</v>
      </c>
      <c r="D929" s="175" t="s">
        <v>2541</v>
      </c>
      <c r="E929" s="174" t="s">
        <v>3139</v>
      </c>
      <c r="F929" s="190">
        <v>1.164615296E7</v>
      </c>
      <c r="G929" s="191">
        <v>649951.4159</v>
      </c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22.5" customHeight="1">
      <c r="A930" s="174" t="s">
        <v>4300</v>
      </c>
      <c r="B930" s="174" t="s">
        <v>317</v>
      </c>
      <c r="C930" s="189">
        <v>2023.0</v>
      </c>
      <c r="D930" s="175" t="s">
        <v>2553</v>
      </c>
      <c r="E930" s="174" t="s">
        <v>3139</v>
      </c>
      <c r="F930" s="190">
        <v>1.164615296E7</v>
      </c>
      <c r="G930" s="191">
        <v>649951.4159</v>
      </c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22.5" customHeight="1">
      <c r="A931" s="174" t="s">
        <v>4301</v>
      </c>
      <c r="B931" s="174" t="s">
        <v>317</v>
      </c>
      <c r="C931" s="189">
        <v>2023.0</v>
      </c>
      <c r="D931" s="175" t="s">
        <v>2573</v>
      </c>
      <c r="E931" s="174" t="s">
        <v>3139</v>
      </c>
      <c r="F931" s="190">
        <v>1.164615296E7</v>
      </c>
      <c r="G931" s="191">
        <v>649951.4159</v>
      </c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22.5" customHeight="1">
      <c r="A932" s="174" t="s">
        <v>4302</v>
      </c>
      <c r="B932" s="174" t="s">
        <v>317</v>
      </c>
      <c r="C932" s="189">
        <v>2023.0</v>
      </c>
      <c r="D932" s="175" t="s">
        <v>2593</v>
      </c>
      <c r="E932" s="174" t="s">
        <v>3139</v>
      </c>
      <c r="F932" s="190">
        <v>1.164615296E7</v>
      </c>
      <c r="G932" s="191">
        <v>649951.4159</v>
      </c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22.5" customHeight="1">
      <c r="A933" s="174" t="s">
        <v>4303</v>
      </c>
      <c r="B933" s="174" t="s">
        <v>317</v>
      </c>
      <c r="C933" s="189">
        <v>2023.0</v>
      </c>
      <c r="D933" s="175" t="s">
        <v>2616</v>
      </c>
      <c r="E933" s="174" t="s">
        <v>3139</v>
      </c>
      <c r="F933" s="190">
        <v>1.164615296E7</v>
      </c>
      <c r="G933" s="191">
        <v>649951.4159</v>
      </c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22.5" customHeight="1">
      <c r="A934" s="174" t="s">
        <v>4304</v>
      </c>
      <c r="B934" s="174" t="s">
        <v>317</v>
      </c>
      <c r="C934" s="189">
        <v>2023.0</v>
      </c>
      <c r="D934" s="175" t="s">
        <v>2742</v>
      </c>
      <c r="E934" s="174" t="s">
        <v>3139</v>
      </c>
      <c r="F934" s="190">
        <v>1.164615296E7</v>
      </c>
      <c r="G934" s="191">
        <v>649951.4159</v>
      </c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22.5" customHeight="1">
      <c r="A935" s="174" t="s">
        <v>4305</v>
      </c>
      <c r="B935" s="174" t="s">
        <v>317</v>
      </c>
      <c r="C935" s="189">
        <v>2023.0</v>
      </c>
      <c r="D935" s="175" t="s">
        <v>2496</v>
      </c>
      <c r="E935" s="174" t="s">
        <v>3139</v>
      </c>
      <c r="F935" s="190">
        <v>1.164615296E7</v>
      </c>
      <c r="G935" s="191">
        <v>649951.4159</v>
      </c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22.5" customHeight="1">
      <c r="A936" s="174" t="s">
        <v>4306</v>
      </c>
      <c r="B936" s="174" t="s">
        <v>317</v>
      </c>
      <c r="C936" s="189">
        <v>2024.0</v>
      </c>
      <c r="D936" s="175" t="s">
        <v>2495</v>
      </c>
      <c r="E936" s="174" t="s">
        <v>3139</v>
      </c>
      <c r="F936" s="190">
        <v>1.214926313E7</v>
      </c>
      <c r="G936" s="191">
        <v>678029.1141</v>
      </c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22.5" customHeight="1">
      <c r="A937" s="174" t="s">
        <v>4307</v>
      </c>
      <c r="B937" s="174" t="s">
        <v>317</v>
      </c>
      <c r="C937" s="189">
        <v>2024.0</v>
      </c>
      <c r="D937" s="175" t="s">
        <v>2834</v>
      </c>
      <c r="E937" s="174" t="s">
        <v>3139</v>
      </c>
      <c r="F937" s="190">
        <v>1.214926313E7</v>
      </c>
      <c r="G937" s="191">
        <v>678029.1141</v>
      </c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22.5" customHeight="1">
      <c r="A938" s="174" t="s">
        <v>4308</v>
      </c>
      <c r="B938" s="174" t="s">
        <v>317</v>
      </c>
      <c r="C938" s="189">
        <v>2024.0</v>
      </c>
      <c r="D938" s="175" t="s">
        <v>2585</v>
      </c>
      <c r="E938" s="174" t="s">
        <v>3139</v>
      </c>
      <c r="F938" s="190">
        <v>1.214926313E7</v>
      </c>
      <c r="G938" s="191">
        <v>678029.1141</v>
      </c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22.5" customHeight="1">
      <c r="A939" s="174" t="s">
        <v>4309</v>
      </c>
      <c r="B939" s="174" t="s">
        <v>317</v>
      </c>
      <c r="C939" s="189">
        <v>2024.0</v>
      </c>
      <c r="D939" s="175" t="s">
        <v>2594</v>
      </c>
      <c r="E939" s="174" t="s">
        <v>3139</v>
      </c>
      <c r="F939" s="190">
        <v>1.214926313E7</v>
      </c>
      <c r="G939" s="191">
        <v>678029.1141</v>
      </c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22.5" customHeight="1">
      <c r="A940" s="174" t="s">
        <v>4310</v>
      </c>
      <c r="B940" s="174" t="s">
        <v>317</v>
      </c>
      <c r="C940" s="189">
        <v>2024.0</v>
      </c>
      <c r="D940" s="175" t="s">
        <v>2739</v>
      </c>
      <c r="E940" s="174" t="s">
        <v>3139</v>
      </c>
      <c r="F940" s="190">
        <v>1.214926313E7</v>
      </c>
      <c r="G940" s="191">
        <v>678029.1141</v>
      </c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22.5" customHeight="1">
      <c r="A941" s="174" t="s">
        <v>4311</v>
      </c>
      <c r="B941" s="174" t="s">
        <v>317</v>
      </c>
      <c r="C941" s="189">
        <v>2024.0</v>
      </c>
      <c r="D941" s="175" t="s">
        <v>2541</v>
      </c>
      <c r="E941" s="174" t="s">
        <v>3139</v>
      </c>
      <c r="F941" s="190">
        <v>1.214926313E7</v>
      </c>
      <c r="G941" s="191">
        <v>678029.1141</v>
      </c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22.5" customHeight="1">
      <c r="A942" s="174" t="s">
        <v>4312</v>
      </c>
      <c r="B942" s="174" t="s">
        <v>317</v>
      </c>
      <c r="C942" s="189">
        <v>2024.0</v>
      </c>
      <c r="D942" s="175" t="s">
        <v>2553</v>
      </c>
      <c r="E942" s="174" t="s">
        <v>3139</v>
      </c>
      <c r="F942" s="190">
        <v>1.214926313E7</v>
      </c>
      <c r="G942" s="191">
        <v>678029.1141</v>
      </c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22.5" customHeight="1">
      <c r="A943" s="174" t="s">
        <v>4313</v>
      </c>
      <c r="B943" s="174" t="s">
        <v>317</v>
      </c>
      <c r="C943" s="189">
        <v>2024.0</v>
      </c>
      <c r="D943" s="175" t="s">
        <v>2573</v>
      </c>
      <c r="E943" s="174" t="s">
        <v>3139</v>
      </c>
      <c r="F943" s="190">
        <v>1.214926313E7</v>
      </c>
      <c r="G943" s="191">
        <v>678029.1141</v>
      </c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22.5" customHeight="1">
      <c r="A944" s="174" t="s">
        <v>4314</v>
      </c>
      <c r="B944" s="174" t="s">
        <v>317</v>
      </c>
      <c r="C944" s="189">
        <v>2024.0</v>
      </c>
      <c r="D944" s="175" t="s">
        <v>2593</v>
      </c>
      <c r="E944" s="174" t="s">
        <v>3139</v>
      </c>
      <c r="F944" s="190">
        <v>1.214926313E7</v>
      </c>
      <c r="G944" s="191">
        <v>678029.1141</v>
      </c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22.5" customHeight="1">
      <c r="A945" s="174" t="s">
        <v>4315</v>
      </c>
      <c r="B945" s="174" t="s">
        <v>317</v>
      </c>
      <c r="C945" s="189">
        <v>2024.0</v>
      </c>
      <c r="D945" s="175" t="s">
        <v>2616</v>
      </c>
      <c r="E945" s="174" t="s">
        <v>3139</v>
      </c>
      <c r="F945" s="190">
        <v>1.214926313E7</v>
      </c>
      <c r="G945" s="191">
        <v>678029.1141</v>
      </c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22.5" customHeight="1">
      <c r="A946" s="174" t="s">
        <v>4316</v>
      </c>
      <c r="B946" s="174" t="s">
        <v>317</v>
      </c>
      <c r="C946" s="189">
        <v>2024.0</v>
      </c>
      <c r="D946" s="175" t="s">
        <v>2742</v>
      </c>
      <c r="E946" s="174" t="s">
        <v>3139</v>
      </c>
      <c r="F946" s="190">
        <v>1.214926313E7</v>
      </c>
      <c r="G946" s="191">
        <v>678029.1141</v>
      </c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60"/>
      <c r="B947" s="60"/>
      <c r="C947" s="60"/>
      <c r="D947" s="60"/>
      <c r="E947" s="60"/>
      <c r="F947" s="60"/>
      <c r="G947" s="207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60"/>
      <c r="B948" s="60"/>
      <c r="C948" s="60"/>
      <c r="D948" s="60"/>
      <c r="E948" s="60"/>
      <c r="F948" s="60"/>
      <c r="G948" s="207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60"/>
      <c r="B949" s="60"/>
      <c r="C949" s="60"/>
      <c r="D949" s="60"/>
      <c r="E949" s="60"/>
      <c r="F949" s="60"/>
      <c r="G949" s="207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60"/>
      <c r="B950" s="60"/>
      <c r="C950" s="60"/>
      <c r="D950" s="60"/>
      <c r="E950" s="60"/>
      <c r="F950" s="60"/>
      <c r="G950" s="207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60"/>
      <c r="B951" s="60"/>
      <c r="C951" s="60"/>
      <c r="D951" s="60"/>
      <c r="E951" s="60"/>
      <c r="F951" s="60"/>
      <c r="G951" s="207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60"/>
      <c r="B952" s="60"/>
      <c r="C952" s="60"/>
      <c r="D952" s="60"/>
      <c r="E952" s="60"/>
      <c r="F952" s="60"/>
      <c r="G952" s="207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60"/>
      <c r="B953" s="60"/>
      <c r="C953" s="60"/>
      <c r="D953" s="60"/>
      <c r="E953" s="60"/>
      <c r="F953" s="60"/>
      <c r="G953" s="207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60"/>
      <c r="B954" s="60"/>
      <c r="C954" s="60"/>
      <c r="D954" s="60"/>
      <c r="E954" s="60"/>
      <c r="F954" s="60"/>
      <c r="G954" s="207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60"/>
      <c r="B955" s="60"/>
      <c r="C955" s="60"/>
      <c r="D955" s="60"/>
      <c r="E955" s="60"/>
      <c r="F955" s="60"/>
      <c r="G955" s="207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60"/>
      <c r="B956" s="60"/>
      <c r="C956" s="60"/>
      <c r="D956" s="60"/>
      <c r="E956" s="60"/>
      <c r="F956" s="60"/>
      <c r="G956" s="207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60"/>
      <c r="B957" s="60"/>
      <c r="C957" s="60"/>
      <c r="D957" s="60"/>
      <c r="E957" s="60"/>
      <c r="F957" s="60"/>
      <c r="G957" s="207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60"/>
      <c r="B958" s="60"/>
      <c r="C958" s="60"/>
      <c r="D958" s="60"/>
      <c r="E958" s="60"/>
      <c r="F958" s="60"/>
      <c r="G958" s="207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60"/>
      <c r="B959" s="60"/>
      <c r="C959" s="60"/>
      <c r="D959" s="60"/>
      <c r="E959" s="60"/>
      <c r="F959" s="60"/>
      <c r="G959" s="207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60"/>
      <c r="B960" s="60"/>
      <c r="C960" s="60"/>
      <c r="D960" s="60"/>
      <c r="E960" s="60"/>
      <c r="F960" s="60"/>
      <c r="G960" s="207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60"/>
      <c r="B961" s="60"/>
      <c r="C961" s="60"/>
      <c r="D961" s="60"/>
      <c r="E961" s="60"/>
      <c r="F961" s="60"/>
      <c r="G961" s="207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60"/>
      <c r="B962" s="60"/>
      <c r="C962" s="60"/>
      <c r="D962" s="60"/>
      <c r="E962" s="60"/>
      <c r="F962" s="60"/>
      <c r="G962" s="207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60"/>
      <c r="B963" s="60"/>
      <c r="C963" s="60"/>
      <c r="D963" s="60"/>
      <c r="E963" s="60"/>
      <c r="F963" s="60"/>
      <c r="G963" s="207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60"/>
      <c r="B964" s="60"/>
      <c r="C964" s="60"/>
      <c r="D964" s="60"/>
      <c r="E964" s="60"/>
      <c r="F964" s="60"/>
      <c r="G964" s="207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60"/>
      <c r="B965" s="60"/>
      <c r="C965" s="60"/>
      <c r="D965" s="60"/>
      <c r="E965" s="60"/>
      <c r="F965" s="60"/>
      <c r="G965" s="207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60"/>
      <c r="B966" s="60"/>
      <c r="C966" s="60"/>
      <c r="D966" s="60"/>
      <c r="E966" s="60"/>
      <c r="F966" s="60"/>
      <c r="G966" s="207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60"/>
      <c r="B967" s="60"/>
      <c r="C967" s="60"/>
      <c r="D967" s="60"/>
      <c r="E967" s="60"/>
      <c r="F967" s="60"/>
      <c r="G967" s="207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60"/>
      <c r="B968" s="60"/>
      <c r="C968" s="60"/>
      <c r="D968" s="60"/>
      <c r="E968" s="60"/>
      <c r="F968" s="60"/>
      <c r="G968" s="207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60"/>
      <c r="B969" s="60"/>
      <c r="C969" s="60"/>
      <c r="D969" s="60"/>
      <c r="E969" s="60"/>
      <c r="F969" s="60"/>
      <c r="G969" s="207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60"/>
      <c r="B970" s="60"/>
      <c r="C970" s="60"/>
      <c r="D970" s="60"/>
      <c r="E970" s="60"/>
      <c r="F970" s="60"/>
      <c r="G970" s="207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60"/>
      <c r="B971" s="60"/>
      <c r="C971" s="60"/>
      <c r="D971" s="60"/>
      <c r="E971" s="60"/>
      <c r="F971" s="60"/>
      <c r="G971" s="207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60"/>
      <c r="B972" s="60"/>
      <c r="C972" s="60"/>
      <c r="D972" s="60"/>
      <c r="E972" s="60"/>
      <c r="F972" s="60"/>
      <c r="G972" s="207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60"/>
      <c r="B973" s="60"/>
      <c r="C973" s="60"/>
      <c r="D973" s="60"/>
      <c r="E973" s="60"/>
      <c r="F973" s="60"/>
      <c r="G973" s="207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60"/>
      <c r="B974" s="60"/>
      <c r="C974" s="60"/>
      <c r="D974" s="60"/>
      <c r="E974" s="60"/>
      <c r="F974" s="60"/>
      <c r="G974" s="207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60"/>
      <c r="B975" s="60"/>
      <c r="C975" s="60"/>
      <c r="D975" s="60"/>
      <c r="E975" s="60"/>
      <c r="F975" s="60"/>
      <c r="G975" s="207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60"/>
      <c r="B976" s="60"/>
      <c r="C976" s="60"/>
      <c r="D976" s="60"/>
      <c r="E976" s="60"/>
      <c r="F976" s="60"/>
      <c r="G976" s="207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60"/>
      <c r="B977" s="60"/>
      <c r="C977" s="60"/>
      <c r="D977" s="60"/>
      <c r="E977" s="60"/>
      <c r="F977" s="60"/>
      <c r="G977" s="207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60"/>
      <c r="B978" s="60"/>
      <c r="C978" s="60"/>
      <c r="D978" s="60"/>
      <c r="E978" s="60"/>
      <c r="F978" s="60"/>
      <c r="G978" s="207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60"/>
      <c r="B979" s="60"/>
      <c r="C979" s="60"/>
      <c r="D979" s="60"/>
      <c r="E979" s="60"/>
      <c r="F979" s="60"/>
      <c r="G979" s="207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60"/>
      <c r="B980" s="60"/>
      <c r="C980" s="60"/>
      <c r="D980" s="60"/>
      <c r="E980" s="60"/>
      <c r="F980" s="60"/>
      <c r="G980" s="207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60"/>
      <c r="B981" s="60"/>
      <c r="C981" s="60"/>
      <c r="D981" s="60"/>
      <c r="E981" s="60"/>
      <c r="F981" s="60"/>
      <c r="G981" s="207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60"/>
      <c r="B982" s="60"/>
      <c r="C982" s="60"/>
      <c r="D982" s="60"/>
      <c r="E982" s="60"/>
      <c r="F982" s="60"/>
      <c r="G982" s="207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60"/>
      <c r="B983" s="60"/>
      <c r="C983" s="60"/>
      <c r="D983" s="60"/>
      <c r="E983" s="60"/>
      <c r="F983" s="60"/>
      <c r="G983" s="207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60"/>
      <c r="B984" s="60"/>
      <c r="C984" s="60"/>
      <c r="D984" s="60"/>
      <c r="E984" s="60"/>
      <c r="F984" s="60"/>
      <c r="G984" s="207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60"/>
      <c r="B985" s="60"/>
      <c r="C985" s="60"/>
      <c r="D985" s="60"/>
      <c r="E985" s="60"/>
      <c r="F985" s="60"/>
      <c r="G985" s="207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60"/>
      <c r="B986" s="60"/>
      <c r="C986" s="60"/>
      <c r="D986" s="60"/>
      <c r="E986" s="60"/>
      <c r="F986" s="60"/>
      <c r="G986" s="207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60"/>
      <c r="B987" s="60"/>
      <c r="C987" s="60"/>
      <c r="D987" s="60"/>
      <c r="E987" s="60"/>
      <c r="F987" s="60"/>
      <c r="G987" s="207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60"/>
      <c r="B988" s="60"/>
      <c r="C988" s="60"/>
      <c r="D988" s="60"/>
      <c r="E988" s="60"/>
      <c r="F988" s="60"/>
      <c r="G988" s="207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60"/>
      <c r="B989" s="60"/>
      <c r="C989" s="60"/>
      <c r="D989" s="60"/>
      <c r="E989" s="60"/>
      <c r="F989" s="60"/>
      <c r="G989" s="207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60"/>
      <c r="B990" s="60"/>
      <c r="C990" s="60"/>
      <c r="D990" s="60"/>
      <c r="E990" s="60"/>
      <c r="F990" s="60"/>
      <c r="G990" s="207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60"/>
      <c r="B991" s="60"/>
      <c r="C991" s="60"/>
      <c r="D991" s="60"/>
      <c r="E991" s="60"/>
      <c r="F991" s="60"/>
      <c r="G991" s="207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60"/>
      <c r="B992" s="60"/>
      <c r="C992" s="60"/>
      <c r="D992" s="60"/>
      <c r="E992" s="60"/>
      <c r="F992" s="60"/>
      <c r="G992" s="207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60"/>
      <c r="B993" s="60"/>
      <c r="C993" s="60"/>
      <c r="D993" s="60"/>
      <c r="E993" s="60"/>
      <c r="F993" s="60"/>
      <c r="G993" s="207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60"/>
      <c r="B994" s="60"/>
      <c r="C994" s="60"/>
      <c r="D994" s="60"/>
      <c r="E994" s="60"/>
      <c r="F994" s="60"/>
      <c r="G994" s="207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60"/>
      <c r="B995" s="60"/>
      <c r="C995" s="60"/>
      <c r="D995" s="60"/>
      <c r="E995" s="60"/>
      <c r="F995" s="60"/>
      <c r="G995" s="207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60"/>
      <c r="B996" s="60"/>
      <c r="C996" s="60"/>
      <c r="D996" s="60"/>
      <c r="E996" s="60"/>
      <c r="F996" s="60"/>
      <c r="G996" s="207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60"/>
      <c r="B997" s="60"/>
      <c r="C997" s="60"/>
      <c r="D997" s="60"/>
      <c r="E997" s="60"/>
      <c r="F997" s="60"/>
      <c r="G997" s="207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60"/>
      <c r="B998" s="60"/>
      <c r="C998" s="60"/>
      <c r="D998" s="60"/>
      <c r="E998" s="60"/>
      <c r="F998" s="60"/>
      <c r="G998" s="207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</sheetData>
  <dataValidations>
    <dataValidation type="custom" allowBlank="1" showDropDown="1" sqref="C2:C946 F2:F946">
      <formula1>AND(ISNUMBER(C2),(NOT(OR(NOT(ISERROR(DATEVALUE(C2))), AND(ISNUMBER(C2), LEFT(CELL("format", C2))="D")))))</formula1>
    </dataValidation>
    <dataValidation type="custom" allowBlank="1" showDropDown="1" sqref="G2:G946">
      <formula1>AND(ISNUMBER(G2),(NOT(OR(NOT(ISERROR(DATEVALUE(G2))), AND(ISNUMBER(G2), LEFT(CELL("format", G2))="D")))))</formula1>
    </dataValidation>
    <dataValidation type="list" allowBlank="1" sqref="D2:D946">
      <formula1>"Enero,Febrero,Marzo,Abril,Mayo,Junio,Julio,Agosto,Septiembre,Octubre,Noviembre,Diciembre"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25.75"/>
    <col customWidth="1" min="3" max="3" width="23.0"/>
    <col customWidth="1" min="4" max="4" width="23.75"/>
    <col customWidth="1" min="5" max="5" width="30.5"/>
    <col customWidth="1" min="6" max="6" width="25.38"/>
    <col customWidth="1" min="7" max="7" width="78.13"/>
    <col customWidth="1" min="8" max="8" width="43.13"/>
    <col customWidth="1" min="9" max="9" width="26.0"/>
  </cols>
  <sheetData>
    <row r="1" ht="22.5" customHeight="1">
      <c r="A1" s="192" t="s">
        <v>2871</v>
      </c>
      <c r="B1" s="192" t="s">
        <v>2</v>
      </c>
      <c r="C1" s="192" t="s">
        <v>2873</v>
      </c>
      <c r="D1" s="192" t="s">
        <v>2874</v>
      </c>
      <c r="E1" s="193" t="s">
        <v>2876</v>
      </c>
      <c r="F1" s="192" t="s">
        <v>2878</v>
      </c>
      <c r="G1" s="194" t="s">
        <v>2879</v>
      </c>
      <c r="H1" s="3" t="s">
        <v>2880</v>
      </c>
      <c r="I1" s="3" t="s">
        <v>2881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22.5" customHeight="1">
      <c r="A2" s="37" t="s">
        <v>2883</v>
      </c>
      <c r="B2" s="37" t="s">
        <v>28</v>
      </c>
      <c r="C2" s="38" t="s">
        <v>2885</v>
      </c>
      <c r="D2" s="37" t="s">
        <v>2886</v>
      </c>
      <c r="E2" s="195">
        <v>1027.4</v>
      </c>
      <c r="F2" s="196">
        <v>1.0</v>
      </c>
      <c r="G2" s="197" t="s">
        <v>2888</v>
      </c>
      <c r="H2" s="14" t="s">
        <v>2890</v>
      </c>
      <c r="I2" s="14" t="s">
        <v>2891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22.5" customHeight="1">
      <c r="A3" s="37" t="s">
        <v>2893</v>
      </c>
      <c r="B3" s="37" t="s">
        <v>67</v>
      </c>
      <c r="C3" s="38" t="s">
        <v>2895</v>
      </c>
      <c r="D3" s="37" t="s">
        <v>2896</v>
      </c>
      <c r="E3" s="195">
        <v>784.8</v>
      </c>
      <c r="F3" s="196">
        <v>0.89</v>
      </c>
      <c r="G3" s="197" t="s">
        <v>2898</v>
      </c>
      <c r="H3" s="14" t="s">
        <v>2899</v>
      </c>
      <c r="I3" s="14" t="s">
        <v>2901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22.5" customHeight="1">
      <c r="A4" s="37" t="s">
        <v>2903</v>
      </c>
      <c r="B4" s="37" t="s">
        <v>103</v>
      </c>
      <c r="C4" s="38" t="s">
        <v>2886</v>
      </c>
      <c r="D4" s="37" t="s">
        <v>2886</v>
      </c>
      <c r="E4" s="195">
        <v>2879.0</v>
      </c>
      <c r="F4" s="196">
        <v>0.36</v>
      </c>
      <c r="G4" s="197" t="s">
        <v>2906</v>
      </c>
      <c r="H4" s="14" t="s">
        <v>2907</v>
      </c>
      <c r="I4" s="14" t="s">
        <v>2908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22.5" customHeight="1">
      <c r="A5" s="37" t="s">
        <v>2911</v>
      </c>
      <c r="B5" s="37" t="s">
        <v>133</v>
      </c>
      <c r="C5" s="38" t="s">
        <v>2912</v>
      </c>
      <c r="D5" s="37" t="s">
        <v>2913</v>
      </c>
      <c r="E5" s="195">
        <v>2146.2</v>
      </c>
      <c r="F5" s="196">
        <v>1.0</v>
      </c>
      <c r="G5" s="197" t="s">
        <v>2916</v>
      </c>
      <c r="H5" s="14" t="s">
        <v>2917</v>
      </c>
      <c r="I5" s="14" t="s">
        <v>2918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22.5" customHeight="1">
      <c r="A6" s="37" t="s">
        <v>2921</v>
      </c>
      <c r="B6" s="37" t="s">
        <v>142</v>
      </c>
      <c r="C6" s="38" t="s">
        <v>2895</v>
      </c>
      <c r="D6" s="37" t="s">
        <v>2896</v>
      </c>
      <c r="E6" s="195">
        <v>813.3</v>
      </c>
      <c r="F6" s="196">
        <v>0.4</v>
      </c>
      <c r="G6" s="197" t="s">
        <v>2923</v>
      </c>
      <c r="H6" s="14" t="s">
        <v>2924</v>
      </c>
      <c r="I6" s="14" t="s">
        <v>2918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22.5" customHeight="1">
      <c r="A7" s="37" t="s">
        <v>2927</v>
      </c>
      <c r="B7" s="37" t="s">
        <v>169</v>
      </c>
      <c r="C7" s="38" t="s">
        <v>2885</v>
      </c>
      <c r="D7" s="37" t="s">
        <v>2930</v>
      </c>
      <c r="E7" s="195">
        <v>586.0</v>
      </c>
      <c r="F7" s="196">
        <v>1.0</v>
      </c>
      <c r="G7" s="197" t="s">
        <v>2931</v>
      </c>
      <c r="H7" s="14" t="s">
        <v>2932</v>
      </c>
      <c r="I7" s="14" t="s">
        <v>2918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2.5" customHeight="1">
      <c r="A8" s="37" t="s">
        <v>2935</v>
      </c>
      <c r="B8" s="37" t="s">
        <v>188</v>
      </c>
      <c r="C8" s="38" t="s">
        <v>2895</v>
      </c>
      <c r="D8" s="37" t="s">
        <v>2896</v>
      </c>
      <c r="E8" s="195">
        <v>842.4</v>
      </c>
      <c r="F8" s="196">
        <v>1.0</v>
      </c>
      <c r="G8" s="197" t="s">
        <v>2923</v>
      </c>
      <c r="H8" s="14" t="s">
        <v>2924</v>
      </c>
      <c r="I8" s="14" t="s">
        <v>2918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22.5" customHeight="1">
      <c r="A9" s="37" t="s">
        <v>2938</v>
      </c>
      <c r="B9" s="37" t="s">
        <v>207</v>
      </c>
      <c r="C9" s="38" t="s">
        <v>2912</v>
      </c>
      <c r="D9" s="37" t="s">
        <v>2941</v>
      </c>
      <c r="E9" s="195">
        <v>2732.7</v>
      </c>
      <c r="F9" s="196">
        <v>0.31</v>
      </c>
      <c r="G9" s="197" t="s">
        <v>2942</v>
      </c>
      <c r="H9" s="14" t="s">
        <v>2917</v>
      </c>
      <c r="I9" s="14" t="s">
        <v>2918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22.5" customHeight="1">
      <c r="A10" s="37" t="s">
        <v>2945</v>
      </c>
      <c r="B10" s="37" t="s">
        <v>216</v>
      </c>
      <c r="C10" s="38" t="s">
        <v>2941</v>
      </c>
      <c r="D10" s="37" t="s">
        <v>2913</v>
      </c>
      <c r="E10" s="195">
        <v>1687.0</v>
      </c>
      <c r="F10" s="196">
        <v>1.0</v>
      </c>
      <c r="G10" s="197" t="s">
        <v>2948</v>
      </c>
      <c r="H10" s="14" t="s">
        <v>2949</v>
      </c>
      <c r="I10" s="14" t="s">
        <v>2951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22.5" customHeight="1">
      <c r="A11" s="37" t="s">
        <v>2953</v>
      </c>
      <c r="B11" s="37" t="s">
        <v>239</v>
      </c>
      <c r="C11" s="38" t="s">
        <v>2885</v>
      </c>
      <c r="D11" s="37" t="s">
        <v>2886</v>
      </c>
      <c r="E11" s="195">
        <v>470.6</v>
      </c>
      <c r="F11" s="196">
        <v>0.09</v>
      </c>
      <c r="G11" s="197" t="s">
        <v>2957</v>
      </c>
      <c r="H11" s="14" t="s">
        <v>2958</v>
      </c>
      <c r="I11" s="14" t="s">
        <v>2918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22.5" customHeight="1">
      <c r="A12" s="37" t="s">
        <v>2961</v>
      </c>
      <c r="B12" s="198" t="s">
        <v>245</v>
      </c>
      <c r="C12" s="38" t="s">
        <v>2962</v>
      </c>
      <c r="D12" s="37" t="s">
        <v>2963</v>
      </c>
      <c r="E12" s="195">
        <v>549.0</v>
      </c>
      <c r="F12" s="196">
        <v>1.0</v>
      </c>
      <c r="G12" s="197" t="s">
        <v>2965</v>
      </c>
      <c r="H12" s="14" t="s">
        <v>2967</v>
      </c>
      <c r="I12" s="14" t="s">
        <v>2901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2.5" customHeight="1">
      <c r="A13" s="37" t="s">
        <v>2969</v>
      </c>
      <c r="B13" s="39" t="s">
        <v>268</v>
      </c>
      <c r="C13" s="199" t="s">
        <v>2885</v>
      </c>
      <c r="D13" s="200" t="s">
        <v>2886</v>
      </c>
      <c r="E13" s="201">
        <v>580.9</v>
      </c>
      <c r="F13" s="202">
        <v>1.0</v>
      </c>
      <c r="G13" s="203" t="s">
        <v>2973</v>
      </c>
      <c r="H13" s="14" t="s">
        <v>2975</v>
      </c>
      <c r="I13" s="14" t="s">
        <v>2976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22.5" customHeight="1">
      <c r="A14" s="37" t="s">
        <v>2978</v>
      </c>
      <c r="B14" s="39" t="s">
        <v>292</v>
      </c>
      <c r="C14" s="199" t="s">
        <v>2885</v>
      </c>
      <c r="D14" s="200" t="s">
        <v>2980</v>
      </c>
      <c r="E14" s="201">
        <v>798.0</v>
      </c>
      <c r="F14" s="202">
        <v>0.37</v>
      </c>
      <c r="G14" s="203" t="s">
        <v>2982</v>
      </c>
      <c r="H14" s="14" t="s">
        <v>2984</v>
      </c>
      <c r="I14" s="14" t="s">
        <v>2985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22.5" customHeight="1">
      <c r="A15" s="37" t="s">
        <v>2987</v>
      </c>
      <c r="B15" s="39" t="s">
        <v>317</v>
      </c>
      <c r="C15" s="19" t="s">
        <v>2912</v>
      </c>
      <c r="D15" s="200" t="s">
        <v>2941</v>
      </c>
      <c r="E15" s="19">
        <v>2008.7</v>
      </c>
      <c r="F15" s="24">
        <v>0.95</v>
      </c>
      <c r="G15" s="204" t="s">
        <v>2991</v>
      </c>
      <c r="H15" s="14" t="s">
        <v>2992</v>
      </c>
      <c r="I15" s="14" t="s">
        <v>2993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13"/>
      <c r="B16" s="113"/>
      <c r="C16" s="113"/>
      <c r="D16" s="113"/>
      <c r="E16" s="113"/>
      <c r="F16" s="113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13"/>
      <c r="B17" s="113"/>
      <c r="C17" s="113"/>
      <c r="D17" s="113"/>
      <c r="E17" s="113"/>
      <c r="F17" s="113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13"/>
      <c r="B18" s="113"/>
      <c r="C18" s="113"/>
      <c r="D18" s="113"/>
      <c r="E18" s="113"/>
      <c r="F18" s="113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13"/>
      <c r="B19" s="113"/>
      <c r="C19" s="113"/>
      <c r="D19" s="113"/>
      <c r="E19" s="113"/>
      <c r="F19" s="113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13"/>
      <c r="B20" s="113"/>
      <c r="C20" s="113"/>
      <c r="D20" s="113"/>
      <c r="E20" s="113"/>
      <c r="F20" s="113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13"/>
      <c r="B21" s="113"/>
      <c r="C21" s="113"/>
      <c r="D21" s="113"/>
      <c r="E21" s="113"/>
      <c r="F21" s="113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13"/>
      <c r="B22" s="113"/>
      <c r="C22" s="113"/>
      <c r="D22" s="113"/>
      <c r="E22" s="113"/>
      <c r="F22" s="113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13"/>
      <c r="B23" s="113"/>
      <c r="C23" s="113"/>
      <c r="D23" s="113"/>
      <c r="E23" s="113"/>
      <c r="F23" s="113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13"/>
      <c r="B24" s="113"/>
      <c r="C24" s="113"/>
      <c r="D24" s="113"/>
      <c r="E24" s="113"/>
      <c r="F24" s="113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13"/>
      <c r="B25" s="113"/>
      <c r="C25" s="113"/>
      <c r="D25" s="113"/>
      <c r="E25" s="113"/>
      <c r="F25" s="113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13"/>
      <c r="B26" s="113"/>
      <c r="C26" s="113"/>
      <c r="D26" s="113"/>
      <c r="E26" s="113"/>
      <c r="F26" s="113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13"/>
      <c r="B27" s="113"/>
      <c r="C27" s="113"/>
      <c r="D27" s="113"/>
      <c r="E27" s="113"/>
      <c r="F27" s="113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13"/>
      <c r="B28" s="113"/>
      <c r="C28" s="113"/>
      <c r="D28" s="113"/>
      <c r="E28" s="113"/>
      <c r="F28" s="113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13"/>
      <c r="B29" s="113"/>
      <c r="C29" s="113"/>
      <c r="D29" s="113"/>
      <c r="E29" s="113"/>
      <c r="F29" s="113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13"/>
      <c r="B30" s="113"/>
      <c r="C30" s="113"/>
      <c r="D30" s="113"/>
      <c r="E30" s="113"/>
      <c r="F30" s="113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13"/>
      <c r="B31" s="113"/>
      <c r="C31" s="113"/>
      <c r="D31" s="113"/>
      <c r="E31" s="113"/>
      <c r="F31" s="113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13"/>
      <c r="B32" s="113"/>
      <c r="C32" s="113"/>
      <c r="D32" s="113"/>
      <c r="E32" s="113"/>
      <c r="F32" s="113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13"/>
      <c r="B33" s="113"/>
      <c r="C33" s="113"/>
      <c r="D33" s="113"/>
      <c r="E33" s="113"/>
      <c r="F33" s="113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13"/>
      <c r="B34" s="113"/>
      <c r="C34" s="113"/>
      <c r="D34" s="113"/>
      <c r="E34" s="113"/>
      <c r="F34" s="113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13"/>
      <c r="B35" s="113"/>
      <c r="C35" s="113"/>
      <c r="D35" s="113"/>
      <c r="E35" s="113"/>
      <c r="F35" s="113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13"/>
      <c r="B36" s="113"/>
      <c r="C36" s="113"/>
      <c r="D36" s="113"/>
      <c r="E36" s="113"/>
      <c r="F36" s="113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13"/>
      <c r="B37" s="113"/>
      <c r="C37" s="113"/>
      <c r="D37" s="113"/>
      <c r="E37" s="113"/>
      <c r="F37" s="113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13"/>
      <c r="B38" s="113"/>
      <c r="C38" s="113"/>
      <c r="D38" s="113"/>
      <c r="E38" s="113"/>
      <c r="F38" s="113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13"/>
      <c r="B39" s="113"/>
      <c r="C39" s="113"/>
      <c r="D39" s="113"/>
      <c r="E39" s="113"/>
      <c r="F39" s="113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13"/>
      <c r="B40" s="113"/>
      <c r="C40" s="113"/>
      <c r="D40" s="113"/>
      <c r="E40" s="113"/>
      <c r="F40" s="113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13"/>
      <c r="B41" s="113"/>
      <c r="C41" s="113"/>
      <c r="D41" s="113"/>
      <c r="E41" s="113"/>
      <c r="F41" s="113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13"/>
      <c r="B42" s="113"/>
      <c r="C42" s="113"/>
      <c r="D42" s="113"/>
      <c r="E42" s="113"/>
      <c r="F42" s="113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13"/>
      <c r="B43" s="113"/>
      <c r="C43" s="113"/>
      <c r="D43" s="113"/>
      <c r="E43" s="113"/>
      <c r="F43" s="113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13"/>
      <c r="B44" s="113"/>
      <c r="C44" s="113"/>
      <c r="D44" s="113"/>
      <c r="E44" s="113"/>
      <c r="F44" s="113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13"/>
      <c r="B45" s="113"/>
      <c r="C45" s="113"/>
      <c r="D45" s="113"/>
      <c r="E45" s="113"/>
      <c r="F45" s="113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13"/>
      <c r="B46" s="113"/>
      <c r="C46" s="113"/>
      <c r="D46" s="113"/>
      <c r="E46" s="113"/>
      <c r="F46" s="113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13"/>
      <c r="B47" s="113"/>
      <c r="C47" s="113"/>
      <c r="D47" s="113"/>
      <c r="E47" s="113"/>
      <c r="F47" s="113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13"/>
      <c r="B48" s="113"/>
      <c r="C48" s="113"/>
      <c r="D48" s="113"/>
      <c r="E48" s="113"/>
      <c r="F48" s="113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13"/>
      <c r="B49" s="113"/>
      <c r="C49" s="113"/>
      <c r="D49" s="113"/>
      <c r="E49" s="113"/>
      <c r="F49" s="113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13"/>
      <c r="B50" s="113"/>
      <c r="C50" s="113"/>
      <c r="D50" s="113"/>
      <c r="E50" s="113"/>
      <c r="F50" s="113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13"/>
      <c r="B51" s="113"/>
      <c r="C51" s="113"/>
      <c r="D51" s="113"/>
      <c r="E51" s="113"/>
      <c r="F51" s="113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13"/>
      <c r="B52" s="113"/>
      <c r="C52" s="113"/>
      <c r="D52" s="113"/>
      <c r="E52" s="113"/>
      <c r="F52" s="113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13"/>
      <c r="B53" s="113"/>
      <c r="C53" s="113"/>
      <c r="D53" s="113"/>
      <c r="E53" s="113"/>
      <c r="F53" s="113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13"/>
      <c r="B54" s="113"/>
      <c r="C54" s="113"/>
      <c r="D54" s="113"/>
      <c r="E54" s="113"/>
      <c r="F54" s="113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13"/>
      <c r="B55" s="113"/>
      <c r="C55" s="113"/>
      <c r="D55" s="113"/>
      <c r="E55" s="113"/>
      <c r="F55" s="113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13"/>
      <c r="B56" s="113"/>
      <c r="C56" s="113"/>
      <c r="D56" s="113"/>
      <c r="E56" s="113"/>
      <c r="F56" s="113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13"/>
      <c r="B57" s="113"/>
      <c r="C57" s="113"/>
      <c r="D57" s="113"/>
      <c r="E57" s="113"/>
      <c r="F57" s="113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13"/>
      <c r="B58" s="113"/>
      <c r="C58" s="113"/>
      <c r="D58" s="113"/>
      <c r="E58" s="113"/>
      <c r="F58" s="113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13"/>
      <c r="B59" s="113"/>
      <c r="C59" s="113"/>
      <c r="D59" s="113"/>
      <c r="E59" s="113"/>
      <c r="F59" s="113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13"/>
      <c r="B60" s="113"/>
      <c r="C60" s="113"/>
      <c r="D60" s="113"/>
      <c r="E60" s="113"/>
      <c r="F60" s="113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13"/>
      <c r="B61" s="113"/>
      <c r="C61" s="113"/>
      <c r="D61" s="113"/>
      <c r="E61" s="113"/>
      <c r="F61" s="113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13"/>
      <c r="B62" s="113"/>
      <c r="C62" s="113"/>
      <c r="D62" s="113"/>
      <c r="E62" s="113"/>
      <c r="F62" s="113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13"/>
      <c r="B63" s="113"/>
      <c r="C63" s="113"/>
      <c r="D63" s="113"/>
      <c r="E63" s="113"/>
      <c r="F63" s="113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13"/>
      <c r="B64" s="113"/>
      <c r="C64" s="113"/>
      <c r="D64" s="113"/>
      <c r="E64" s="113"/>
      <c r="F64" s="113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13"/>
      <c r="B65" s="113"/>
      <c r="C65" s="113"/>
      <c r="D65" s="113"/>
      <c r="E65" s="113"/>
      <c r="F65" s="113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13"/>
      <c r="B66" s="113"/>
      <c r="C66" s="113"/>
      <c r="D66" s="113"/>
      <c r="E66" s="113"/>
      <c r="F66" s="113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13"/>
      <c r="B67" s="113"/>
      <c r="C67" s="113"/>
      <c r="D67" s="113"/>
      <c r="E67" s="113"/>
      <c r="F67" s="113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13"/>
      <c r="B68" s="113"/>
      <c r="C68" s="113"/>
      <c r="D68" s="113"/>
      <c r="E68" s="113"/>
      <c r="F68" s="113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13"/>
      <c r="B69" s="113"/>
      <c r="C69" s="113"/>
      <c r="D69" s="113"/>
      <c r="E69" s="113"/>
      <c r="F69" s="113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13"/>
      <c r="B70" s="113"/>
      <c r="C70" s="113"/>
      <c r="D70" s="113"/>
      <c r="E70" s="113"/>
      <c r="F70" s="113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13"/>
      <c r="B71" s="113"/>
      <c r="C71" s="113"/>
      <c r="D71" s="113"/>
      <c r="E71" s="113"/>
      <c r="F71" s="113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13"/>
      <c r="B72" s="113"/>
      <c r="C72" s="113"/>
      <c r="D72" s="113"/>
      <c r="E72" s="113"/>
      <c r="F72" s="113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13"/>
      <c r="B73" s="113"/>
      <c r="C73" s="113"/>
      <c r="D73" s="113"/>
      <c r="E73" s="113"/>
      <c r="F73" s="113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13"/>
      <c r="B74" s="113"/>
      <c r="C74" s="113"/>
      <c r="D74" s="113"/>
      <c r="E74" s="113"/>
      <c r="F74" s="113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13"/>
      <c r="B75" s="113"/>
      <c r="C75" s="113"/>
      <c r="D75" s="113"/>
      <c r="E75" s="113"/>
      <c r="F75" s="113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13"/>
      <c r="B76" s="113"/>
      <c r="C76" s="113"/>
      <c r="D76" s="113"/>
      <c r="E76" s="113"/>
      <c r="F76" s="113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13"/>
      <c r="B77" s="113"/>
      <c r="C77" s="113"/>
      <c r="D77" s="113"/>
      <c r="E77" s="113"/>
      <c r="F77" s="113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13"/>
      <c r="B78" s="113"/>
      <c r="C78" s="113"/>
      <c r="D78" s="113"/>
      <c r="E78" s="113"/>
      <c r="F78" s="113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13"/>
      <c r="B79" s="113"/>
      <c r="C79" s="113"/>
      <c r="D79" s="113"/>
      <c r="E79" s="113"/>
      <c r="F79" s="113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13"/>
      <c r="B80" s="113"/>
      <c r="C80" s="113"/>
      <c r="D80" s="113"/>
      <c r="E80" s="113"/>
      <c r="F80" s="113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13"/>
      <c r="B81" s="113"/>
      <c r="C81" s="113"/>
      <c r="D81" s="113"/>
      <c r="E81" s="113"/>
      <c r="F81" s="113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13"/>
      <c r="B82" s="113"/>
      <c r="C82" s="113"/>
      <c r="D82" s="113"/>
      <c r="E82" s="113"/>
      <c r="F82" s="113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13"/>
      <c r="B83" s="113"/>
      <c r="C83" s="113"/>
      <c r="D83" s="113"/>
      <c r="E83" s="113"/>
      <c r="F83" s="113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13"/>
      <c r="B84" s="113"/>
      <c r="C84" s="113"/>
      <c r="D84" s="113"/>
      <c r="E84" s="113"/>
      <c r="F84" s="113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13"/>
      <c r="B85" s="113"/>
      <c r="C85" s="113"/>
      <c r="D85" s="113"/>
      <c r="E85" s="113"/>
      <c r="F85" s="113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13"/>
      <c r="B86" s="113"/>
      <c r="C86" s="113"/>
      <c r="D86" s="113"/>
      <c r="E86" s="113"/>
      <c r="F86" s="113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13"/>
      <c r="B87" s="113"/>
      <c r="C87" s="113"/>
      <c r="D87" s="113"/>
      <c r="E87" s="113"/>
      <c r="F87" s="113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13"/>
      <c r="B88" s="113"/>
      <c r="C88" s="113"/>
      <c r="D88" s="113"/>
      <c r="E88" s="113"/>
      <c r="F88" s="113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13"/>
      <c r="B89" s="113"/>
      <c r="C89" s="113"/>
      <c r="D89" s="113"/>
      <c r="E89" s="113"/>
      <c r="F89" s="113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13"/>
      <c r="B90" s="113"/>
      <c r="C90" s="113"/>
      <c r="D90" s="113"/>
      <c r="E90" s="113"/>
      <c r="F90" s="113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13"/>
      <c r="B91" s="113"/>
      <c r="C91" s="113"/>
      <c r="D91" s="113"/>
      <c r="E91" s="113"/>
      <c r="F91" s="113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13"/>
      <c r="B92" s="113"/>
      <c r="C92" s="113"/>
      <c r="D92" s="113"/>
      <c r="E92" s="113"/>
      <c r="F92" s="113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13"/>
      <c r="B93" s="113"/>
      <c r="C93" s="113"/>
      <c r="D93" s="113"/>
      <c r="E93" s="113"/>
      <c r="F93" s="113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13"/>
      <c r="B94" s="113"/>
      <c r="C94" s="113"/>
      <c r="D94" s="113"/>
      <c r="E94" s="113"/>
      <c r="F94" s="113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13"/>
      <c r="B95" s="113"/>
      <c r="C95" s="113"/>
      <c r="D95" s="113"/>
      <c r="E95" s="113"/>
      <c r="F95" s="113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13"/>
      <c r="B96" s="113"/>
      <c r="C96" s="113"/>
      <c r="D96" s="113"/>
      <c r="E96" s="113"/>
      <c r="F96" s="113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13"/>
      <c r="B97" s="113"/>
      <c r="C97" s="113"/>
      <c r="D97" s="113"/>
      <c r="E97" s="113"/>
      <c r="F97" s="113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13"/>
      <c r="B98" s="113"/>
      <c r="C98" s="113"/>
      <c r="D98" s="113"/>
      <c r="E98" s="113"/>
      <c r="F98" s="113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13"/>
      <c r="B99" s="113"/>
      <c r="C99" s="113"/>
      <c r="D99" s="113"/>
      <c r="E99" s="113"/>
      <c r="F99" s="113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13"/>
      <c r="B100" s="113"/>
      <c r="C100" s="113"/>
      <c r="D100" s="113"/>
      <c r="E100" s="113"/>
      <c r="F100" s="113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13"/>
      <c r="B101" s="113"/>
      <c r="C101" s="113"/>
      <c r="D101" s="113"/>
      <c r="E101" s="113"/>
      <c r="F101" s="113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13"/>
      <c r="B102" s="113"/>
      <c r="C102" s="113"/>
      <c r="D102" s="113"/>
      <c r="E102" s="113"/>
      <c r="F102" s="113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13"/>
      <c r="B103" s="113"/>
      <c r="C103" s="113"/>
      <c r="D103" s="113"/>
      <c r="E103" s="113"/>
      <c r="F103" s="113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13"/>
      <c r="B104" s="113"/>
      <c r="C104" s="113"/>
      <c r="D104" s="113"/>
      <c r="E104" s="113"/>
      <c r="F104" s="113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13"/>
      <c r="B105" s="113"/>
      <c r="C105" s="113"/>
      <c r="D105" s="113"/>
      <c r="E105" s="113"/>
      <c r="F105" s="113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13"/>
      <c r="B106" s="113"/>
      <c r="C106" s="113"/>
      <c r="D106" s="113"/>
      <c r="E106" s="113"/>
      <c r="F106" s="113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13"/>
      <c r="B107" s="113"/>
      <c r="C107" s="113"/>
      <c r="D107" s="113"/>
      <c r="E107" s="113"/>
      <c r="F107" s="113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13"/>
      <c r="B108" s="113"/>
      <c r="C108" s="113"/>
      <c r="D108" s="113"/>
      <c r="E108" s="113"/>
      <c r="F108" s="113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13"/>
      <c r="B109" s="113"/>
      <c r="C109" s="113"/>
      <c r="D109" s="113"/>
      <c r="E109" s="113"/>
      <c r="F109" s="113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13"/>
      <c r="B110" s="113"/>
      <c r="C110" s="113"/>
      <c r="D110" s="113"/>
      <c r="E110" s="113"/>
      <c r="F110" s="113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13"/>
      <c r="B111" s="113"/>
      <c r="C111" s="113"/>
      <c r="D111" s="113"/>
      <c r="E111" s="113"/>
      <c r="F111" s="113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13"/>
      <c r="B112" s="113"/>
      <c r="C112" s="113"/>
      <c r="D112" s="113"/>
      <c r="E112" s="113"/>
      <c r="F112" s="113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13"/>
      <c r="B113" s="113"/>
      <c r="C113" s="113"/>
      <c r="D113" s="113"/>
      <c r="E113" s="113"/>
      <c r="F113" s="113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13"/>
      <c r="B114" s="113"/>
      <c r="C114" s="113"/>
      <c r="D114" s="113"/>
      <c r="E114" s="113"/>
      <c r="F114" s="113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13"/>
      <c r="B115" s="113"/>
      <c r="C115" s="113"/>
      <c r="D115" s="113"/>
      <c r="E115" s="113"/>
      <c r="F115" s="113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13"/>
      <c r="B116" s="113"/>
      <c r="C116" s="113"/>
      <c r="D116" s="113"/>
      <c r="E116" s="113"/>
      <c r="F116" s="113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13"/>
      <c r="B117" s="113"/>
      <c r="C117" s="113"/>
      <c r="D117" s="113"/>
      <c r="E117" s="113"/>
      <c r="F117" s="113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13"/>
      <c r="B118" s="113"/>
      <c r="C118" s="113"/>
      <c r="D118" s="113"/>
      <c r="E118" s="113"/>
      <c r="F118" s="113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13"/>
      <c r="B119" s="113"/>
      <c r="C119" s="113"/>
      <c r="D119" s="113"/>
      <c r="E119" s="113"/>
      <c r="F119" s="113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13"/>
      <c r="B120" s="113"/>
      <c r="C120" s="113"/>
      <c r="D120" s="113"/>
      <c r="E120" s="113"/>
      <c r="F120" s="113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13"/>
      <c r="B121" s="113"/>
      <c r="C121" s="113"/>
      <c r="D121" s="113"/>
      <c r="E121" s="113"/>
      <c r="F121" s="113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13"/>
      <c r="B122" s="113"/>
      <c r="C122" s="113"/>
      <c r="D122" s="113"/>
      <c r="E122" s="113"/>
      <c r="F122" s="113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13"/>
      <c r="B123" s="113"/>
      <c r="C123" s="113"/>
      <c r="D123" s="113"/>
      <c r="E123" s="113"/>
      <c r="F123" s="113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13"/>
      <c r="B124" s="113"/>
      <c r="C124" s="113"/>
      <c r="D124" s="113"/>
      <c r="E124" s="113"/>
      <c r="F124" s="113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13"/>
      <c r="B125" s="113"/>
      <c r="C125" s="113"/>
      <c r="D125" s="113"/>
      <c r="E125" s="113"/>
      <c r="F125" s="113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13"/>
      <c r="B126" s="113"/>
      <c r="C126" s="113"/>
      <c r="D126" s="113"/>
      <c r="E126" s="113"/>
      <c r="F126" s="113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13"/>
      <c r="B127" s="113"/>
      <c r="C127" s="113"/>
      <c r="D127" s="113"/>
      <c r="E127" s="113"/>
      <c r="F127" s="113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13"/>
      <c r="B128" s="113"/>
      <c r="C128" s="113"/>
      <c r="D128" s="113"/>
      <c r="E128" s="113"/>
      <c r="F128" s="113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13"/>
      <c r="B129" s="113"/>
      <c r="C129" s="113"/>
      <c r="D129" s="113"/>
      <c r="E129" s="113"/>
      <c r="F129" s="113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13"/>
      <c r="B130" s="113"/>
      <c r="C130" s="113"/>
      <c r="D130" s="113"/>
      <c r="E130" s="113"/>
      <c r="F130" s="113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13"/>
      <c r="B131" s="113"/>
      <c r="C131" s="113"/>
      <c r="D131" s="113"/>
      <c r="E131" s="113"/>
      <c r="F131" s="113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13"/>
      <c r="B132" s="113"/>
      <c r="C132" s="113"/>
      <c r="D132" s="113"/>
      <c r="E132" s="113"/>
      <c r="F132" s="113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13"/>
      <c r="B133" s="113"/>
      <c r="C133" s="113"/>
      <c r="D133" s="113"/>
      <c r="E133" s="113"/>
      <c r="F133" s="113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13"/>
      <c r="B134" s="113"/>
      <c r="C134" s="113"/>
      <c r="D134" s="113"/>
      <c r="E134" s="113"/>
      <c r="F134" s="113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13"/>
      <c r="B135" s="113"/>
      <c r="C135" s="113"/>
      <c r="D135" s="113"/>
      <c r="E135" s="113"/>
      <c r="F135" s="113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13"/>
      <c r="B136" s="113"/>
      <c r="C136" s="113"/>
      <c r="D136" s="113"/>
      <c r="E136" s="113"/>
      <c r="F136" s="113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13"/>
      <c r="B137" s="113"/>
      <c r="C137" s="113"/>
      <c r="D137" s="113"/>
      <c r="E137" s="113"/>
      <c r="F137" s="113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13"/>
      <c r="B138" s="113"/>
      <c r="C138" s="113"/>
      <c r="D138" s="113"/>
      <c r="E138" s="113"/>
      <c r="F138" s="113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13"/>
      <c r="B139" s="113"/>
      <c r="C139" s="113"/>
      <c r="D139" s="113"/>
      <c r="E139" s="113"/>
      <c r="F139" s="113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13"/>
      <c r="B140" s="113"/>
      <c r="C140" s="113"/>
      <c r="D140" s="113"/>
      <c r="E140" s="113"/>
      <c r="F140" s="113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13"/>
      <c r="B141" s="113"/>
      <c r="C141" s="113"/>
      <c r="D141" s="113"/>
      <c r="E141" s="113"/>
      <c r="F141" s="113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13"/>
      <c r="B142" s="113"/>
      <c r="C142" s="113"/>
      <c r="D142" s="113"/>
      <c r="E142" s="113"/>
      <c r="F142" s="113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13"/>
      <c r="B143" s="113"/>
      <c r="C143" s="113"/>
      <c r="D143" s="113"/>
      <c r="E143" s="113"/>
      <c r="F143" s="113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13"/>
      <c r="B144" s="113"/>
      <c r="C144" s="113"/>
      <c r="D144" s="113"/>
      <c r="E144" s="113"/>
      <c r="F144" s="113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13"/>
      <c r="B145" s="113"/>
      <c r="C145" s="113"/>
      <c r="D145" s="113"/>
      <c r="E145" s="113"/>
      <c r="F145" s="113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13"/>
      <c r="B146" s="113"/>
      <c r="C146" s="113"/>
      <c r="D146" s="113"/>
      <c r="E146" s="113"/>
      <c r="F146" s="113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13"/>
      <c r="B147" s="113"/>
      <c r="C147" s="113"/>
      <c r="D147" s="113"/>
      <c r="E147" s="113"/>
      <c r="F147" s="113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13"/>
      <c r="B148" s="113"/>
      <c r="C148" s="113"/>
      <c r="D148" s="113"/>
      <c r="E148" s="113"/>
      <c r="F148" s="113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13"/>
      <c r="B149" s="113"/>
      <c r="C149" s="113"/>
      <c r="D149" s="113"/>
      <c r="E149" s="113"/>
      <c r="F149" s="113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13"/>
      <c r="B150" s="113"/>
      <c r="C150" s="113"/>
      <c r="D150" s="113"/>
      <c r="E150" s="113"/>
      <c r="F150" s="113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13"/>
      <c r="B151" s="113"/>
      <c r="C151" s="113"/>
      <c r="D151" s="113"/>
      <c r="E151" s="113"/>
      <c r="F151" s="113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13"/>
      <c r="B152" s="113"/>
      <c r="C152" s="113"/>
      <c r="D152" s="113"/>
      <c r="E152" s="113"/>
      <c r="F152" s="113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13"/>
      <c r="B153" s="113"/>
      <c r="C153" s="113"/>
      <c r="D153" s="113"/>
      <c r="E153" s="113"/>
      <c r="F153" s="113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13"/>
      <c r="B154" s="113"/>
      <c r="C154" s="113"/>
      <c r="D154" s="113"/>
      <c r="E154" s="113"/>
      <c r="F154" s="113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13"/>
      <c r="B155" s="113"/>
      <c r="C155" s="113"/>
      <c r="D155" s="113"/>
      <c r="E155" s="113"/>
      <c r="F155" s="113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13"/>
      <c r="B156" s="113"/>
      <c r="C156" s="113"/>
      <c r="D156" s="113"/>
      <c r="E156" s="113"/>
      <c r="F156" s="113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13"/>
      <c r="B157" s="113"/>
      <c r="C157" s="113"/>
      <c r="D157" s="113"/>
      <c r="E157" s="113"/>
      <c r="F157" s="113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13"/>
      <c r="B158" s="113"/>
      <c r="C158" s="113"/>
      <c r="D158" s="113"/>
      <c r="E158" s="113"/>
      <c r="F158" s="113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13"/>
      <c r="B159" s="113"/>
      <c r="C159" s="113"/>
      <c r="D159" s="113"/>
      <c r="E159" s="113"/>
      <c r="F159" s="113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13"/>
      <c r="B160" s="113"/>
      <c r="C160" s="113"/>
      <c r="D160" s="113"/>
      <c r="E160" s="113"/>
      <c r="F160" s="113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13"/>
      <c r="B161" s="113"/>
      <c r="C161" s="113"/>
      <c r="D161" s="113"/>
      <c r="E161" s="113"/>
      <c r="F161" s="113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13"/>
      <c r="B162" s="113"/>
      <c r="C162" s="113"/>
      <c r="D162" s="113"/>
      <c r="E162" s="113"/>
      <c r="F162" s="113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13"/>
      <c r="B163" s="113"/>
      <c r="C163" s="113"/>
      <c r="D163" s="113"/>
      <c r="E163" s="113"/>
      <c r="F163" s="113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13"/>
      <c r="B164" s="113"/>
      <c r="C164" s="113"/>
      <c r="D164" s="113"/>
      <c r="E164" s="113"/>
      <c r="F164" s="113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13"/>
      <c r="B165" s="113"/>
      <c r="C165" s="113"/>
      <c r="D165" s="113"/>
      <c r="E165" s="113"/>
      <c r="F165" s="113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13"/>
      <c r="B166" s="113"/>
      <c r="C166" s="113"/>
      <c r="D166" s="113"/>
      <c r="E166" s="113"/>
      <c r="F166" s="113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13"/>
      <c r="B167" s="113"/>
      <c r="C167" s="113"/>
      <c r="D167" s="113"/>
      <c r="E167" s="113"/>
      <c r="F167" s="113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13"/>
      <c r="B168" s="113"/>
      <c r="C168" s="113"/>
      <c r="D168" s="113"/>
      <c r="E168" s="113"/>
      <c r="F168" s="113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13"/>
      <c r="B169" s="113"/>
      <c r="C169" s="113"/>
      <c r="D169" s="113"/>
      <c r="E169" s="113"/>
      <c r="F169" s="113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13"/>
      <c r="B170" s="113"/>
      <c r="C170" s="113"/>
      <c r="D170" s="113"/>
      <c r="E170" s="113"/>
      <c r="F170" s="113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13"/>
      <c r="B171" s="113"/>
      <c r="C171" s="113"/>
      <c r="D171" s="113"/>
      <c r="E171" s="113"/>
      <c r="F171" s="113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13"/>
      <c r="B172" s="113"/>
      <c r="C172" s="113"/>
      <c r="D172" s="113"/>
      <c r="E172" s="113"/>
      <c r="F172" s="113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13"/>
      <c r="B173" s="113"/>
      <c r="C173" s="113"/>
      <c r="D173" s="113"/>
      <c r="E173" s="113"/>
      <c r="F173" s="113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13"/>
      <c r="B174" s="113"/>
      <c r="C174" s="113"/>
      <c r="D174" s="113"/>
      <c r="E174" s="113"/>
      <c r="F174" s="113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13"/>
      <c r="B175" s="113"/>
      <c r="C175" s="113"/>
      <c r="D175" s="113"/>
      <c r="E175" s="113"/>
      <c r="F175" s="113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13"/>
      <c r="B176" s="113"/>
      <c r="C176" s="113"/>
      <c r="D176" s="113"/>
      <c r="E176" s="113"/>
      <c r="F176" s="113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13"/>
      <c r="B177" s="113"/>
      <c r="C177" s="113"/>
      <c r="D177" s="113"/>
      <c r="E177" s="113"/>
      <c r="F177" s="113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13"/>
      <c r="B178" s="113"/>
      <c r="C178" s="113"/>
      <c r="D178" s="113"/>
      <c r="E178" s="113"/>
      <c r="F178" s="113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13"/>
      <c r="B179" s="113"/>
      <c r="C179" s="113"/>
      <c r="D179" s="113"/>
      <c r="E179" s="113"/>
      <c r="F179" s="113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13"/>
      <c r="B180" s="113"/>
      <c r="C180" s="113"/>
      <c r="D180" s="113"/>
      <c r="E180" s="113"/>
      <c r="F180" s="113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13"/>
      <c r="B181" s="113"/>
      <c r="C181" s="113"/>
      <c r="D181" s="113"/>
      <c r="E181" s="113"/>
      <c r="F181" s="113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13"/>
      <c r="B182" s="113"/>
      <c r="C182" s="113"/>
      <c r="D182" s="113"/>
      <c r="E182" s="113"/>
      <c r="F182" s="113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13"/>
      <c r="B183" s="113"/>
      <c r="C183" s="113"/>
      <c r="D183" s="113"/>
      <c r="E183" s="113"/>
      <c r="F183" s="113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13"/>
      <c r="B184" s="113"/>
      <c r="C184" s="113"/>
      <c r="D184" s="113"/>
      <c r="E184" s="113"/>
      <c r="F184" s="113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13"/>
      <c r="B185" s="113"/>
      <c r="C185" s="113"/>
      <c r="D185" s="113"/>
      <c r="E185" s="113"/>
      <c r="F185" s="113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13"/>
      <c r="B186" s="113"/>
      <c r="C186" s="113"/>
      <c r="D186" s="113"/>
      <c r="E186" s="113"/>
      <c r="F186" s="113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13"/>
      <c r="B187" s="113"/>
      <c r="C187" s="113"/>
      <c r="D187" s="113"/>
      <c r="E187" s="113"/>
      <c r="F187" s="113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13"/>
      <c r="B188" s="113"/>
      <c r="C188" s="113"/>
      <c r="D188" s="113"/>
      <c r="E188" s="113"/>
      <c r="F188" s="113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13"/>
      <c r="B189" s="113"/>
      <c r="C189" s="113"/>
      <c r="D189" s="113"/>
      <c r="E189" s="113"/>
      <c r="F189" s="113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13"/>
      <c r="B190" s="113"/>
      <c r="C190" s="113"/>
      <c r="D190" s="113"/>
      <c r="E190" s="113"/>
      <c r="F190" s="113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13"/>
      <c r="B191" s="113"/>
      <c r="C191" s="113"/>
      <c r="D191" s="113"/>
      <c r="E191" s="113"/>
      <c r="F191" s="113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13"/>
      <c r="B192" s="113"/>
      <c r="C192" s="113"/>
      <c r="D192" s="113"/>
      <c r="E192" s="113"/>
      <c r="F192" s="113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13"/>
      <c r="B193" s="113"/>
      <c r="C193" s="113"/>
      <c r="D193" s="113"/>
      <c r="E193" s="113"/>
      <c r="F193" s="113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13"/>
      <c r="B194" s="113"/>
      <c r="C194" s="113"/>
      <c r="D194" s="113"/>
      <c r="E194" s="113"/>
      <c r="F194" s="113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13"/>
      <c r="B195" s="113"/>
      <c r="C195" s="113"/>
      <c r="D195" s="113"/>
      <c r="E195" s="113"/>
      <c r="F195" s="113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13"/>
      <c r="B196" s="113"/>
      <c r="C196" s="113"/>
      <c r="D196" s="113"/>
      <c r="E196" s="113"/>
      <c r="F196" s="113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13"/>
      <c r="B197" s="113"/>
      <c r="C197" s="113"/>
      <c r="D197" s="113"/>
      <c r="E197" s="113"/>
      <c r="F197" s="113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13"/>
      <c r="B198" s="113"/>
      <c r="C198" s="113"/>
      <c r="D198" s="113"/>
      <c r="E198" s="113"/>
      <c r="F198" s="113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13"/>
      <c r="B199" s="113"/>
      <c r="C199" s="113"/>
      <c r="D199" s="113"/>
      <c r="E199" s="113"/>
      <c r="F199" s="113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13"/>
      <c r="B200" s="113"/>
      <c r="C200" s="113"/>
      <c r="D200" s="113"/>
      <c r="E200" s="113"/>
      <c r="F200" s="113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13"/>
      <c r="B201" s="113"/>
      <c r="C201" s="113"/>
      <c r="D201" s="113"/>
      <c r="E201" s="113"/>
      <c r="F201" s="113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13"/>
      <c r="B202" s="113"/>
      <c r="C202" s="113"/>
      <c r="D202" s="113"/>
      <c r="E202" s="113"/>
      <c r="F202" s="113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13"/>
      <c r="B203" s="113"/>
      <c r="C203" s="113"/>
      <c r="D203" s="113"/>
      <c r="E203" s="113"/>
      <c r="F203" s="113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13"/>
      <c r="B204" s="113"/>
      <c r="C204" s="113"/>
      <c r="D204" s="113"/>
      <c r="E204" s="113"/>
      <c r="F204" s="113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13"/>
      <c r="B205" s="113"/>
      <c r="C205" s="113"/>
      <c r="D205" s="113"/>
      <c r="E205" s="113"/>
      <c r="F205" s="113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13"/>
      <c r="B206" s="113"/>
      <c r="C206" s="113"/>
      <c r="D206" s="113"/>
      <c r="E206" s="113"/>
      <c r="F206" s="113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13"/>
      <c r="B207" s="113"/>
      <c r="C207" s="113"/>
      <c r="D207" s="113"/>
      <c r="E207" s="113"/>
      <c r="F207" s="113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13"/>
      <c r="B208" s="113"/>
      <c r="C208" s="113"/>
      <c r="D208" s="113"/>
      <c r="E208" s="113"/>
      <c r="F208" s="113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13"/>
      <c r="B209" s="113"/>
      <c r="C209" s="113"/>
      <c r="D209" s="113"/>
      <c r="E209" s="113"/>
      <c r="F209" s="113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13"/>
      <c r="B210" s="113"/>
      <c r="C210" s="113"/>
      <c r="D210" s="113"/>
      <c r="E210" s="113"/>
      <c r="F210" s="113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13"/>
      <c r="B211" s="113"/>
      <c r="C211" s="113"/>
      <c r="D211" s="113"/>
      <c r="E211" s="113"/>
      <c r="F211" s="113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13"/>
      <c r="B212" s="113"/>
      <c r="C212" s="113"/>
      <c r="D212" s="113"/>
      <c r="E212" s="113"/>
      <c r="F212" s="113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13"/>
      <c r="B213" s="113"/>
      <c r="C213" s="113"/>
      <c r="D213" s="113"/>
      <c r="E213" s="113"/>
      <c r="F213" s="113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13"/>
      <c r="B214" s="113"/>
      <c r="C214" s="113"/>
      <c r="D214" s="113"/>
      <c r="E214" s="113"/>
      <c r="F214" s="113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13"/>
      <c r="B215" s="113"/>
      <c r="C215" s="113"/>
      <c r="D215" s="113"/>
      <c r="E215" s="113"/>
      <c r="F215" s="113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13"/>
      <c r="B216" s="113"/>
      <c r="C216" s="113"/>
      <c r="D216" s="113"/>
      <c r="E216" s="113"/>
      <c r="F216" s="113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13"/>
      <c r="B217" s="113"/>
      <c r="C217" s="113"/>
      <c r="D217" s="113"/>
      <c r="E217" s="113"/>
      <c r="F217" s="113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13"/>
      <c r="B218" s="113"/>
      <c r="C218" s="113"/>
      <c r="D218" s="113"/>
      <c r="E218" s="113"/>
      <c r="F218" s="113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13"/>
      <c r="B219" s="113"/>
      <c r="C219" s="113"/>
      <c r="D219" s="113"/>
      <c r="E219" s="113"/>
      <c r="F219" s="113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13"/>
      <c r="B220" s="113"/>
      <c r="C220" s="113"/>
      <c r="D220" s="113"/>
      <c r="E220" s="113"/>
      <c r="F220" s="113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13"/>
      <c r="B221" s="113"/>
      <c r="C221" s="113"/>
      <c r="D221" s="113"/>
      <c r="E221" s="113"/>
      <c r="F221" s="113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13"/>
      <c r="B222" s="113"/>
      <c r="C222" s="113"/>
      <c r="D222" s="113"/>
      <c r="E222" s="113"/>
      <c r="F222" s="113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13"/>
      <c r="B223" s="113"/>
      <c r="C223" s="113"/>
      <c r="D223" s="113"/>
      <c r="E223" s="113"/>
      <c r="F223" s="113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13"/>
      <c r="B224" s="113"/>
      <c r="C224" s="113"/>
      <c r="D224" s="113"/>
      <c r="E224" s="113"/>
      <c r="F224" s="113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13"/>
      <c r="B225" s="113"/>
      <c r="C225" s="113"/>
      <c r="D225" s="113"/>
      <c r="E225" s="113"/>
      <c r="F225" s="113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13"/>
      <c r="B226" s="113"/>
      <c r="C226" s="113"/>
      <c r="D226" s="113"/>
      <c r="E226" s="113"/>
      <c r="F226" s="113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13"/>
      <c r="B227" s="113"/>
      <c r="C227" s="113"/>
      <c r="D227" s="113"/>
      <c r="E227" s="113"/>
      <c r="F227" s="113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13"/>
      <c r="B228" s="113"/>
      <c r="C228" s="113"/>
      <c r="D228" s="113"/>
      <c r="E228" s="113"/>
      <c r="F228" s="113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13"/>
      <c r="B229" s="113"/>
      <c r="C229" s="113"/>
      <c r="D229" s="113"/>
      <c r="E229" s="113"/>
      <c r="F229" s="113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13"/>
      <c r="B230" s="113"/>
      <c r="C230" s="113"/>
      <c r="D230" s="113"/>
      <c r="E230" s="113"/>
      <c r="F230" s="113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13"/>
      <c r="B231" s="113"/>
      <c r="C231" s="113"/>
      <c r="D231" s="113"/>
      <c r="E231" s="113"/>
      <c r="F231" s="113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13"/>
      <c r="B232" s="113"/>
      <c r="C232" s="113"/>
      <c r="D232" s="113"/>
      <c r="E232" s="113"/>
      <c r="F232" s="113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13"/>
      <c r="B233" s="113"/>
      <c r="C233" s="113"/>
      <c r="D233" s="113"/>
      <c r="E233" s="113"/>
      <c r="F233" s="113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13"/>
      <c r="B234" s="113"/>
      <c r="C234" s="113"/>
      <c r="D234" s="113"/>
      <c r="E234" s="113"/>
      <c r="F234" s="113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13"/>
      <c r="B235" s="113"/>
      <c r="C235" s="113"/>
      <c r="D235" s="113"/>
      <c r="E235" s="113"/>
      <c r="F235" s="113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13"/>
      <c r="B236" s="113"/>
      <c r="C236" s="113"/>
      <c r="D236" s="113"/>
      <c r="E236" s="113"/>
      <c r="F236" s="113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13"/>
      <c r="B237" s="113"/>
      <c r="C237" s="113"/>
      <c r="D237" s="113"/>
      <c r="E237" s="113"/>
      <c r="F237" s="113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13"/>
      <c r="B238" s="113"/>
      <c r="C238" s="113"/>
      <c r="D238" s="113"/>
      <c r="E238" s="113"/>
      <c r="F238" s="113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13"/>
      <c r="B239" s="113"/>
      <c r="C239" s="113"/>
      <c r="D239" s="113"/>
      <c r="E239" s="113"/>
      <c r="F239" s="113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13"/>
      <c r="B240" s="113"/>
      <c r="C240" s="113"/>
      <c r="D240" s="113"/>
      <c r="E240" s="113"/>
      <c r="F240" s="113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13"/>
      <c r="B241" s="113"/>
      <c r="C241" s="113"/>
      <c r="D241" s="113"/>
      <c r="E241" s="113"/>
      <c r="F241" s="113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13"/>
      <c r="B242" s="113"/>
      <c r="C242" s="113"/>
      <c r="D242" s="113"/>
      <c r="E242" s="113"/>
      <c r="F242" s="113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13"/>
      <c r="B243" s="113"/>
      <c r="C243" s="113"/>
      <c r="D243" s="113"/>
      <c r="E243" s="113"/>
      <c r="F243" s="113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13"/>
      <c r="B244" s="113"/>
      <c r="C244" s="113"/>
      <c r="D244" s="113"/>
      <c r="E244" s="113"/>
      <c r="F244" s="113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13"/>
      <c r="B245" s="113"/>
      <c r="C245" s="113"/>
      <c r="D245" s="113"/>
      <c r="E245" s="113"/>
      <c r="F245" s="113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13"/>
      <c r="B246" s="113"/>
      <c r="C246" s="113"/>
      <c r="D246" s="113"/>
      <c r="E246" s="113"/>
      <c r="F246" s="113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13"/>
      <c r="B247" s="113"/>
      <c r="C247" s="113"/>
      <c r="D247" s="113"/>
      <c r="E247" s="113"/>
      <c r="F247" s="113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13"/>
      <c r="B248" s="113"/>
      <c r="C248" s="113"/>
      <c r="D248" s="113"/>
      <c r="E248" s="113"/>
      <c r="F248" s="113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13"/>
      <c r="B249" s="113"/>
      <c r="C249" s="113"/>
      <c r="D249" s="113"/>
      <c r="E249" s="113"/>
      <c r="F249" s="113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13"/>
      <c r="B250" s="113"/>
      <c r="C250" s="113"/>
      <c r="D250" s="113"/>
      <c r="E250" s="113"/>
      <c r="F250" s="113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13"/>
      <c r="B251" s="113"/>
      <c r="C251" s="113"/>
      <c r="D251" s="113"/>
      <c r="E251" s="113"/>
      <c r="F251" s="113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13"/>
      <c r="B252" s="113"/>
      <c r="C252" s="113"/>
      <c r="D252" s="113"/>
      <c r="E252" s="113"/>
      <c r="F252" s="113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13"/>
      <c r="B253" s="113"/>
      <c r="C253" s="113"/>
      <c r="D253" s="113"/>
      <c r="E253" s="113"/>
      <c r="F253" s="113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13"/>
      <c r="B254" s="113"/>
      <c r="C254" s="113"/>
      <c r="D254" s="113"/>
      <c r="E254" s="113"/>
      <c r="F254" s="113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13"/>
      <c r="B255" s="113"/>
      <c r="C255" s="113"/>
      <c r="D255" s="113"/>
      <c r="E255" s="113"/>
      <c r="F255" s="113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13"/>
      <c r="B256" s="113"/>
      <c r="C256" s="113"/>
      <c r="D256" s="113"/>
      <c r="E256" s="113"/>
      <c r="F256" s="113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13"/>
      <c r="B257" s="113"/>
      <c r="C257" s="113"/>
      <c r="D257" s="113"/>
      <c r="E257" s="113"/>
      <c r="F257" s="113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13"/>
      <c r="B258" s="113"/>
      <c r="C258" s="113"/>
      <c r="D258" s="113"/>
      <c r="E258" s="113"/>
      <c r="F258" s="113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13"/>
      <c r="B259" s="113"/>
      <c r="C259" s="113"/>
      <c r="D259" s="113"/>
      <c r="E259" s="113"/>
      <c r="F259" s="113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13"/>
      <c r="B260" s="113"/>
      <c r="C260" s="113"/>
      <c r="D260" s="113"/>
      <c r="E260" s="113"/>
      <c r="F260" s="113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13"/>
      <c r="B261" s="113"/>
      <c r="C261" s="113"/>
      <c r="D261" s="113"/>
      <c r="E261" s="113"/>
      <c r="F261" s="113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13"/>
      <c r="B262" s="113"/>
      <c r="C262" s="113"/>
      <c r="D262" s="113"/>
      <c r="E262" s="113"/>
      <c r="F262" s="113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13"/>
      <c r="B263" s="113"/>
      <c r="C263" s="113"/>
      <c r="D263" s="113"/>
      <c r="E263" s="113"/>
      <c r="F263" s="113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13"/>
      <c r="B264" s="113"/>
      <c r="C264" s="113"/>
      <c r="D264" s="113"/>
      <c r="E264" s="113"/>
      <c r="F264" s="113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13"/>
      <c r="B265" s="113"/>
      <c r="C265" s="113"/>
      <c r="D265" s="113"/>
      <c r="E265" s="113"/>
      <c r="F265" s="113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13"/>
      <c r="B266" s="113"/>
      <c r="C266" s="113"/>
      <c r="D266" s="113"/>
      <c r="E266" s="113"/>
      <c r="F266" s="113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13"/>
      <c r="B267" s="113"/>
      <c r="C267" s="113"/>
      <c r="D267" s="113"/>
      <c r="E267" s="113"/>
      <c r="F267" s="113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13"/>
      <c r="B268" s="113"/>
      <c r="C268" s="113"/>
      <c r="D268" s="113"/>
      <c r="E268" s="113"/>
      <c r="F268" s="113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13"/>
      <c r="B269" s="113"/>
      <c r="C269" s="113"/>
      <c r="D269" s="113"/>
      <c r="E269" s="113"/>
      <c r="F269" s="113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13"/>
      <c r="B270" s="113"/>
      <c r="C270" s="113"/>
      <c r="D270" s="113"/>
      <c r="E270" s="113"/>
      <c r="F270" s="113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13"/>
      <c r="B271" s="113"/>
      <c r="C271" s="113"/>
      <c r="D271" s="113"/>
      <c r="E271" s="113"/>
      <c r="F271" s="113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13"/>
      <c r="B272" s="113"/>
      <c r="C272" s="113"/>
      <c r="D272" s="113"/>
      <c r="E272" s="113"/>
      <c r="F272" s="113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13"/>
      <c r="B273" s="113"/>
      <c r="C273" s="113"/>
      <c r="D273" s="113"/>
      <c r="E273" s="113"/>
      <c r="F273" s="113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13"/>
      <c r="B274" s="113"/>
      <c r="C274" s="113"/>
      <c r="D274" s="113"/>
      <c r="E274" s="113"/>
      <c r="F274" s="113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13"/>
      <c r="B275" s="113"/>
      <c r="C275" s="113"/>
      <c r="D275" s="113"/>
      <c r="E275" s="113"/>
      <c r="F275" s="113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13"/>
      <c r="B276" s="113"/>
      <c r="C276" s="113"/>
      <c r="D276" s="113"/>
      <c r="E276" s="113"/>
      <c r="F276" s="113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13"/>
      <c r="B277" s="113"/>
      <c r="C277" s="113"/>
      <c r="D277" s="113"/>
      <c r="E277" s="113"/>
      <c r="F277" s="113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13"/>
      <c r="B278" s="113"/>
      <c r="C278" s="113"/>
      <c r="D278" s="113"/>
      <c r="E278" s="113"/>
      <c r="F278" s="113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13"/>
      <c r="B279" s="113"/>
      <c r="C279" s="113"/>
      <c r="D279" s="113"/>
      <c r="E279" s="113"/>
      <c r="F279" s="113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13"/>
      <c r="B280" s="113"/>
      <c r="C280" s="113"/>
      <c r="D280" s="113"/>
      <c r="E280" s="113"/>
      <c r="F280" s="113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13"/>
      <c r="B281" s="113"/>
      <c r="C281" s="113"/>
      <c r="D281" s="113"/>
      <c r="E281" s="113"/>
      <c r="F281" s="113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13"/>
      <c r="B282" s="113"/>
      <c r="C282" s="113"/>
      <c r="D282" s="113"/>
      <c r="E282" s="113"/>
      <c r="F282" s="113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13"/>
      <c r="B283" s="113"/>
      <c r="C283" s="113"/>
      <c r="D283" s="113"/>
      <c r="E283" s="113"/>
      <c r="F283" s="113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13"/>
      <c r="B284" s="113"/>
      <c r="C284" s="113"/>
      <c r="D284" s="113"/>
      <c r="E284" s="113"/>
      <c r="F284" s="113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13"/>
      <c r="B285" s="113"/>
      <c r="C285" s="113"/>
      <c r="D285" s="113"/>
      <c r="E285" s="113"/>
      <c r="F285" s="113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13"/>
      <c r="B286" s="113"/>
      <c r="C286" s="113"/>
      <c r="D286" s="113"/>
      <c r="E286" s="113"/>
      <c r="F286" s="113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13"/>
      <c r="B287" s="113"/>
      <c r="C287" s="113"/>
      <c r="D287" s="113"/>
      <c r="E287" s="113"/>
      <c r="F287" s="113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13"/>
      <c r="B288" s="113"/>
      <c r="C288" s="113"/>
      <c r="D288" s="113"/>
      <c r="E288" s="113"/>
      <c r="F288" s="113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13"/>
      <c r="B289" s="113"/>
      <c r="C289" s="113"/>
      <c r="D289" s="113"/>
      <c r="E289" s="113"/>
      <c r="F289" s="113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13"/>
      <c r="B290" s="113"/>
      <c r="C290" s="113"/>
      <c r="D290" s="113"/>
      <c r="E290" s="113"/>
      <c r="F290" s="113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13"/>
      <c r="B291" s="113"/>
      <c r="C291" s="113"/>
      <c r="D291" s="113"/>
      <c r="E291" s="113"/>
      <c r="F291" s="113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13"/>
      <c r="B292" s="113"/>
      <c r="C292" s="113"/>
      <c r="D292" s="113"/>
      <c r="E292" s="113"/>
      <c r="F292" s="113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13"/>
      <c r="B293" s="113"/>
      <c r="C293" s="113"/>
      <c r="D293" s="113"/>
      <c r="E293" s="113"/>
      <c r="F293" s="113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13"/>
      <c r="B294" s="113"/>
      <c r="C294" s="113"/>
      <c r="D294" s="113"/>
      <c r="E294" s="113"/>
      <c r="F294" s="113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13"/>
      <c r="B295" s="113"/>
      <c r="C295" s="113"/>
      <c r="D295" s="113"/>
      <c r="E295" s="113"/>
      <c r="F295" s="113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13"/>
      <c r="B296" s="113"/>
      <c r="C296" s="113"/>
      <c r="D296" s="113"/>
      <c r="E296" s="113"/>
      <c r="F296" s="113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13"/>
      <c r="B297" s="113"/>
      <c r="C297" s="113"/>
      <c r="D297" s="113"/>
      <c r="E297" s="113"/>
      <c r="F297" s="113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13"/>
      <c r="B298" s="113"/>
      <c r="C298" s="113"/>
      <c r="D298" s="113"/>
      <c r="E298" s="113"/>
      <c r="F298" s="113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13"/>
      <c r="B299" s="113"/>
      <c r="C299" s="113"/>
      <c r="D299" s="113"/>
      <c r="E299" s="113"/>
      <c r="F299" s="113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13"/>
      <c r="B300" s="113"/>
      <c r="C300" s="113"/>
      <c r="D300" s="113"/>
      <c r="E300" s="113"/>
      <c r="F300" s="113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13"/>
      <c r="B301" s="113"/>
      <c r="C301" s="113"/>
      <c r="D301" s="113"/>
      <c r="E301" s="113"/>
      <c r="F301" s="113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13"/>
      <c r="B302" s="113"/>
      <c r="C302" s="113"/>
      <c r="D302" s="113"/>
      <c r="E302" s="113"/>
      <c r="F302" s="113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13"/>
      <c r="B303" s="113"/>
      <c r="C303" s="113"/>
      <c r="D303" s="113"/>
      <c r="E303" s="113"/>
      <c r="F303" s="113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13"/>
      <c r="B304" s="113"/>
      <c r="C304" s="113"/>
      <c r="D304" s="113"/>
      <c r="E304" s="113"/>
      <c r="F304" s="113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13"/>
      <c r="B305" s="113"/>
      <c r="C305" s="113"/>
      <c r="D305" s="113"/>
      <c r="E305" s="113"/>
      <c r="F305" s="113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13"/>
      <c r="B306" s="113"/>
      <c r="C306" s="113"/>
      <c r="D306" s="113"/>
      <c r="E306" s="113"/>
      <c r="F306" s="113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13"/>
      <c r="B307" s="113"/>
      <c r="C307" s="113"/>
      <c r="D307" s="113"/>
      <c r="E307" s="113"/>
      <c r="F307" s="113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13"/>
      <c r="B308" s="113"/>
      <c r="C308" s="113"/>
      <c r="D308" s="113"/>
      <c r="E308" s="113"/>
      <c r="F308" s="113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13"/>
      <c r="B309" s="113"/>
      <c r="C309" s="113"/>
      <c r="D309" s="113"/>
      <c r="E309" s="113"/>
      <c r="F309" s="113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13"/>
      <c r="B310" s="113"/>
      <c r="C310" s="113"/>
      <c r="D310" s="113"/>
      <c r="E310" s="113"/>
      <c r="F310" s="113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13"/>
      <c r="B311" s="113"/>
      <c r="C311" s="113"/>
      <c r="D311" s="113"/>
      <c r="E311" s="113"/>
      <c r="F311" s="113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13"/>
      <c r="B312" s="113"/>
      <c r="C312" s="113"/>
      <c r="D312" s="113"/>
      <c r="E312" s="113"/>
      <c r="F312" s="113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13"/>
      <c r="B313" s="113"/>
      <c r="C313" s="113"/>
      <c r="D313" s="113"/>
      <c r="E313" s="113"/>
      <c r="F313" s="113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13"/>
      <c r="B314" s="113"/>
      <c r="C314" s="113"/>
      <c r="D314" s="113"/>
      <c r="E314" s="113"/>
      <c r="F314" s="113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13"/>
      <c r="B315" s="113"/>
      <c r="C315" s="113"/>
      <c r="D315" s="113"/>
      <c r="E315" s="113"/>
      <c r="F315" s="113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13"/>
      <c r="B316" s="113"/>
      <c r="C316" s="113"/>
      <c r="D316" s="113"/>
      <c r="E316" s="113"/>
      <c r="F316" s="113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13"/>
      <c r="B317" s="113"/>
      <c r="C317" s="113"/>
      <c r="D317" s="113"/>
      <c r="E317" s="113"/>
      <c r="F317" s="113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13"/>
      <c r="B318" s="113"/>
      <c r="C318" s="113"/>
      <c r="D318" s="113"/>
      <c r="E318" s="113"/>
      <c r="F318" s="113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13"/>
      <c r="B319" s="113"/>
      <c r="C319" s="113"/>
      <c r="D319" s="113"/>
      <c r="E319" s="113"/>
      <c r="F319" s="113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13"/>
      <c r="B320" s="113"/>
      <c r="C320" s="113"/>
      <c r="D320" s="113"/>
      <c r="E320" s="113"/>
      <c r="F320" s="113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13"/>
      <c r="B321" s="113"/>
      <c r="C321" s="113"/>
      <c r="D321" s="113"/>
      <c r="E321" s="113"/>
      <c r="F321" s="113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13"/>
      <c r="B322" s="113"/>
      <c r="C322" s="113"/>
      <c r="D322" s="113"/>
      <c r="E322" s="113"/>
      <c r="F322" s="113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13"/>
      <c r="B323" s="113"/>
      <c r="C323" s="113"/>
      <c r="D323" s="113"/>
      <c r="E323" s="113"/>
      <c r="F323" s="113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13"/>
      <c r="B324" s="113"/>
      <c r="C324" s="113"/>
      <c r="D324" s="113"/>
      <c r="E324" s="113"/>
      <c r="F324" s="113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13"/>
      <c r="B325" s="113"/>
      <c r="C325" s="113"/>
      <c r="D325" s="113"/>
      <c r="E325" s="113"/>
      <c r="F325" s="113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13"/>
      <c r="B326" s="113"/>
      <c r="C326" s="113"/>
      <c r="D326" s="113"/>
      <c r="E326" s="113"/>
      <c r="F326" s="113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13"/>
      <c r="B327" s="113"/>
      <c r="C327" s="113"/>
      <c r="D327" s="113"/>
      <c r="E327" s="113"/>
      <c r="F327" s="113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13"/>
      <c r="B328" s="113"/>
      <c r="C328" s="113"/>
      <c r="D328" s="113"/>
      <c r="E328" s="113"/>
      <c r="F328" s="113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13"/>
      <c r="B329" s="113"/>
      <c r="C329" s="113"/>
      <c r="D329" s="113"/>
      <c r="E329" s="113"/>
      <c r="F329" s="113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13"/>
      <c r="B330" s="113"/>
      <c r="C330" s="113"/>
      <c r="D330" s="113"/>
      <c r="E330" s="113"/>
      <c r="F330" s="113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13"/>
      <c r="B331" s="113"/>
      <c r="C331" s="113"/>
      <c r="D331" s="113"/>
      <c r="E331" s="113"/>
      <c r="F331" s="113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13"/>
      <c r="B332" s="113"/>
      <c r="C332" s="113"/>
      <c r="D332" s="113"/>
      <c r="E332" s="113"/>
      <c r="F332" s="113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13"/>
      <c r="B333" s="113"/>
      <c r="C333" s="113"/>
      <c r="D333" s="113"/>
      <c r="E333" s="113"/>
      <c r="F333" s="113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13"/>
      <c r="B334" s="113"/>
      <c r="C334" s="113"/>
      <c r="D334" s="113"/>
      <c r="E334" s="113"/>
      <c r="F334" s="113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13"/>
      <c r="B335" s="113"/>
      <c r="C335" s="113"/>
      <c r="D335" s="113"/>
      <c r="E335" s="113"/>
      <c r="F335" s="113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13"/>
      <c r="B336" s="113"/>
      <c r="C336" s="113"/>
      <c r="D336" s="113"/>
      <c r="E336" s="113"/>
      <c r="F336" s="113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13"/>
      <c r="B337" s="113"/>
      <c r="C337" s="113"/>
      <c r="D337" s="113"/>
      <c r="E337" s="113"/>
      <c r="F337" s="113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13"/>
      <c r="B338" s="113"/>
      <c r="C338" s="113"/>
      <c r="D338" s="113"/>
      <c r="E338" s="113"/>
      <c r="F338" s="113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13"/>
      <c r="B339" s="113"/>
      <c r="C339" s="113"/>
      <c r="D339" s="113"/>
      <c r="E339" s="113"/>
      <c r="F339" s="113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13"/>
      <c r="B340" s="113"/>
      <c r="C340" s="113"/>
      <c r="D340" s="113"/>
      <c r="E340" s="113"/>
      <c r="F340" s="113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13"/>
      <c r="B341" s="113"/>
      <c r="C341" s="113"/>
      <c r="D341" s="113"/>
      <c r="E341" s="113"/>
      <c r="F341" s="113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13"/>
      <c r="B342" s="113"/>
      <c r="C342" s="113"/>
      <c r="D342" s="113"/>
      <c r="E342" s="113"/>
      <c r="F342" s="113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13"/>
      <c r="B343" s="113"/>
      <c r="C343" s="113"/>
      <c r="D343" s="113"/>
      <c r="E343" s="113"/>
      <c r="F343" s="113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13"/>
      <c r="B344" s="113"/>
      <c r="C344" s="113"/>
      <c r="D344" s="113"/>
      <c r="E344" s="113"/>
      <c r="F344" s="113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13"/>
      <c r="B345" s="113"/>
      <c r="C345" s="113"/>
      <c r="D345" s="113"/>
      <c r="E345" s="113"/>
      <c r="F345" s="113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13"/>
      <c r="B346" s="113"/>
      <c r="C346" s="113"/>
      <c r="D346" s="113"/>
      <c r="E346" s="113"/>
      <c r="F346" s="113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13"/>
      <c r="B347" s="113"/>
      <c r="C347" s="113"/>
      <c r="D347" s="113"/>
      <c r="E347" s="113"/>
      <c r="F347" s="113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13"/>
      <c r="B348" s="113"/>
      <c r="C348" s="113"/>
      <c r="D348" s="113"/>
      <c r="E348" s="113"/>
      <c r="F348" s="113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13"/>
      <c r="B349" s="113"/>
      <c r="C349" s="113"/>
      <c r="D349" s="113"/>
      <c r="E349" s="113"/>
      <c r="F349" s="113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13"/>
      <c r="B350" s="113"/>
      <c r="C350" s="113"/>
      <c r="D350" s="113"/>
      <c r="E350" s="113"/>
      <c r="F350" s="113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13"/>
      <c r="B351" s="113"/>
      <c r="C351" s="113"/>
      <c r="D351" s="113"/>
      <c r="E351" s="113"/>
      <c r="F351" s="113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13"/>
      <c r="B352" s="113"/>
      <c r="C352" s="113"/>
      <c r="D352" s="113"/>
      <c r="E352" s="113"/>
      <c r="F352" s="113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13"/>
      <c r="B353" s="113"/>
      <c r="C353" s="113"/>
      <c r="D353" s="113"/>
      <c r="E353" s="113"/>
      <c r="F353" s="113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13"/>
      <c r="B354" s="113"/>
      <c r="C354" s="113"/>
      <c r="D354" s="113"/>
      <c r="E354" s="113"/>
      <c r="F354" s="113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13"/>
      <c r="B355" s="113"/>
      <c r="C355" s="113"/>
      <c r="D355" s="113"/>
      <c r="E355" s="113"/>
      <c r="F355" s="113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13"/>
      <c r="B356" s="113"/>
      <c r="C356" s="113"/>
      <c r="D356" s="113"/>
      <c r="E356" s="113"/>
      <c r="F356" s="113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13"/>
      <c r="B357" s="113"/>
      <c r="C357" s="113"/>
      <c r="D357" s="113"/>
      <c r="E357" s="113"/>
      <c r="F357" s="113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13"/>
      <c r="B358" s="113"/>
      <c r="C358" s="113"/>
      <c r="D358" s="113"/>
      <c r="E358" s="113"/>
      <c r="F358" s="113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13"/>
      <c r="B359" s="113"/>
      <c r="C359" s="113"/>
      <c r="D359" s="113"/>
      <c r="E359" s="113"/>
      <c r="F359" s="113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13"/>
      <c r="B360" s="113"/>
      <c r="C360" s="113"/>
      <c r="D360" s="113"/>
      <c r="E360" s="113"/>
      <c r="F360" s="113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13"/>
      <c r="B361" s="113"/>
      <c r="C361" s="113"/>
      <c r="D361" s="113"/>
      <c r="E361" s="113"/>
      <c r="F361" s="113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13"/>
      <c r="B362" s="113"/>
      <c r="C362" s="113"/>
      <c r="D362" s="113"/>
      <c r="E362" s="113"/>
      <c r="F362" s="113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13"/>
      <c r="B363" s="113"/>
      <c r="C363" s="113"/>
      <c r="D363" s="113"/>
      <c r="E363" s="113"/>
      <c r="F363" s="113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13"/>
      <c r="B364" s="113"/>
      <c r="C364" s="113"/>
      <c r="D364" s="113"/>
      <c r="E364" s="113"/>
      <c r="F364" s="113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13"/>
      <c r="B365" s="113"/>
      <c r="C365" s="113"/>
      <c r="D365" s="113"/>
      <c r="E365" s="113"/>
      <c r="F365" s="113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13"/>
      <c r="B366" s="113"/>
      <c r="C366" s="113"/>
      <c r="D366" s="113"/>
      <c r="E366" s="113"/>
      <c r="F366" s="113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13"/>
      <c r="B367" s="113"/>
      <c r="C367" s="113"/>
      <c r="D367" s="113"/>
      <c r="E367" s="113"/>
      <c r="F367" s="113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13"/>
      <c r="B368" s="113"/>
      <c r="C368" s="113"/>
      <c r="D368" s="113"/>
      <c r="E368" s="113"/>
      <c r="F368" s="113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13"/>
      <c r="B369" s="113"/>
      <c r="C369" s="113"/>
      <c r="D369" s="113"/>
      <c r="E369" s="113"/>
      <c r="F369" s="113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13"/>
      <c r="B370" s="113"/>
      <c r="C370" s="113"/>
      <c r="D370" s="113"/>
      <c r="E370" s="113"/>
      <c r="F370" s="113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13"/>
      <c r="B371" s="113"/>
      <c r="C371" s="113"/>
      <c r="D371" s="113"/>
      <c r="E371" s="113"/>
      <c r="F371" s="113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13"/>
      <c r="B372" s="113"/>
      <c r="C372" s="113"/>
      <c r="D372" s="113"/>
      <c r="E372" s="113"/>
      <c r="F372" s="113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13"/>
      <c r="B373" s="113"/>
      <c r="C373" s="113"/>
      <c r="D373" s="113"/>
      <c r="E373" s="113"/>
      <c r="F373" s="113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13"/>
      <c r="B374" s="113"/>
      <c r="C374" s="113"/>
      <c r="D374" s="113"/>
      <c r="E374" s="113"/>
      <c r="F374" s="113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13"/>
      <c r="B375" s="113"/>
      <c r="C375" s="113"/>
      <c r="D375" s="113"/>
      <c r="E375" s="113"/>
      <c r="F375" s="113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13"/>
      <c r="B376" s="113"/>
      <c r="C376" s="113"/>
      <c r="D376" s="113"/>
      <c r="E376" s="113"/>
      <c r="F376" s="113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13"/>
      <c r="B377" s="113"/>
      <c r="C377" s="113"/>
      <c r="D377" s="113"/>
      <c r="E377" s="113"/>
      <c r="F377" s="113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13"/>
      <c r="B378" s="113"/>
      <c r="C378" s="113"/>
      <c r="D378" s="113"/>
      <c r="E378" s="113"/>
      <c r="F378" s="113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13"/>
      <c r="B379" s="113"/>
      <c r="C379" s="113"/>
      <c r="D379" s="113"/>
      <c r="E379" s="113"/>
      <c r="F379" s="113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13"/>
      <c r="B380" s="113"/>
      <c r="C380" s="113"/>
      <c r="D380" s="113"/>
      <c r="E380" s="113"/>
      <c r="F380" s="113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13"/>
      <c r="B381" s="113"/>
      <c r="C381" s="113"/>
      <c r="D381" s="113"/>
      <c r="E381" s="113"/>
      <c r="F381" s="113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13"/>
      <c r="B382" s="113"/>
      <c r="C382" s="113"/>
      <c r="D382" s="113"/>
      <c r="E382" s="113"/>
      <c r="F382" s="113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13"/>
      <c r="B383" s="113"/>
      <c r="C383" s="113"/>
      <c r="D383" s="113"/>
      <c r="E383" s="113"/>
      <c r="F383" s="113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13"/>
      <c r="B384" s="113"/>
      <c r="C384" s="113"/>
      <c r="D384" s="113"/>
      <c r="E384" s="113"/>
      <c r="F384" s="113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13"/>
      <c r="B385" s="113"/>
      <c r="C385" s="113"/>
      <c r="D385" s="113"/>
      <c r="E385" s="113"/>
      <c r="F385" s="113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13"/>
      <c r="B386" s="113"/>
      <c r="C386" s="113"/>
      <c r="D386" s="113"/>
      <c r="E386" s="113"/>
      <c r="F386" s="113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13"/>
      <c r="B387" s="113"/>
      <c r="C387" s="113"/>
      <c r="D387" s="113"/>
      <c r="E387" s="113"/>
      <c r="F387" s="113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13"/>
      <c r="B388" s="113"/>
      <c r="C388" s="113"/>
      <c r="D388" s="113"/>
      <c r="E388" s="113"/>
      <c r="F388" s="113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13"/>
      <c r="B389" s="113"/>
      <c r="C389" s="113"/>
      <c r="D389" s="113"/>
      <c r="E389" s="113"/>
      <c r="F389" s="113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13"/>
      <c r="B390" s="113"/>
      <c r="C390" s="113"/>
      <c r="D390" s="113"/>
      <c r="E390" s="113"/>
      <c r="F390" s="113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13"/>
      <c r="B391" s="113"/>
      <c r="C391" s="113"/>
      <c r="D391" s="113"/>
      <c r="E391" s="113"/>
      <c r="F391" s="113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13"/>
      <c r="B392" s="113"/>
      <c r="C392" s="113"/>
      <c r="D392" s="113"/>
      <c r="E392" s="113"/>
      <c r="F392" s="113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13"/>
      <c r="B393" s="113"/>
      <c r="C393" s="113"/>
      <c r="D393" s="113"/>
      <c r="E393" s="113"/>
      <c r="F393" s="113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13"/>
      <c r="B394" s="113"/>
      <c r="C394" s="113"/>
      <c r="D394" s="113"/>
      <c r="E394" s="113"/>
      <c r="F394" s="113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13"/>
      <c r="B395" s="113"/>
      <c r="C395" s="113"/>
      <c r="D395" s="113"/>
      <c r="E395" s="113"/>
      <c r="F395" s="113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13"/>
      <c r="B396" s="113"/>
      <c r="C396" s="113"/>
      <c r="D396" s="113"/>
      <c r="E396" s="113"/>
      <c r="F396" s="113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13"/>
      <c r="B397" s="113"/>
      <c r="C397" s="113"/>
      <c r="D397" s="113"/>
      <c r="E397" s="113"/>
      <c r="F397" s="113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13"/>
      <c r="B398" s="113"/>
      <c r="C398" s="113"/>
      <c r="D398" s="113"/>
      <c r="E398" s="113"/>
      <c r="F398" s="113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13"/>
      <c r="B399" s="113"/>
      <c r="C399" s="113"/>
      <c r="D399" s="113"/>
      <c r="E399" s="113"/>
      <c r="F399" s="113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13"/>
      <c r="B400" s="113"/>
      <c r="C400" s="113"/>
      <c r="D400" s="113"/>
      <c r="E400" s="113"/>
      <c r="F400" s="113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13"/>
      <c r="B401" s="113"/>
      <c r="C401" s="113"/>
      <c r="D401" s="113"/>
      <c r="E401" s="113"/>
      <c r="F401" s="113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13"/>
      <c r="B402" s="113"/>
      <c r="C402" s="113"/>
      <c r="D402" s="113"/>
      <c r="E402" s="113"/>
      <c r="F402" s="113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13"/>
      <c r="B403" s="113"/>
      <c r="C403" s="113"/>
      <c r="D403" s="113"/>
      <c r="E403" s="113"/>
      <c r="F403" s="113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13"/>
      <c r="B404" s="113"/>
      <c r="C404" s="113"/>
      <c r="D404" s="113"/>
      <c r="E404" s="113"/>
      <c r="F404" s="113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13"/>
      <c r="B405" s="113"/>
      <c r="C405" s="113"/>
      <c r="D405" s="113"/>
      <c r="E405" s="113"/>
      <c r="F405" s="113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13"/>
      <c r="B406" s="113"/>
      <c r="C406" s="113"/>
      <c r="D406" s="113"/>
      <c r="E406" s="113"/>
      <c r="F406" s="113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13"/>
      <c r="B407" s="113"/>
      <c r="C407" s="113"/>
      <c r="D407" s="113"/>
      <c r="E407" s="113"/>
      <c r="F407" s="113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13"/>
      <c r="B408" s="113"/>
      <c r="C408" s="113"/>
      <c r="D408" s="113"/>
      <c r="E408" s="113"/>
      <c r="F408" s="113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13"/>
      <c r="B409" s="113"/>
      <c r="C409" s="113"/>
      <c r="D409" s="113"/>
      <c r="E409" s="113"/>
      <c r="F409" s="113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13"/>
      <c r="B410" s="113"/>
      <c r="C410" s="113"/>
      <c r="D410" s="113"/>
      <c r="E410" s="113"/>
      <c r="F410" s="113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13"/>
      <c r="B411" s="113"/>
      <c r="C411" s="113"/>
      <c r="D411" s="113"/>
      <c r="E411" s="113"/>
      <c r="F411" s="113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13"/>
      <c r="B412" s="113"/>
      <c r="C412" s="113"/>
      <c r="D412" s="113"/>
      <c r="E412" s="113"/>
      <c r="F412" s="113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13"/>
      <c r="B413" s="113"/>
      <c r="C413" s="113"/>
      <c r="D413" s="113"/>
      <c r="E413" s="113"/>
      <c r="F413" s="113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13"/>
      <c r="B414" s="113"/>
      <c r="C414" s="113"/>
      <c r="D414" s="113"/>
      <c r="E414" s="113"/>
      <c r="F414" s="113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13"/>
      <c r="B415" s="113"/>
      <c r="C415" s="113"/>
      <c r="D415" s="113"/>
      <c r="E415" s="113"/>
      <c r="F415" s="113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13"/>
      <c r="B416" s="113"/>
      <c r="C416" s="113"/>
      <c r="D416" s="113"/>
      <c r="E416" s="113"/>
      <c r="F416" s="113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13"/>
      <c r="B417" s="113"/>
      <c r="C417" s="113"/>
      <c r="D417" s="113"/>
      <c r="E417" s="113"/>
      <c r="F417" s="113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13"/>
      <c r="B418" s="113"/>
      <c r="C418" s="113"/>
      <c r="D418" s="113"/>
      <c r="E418" s="113"/>
      <c r="F418" s="113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13"/>
      <c r="B419" s="113"/>
      <c r="C419" s="113"/>
      <c r="D419" s="113"/>
      <c r="E419" s="113"/>
      <c r="F419" s="113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13"/>
      <c r="B420" s="113"/>
      <c r="C420" s="113"/>
      <c r="D420" s="113"/>
      <c r="E420" s="113"/>
      <c r="F420" s="113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13"/>
      <c r="B421" s="113"/>
      <c r="C421" s="113"/>
      <c r="D421" s="113"/>
      <c r="E421" s="113"/>
      <c r="F421" s="113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13"/>
      <c r="B422" s="113"/>
      <c r="C422" s="113"/>
      <c r="D422" s="113"/>
      <c r="E422" s="113"/>
      <c r="F422" s="113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13"/>
      <c r="B423" s="113"/>
      <c r="C423" s="113"/>
      <c r="D423" s="113"/>
      <c r="E423" s="113"/>
      <c r="F423" s="113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13"/>
      <c r="B424" s="113"/>
      <c r="C424" s="113"/>
      <c r="D424" s="113"/>
      <c r="E424" s="113"/>
      <c r="F424" s="113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13"/>
      <c r="B425" s="113"/>
      <c r="C425" s="113"/>
      <c r="D425" s="113"/>
      <c r="E425" s="113"/>
      <c r="F425" s="113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13"/>
      <c r="B426" s="113"/>
      <c r="C426" s="113"/>
      <c r="D426" s="113"/>
      <c r="E426" s="113"/>
      <c r="F426" s="113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13"/>
      <c r="B427" s="113"/>
      <c r="C427" s="113"/>
      <c r="D427" s="113"/>
      <c r="E427" s="113"/>
      <c r="F427" s="113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13"/>
      <c r="B428" s="113"/>
      <c r="C428" s="113"/>
      <c r="D428" s="113"/>
      <c r="E428" s="113"/>
      <c r="F428" s="113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13"/>
      <c r="B429" s="113"/>
      <c r="C429" s="113"/>
      <c r="D429" s="113"/>
      <c r="E429" s="113"/>
      <c r="F429" s="113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13"/>
      <c r="B430" s="113"/>
      <c r="C430" s="113"/>
      <c r="D430" s="113"/>
      <c r="E430" s="113"/>
      <c r="F430" s="113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13"/>
      <c r="B431" s="113"/>
      <c r="C431" s="113"/>
      <c r="D431" s="113"/>
      <c r="E431" s="113"/>
      <c r="F431" s="113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13"/>
      <c r="B432" s="113"/>
      <c r="C432" s="113"/>
      <c r="D432" s="113"/>
      <c r="E432" s="113"/>
      <c r="F432" s="113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13"/>
      <c r="B433" s="113"/>
      <c r="C433" s="113"/>
      <c r="D433" s="113"/>
      <c r="E433" s="113"/>
      <c r="F433" s="113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13"/>
      <c r="B434" s="113"/>
      <c r="C434" s="113"/>
      <c r="D434" s="113"/>
      <c r="E434" s="113"/>
      <c r="F434" s="113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13"/>
      <c r="B435" s="113"/>
      <c r="C435" s="113"/>
      <c r="D435" s="113"/>
      <c r="E435" s="113"/>
      <c r="F435" s="113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13"/>
      <c r="B436" s="113"/>
      <c r="C436" s="113"/>
      <c r="D436" s="113"/>
      <c r="E436" s="113"/>
      <c r="F436" s="113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13"/>
      <c r="B437" s="113"/>
      <c r="C437" s="113"/>
      <c r="D437" s="113"/>
      <c r="E437" s="113"/>
      <c r="F437" s="113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13"/>
      <c r="B438" s="113"/>
      <c r="C438" s="113"/>
      <c r="D438" s="113"/>
      <c r="E438" s="113"/>
      <c r="F438" s="113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13"/>
      <c r="B439" s="113"/>
      <c r="C439" s="113"/>
      <c r="D439" s="113"/>
      <c r="E439" s="113"/>
      <c r="F439" s="113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13"/>
      <c r="B440" s="113"/>
      <c r="C440" s="113"/>
      <c r="D440" s="113"/>
      <c r="E440" s="113"/>
      <c r="F440" s="113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13"/>
      <c r="B441" s="113"/>
      <c r="C441" s="113"/>
      <c r="D441" s="113"/>
      <c r="E441" s="113"/>
      <c r="F441" s="113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13"/>
      <c r="B442" s="113"/>
      <c r="C442" s="113"/>
      <c r="D442" s="113"/>
      <c r="E442" s="113"/>
      <c r="F442" s="113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13"/>
      <c r="B443" s="113"/>
      <c r="C443" s="113"/>
      <c r="D443" s="113"/>
      <c r="E443" s="113"/>
      <c r="F443" s="113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13"/>
      <c r="B444" s="113"/>
      <c r="C444" s="113"/>
      <c r="D444" s="113"/>
      <c r="E444" s="113"/>
      <c r="F444" s="113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13"/>
      <c r="B445" s="113"/>
      <c r="C445" s="113"/>
      <c r="D445" s="113"/>
      <c r="E445" s="113"/>
      <c r="F445" s="113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13"/>
      <c r="B446" s="113"/>
      <c r="C446" s="113"/>
      <c r="D446" s="113"/>
      <c r="E446" s="113"/>
      <c r="F446" s="113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13"/>
      <c r="B447" s="113"/>
      <c r="C447" s="113"/>
      <c r="D447" s="113"/>
      <c r="E447" s="113"/>
      <c r="F447" s="113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13"/>
      <c r="B448" s="113"/>
      <c r="C448" s="113"/>
      <c r="D448" s="113"/>
      <c r="E448" s="113"/>
      <c r="F448" s="113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13"/>
      <c r="B449" s="113"/>
      <c r="C449" s="113"/>
      <c r="D449" s="113"/>
      <c r="E449" s="113"/>
      <c r="F449" s="113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13"/>
      <c r="B450" s="113"/>
      <c r="C450" s="113"/>
      <c r="D450" s="113"/>
      <c r="E450" s="113"/>
      <c r="F450" s="113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13"/>
      <c r="B451" s="113"/>
      <c r="C451" s="113"/>
      <c r="D451" s="113"/>
      <c r="E451" s="113"/>
      <c r="F451" s="113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13"/>
      <c r="B452" s="113"/>
      <c r="C452" s="113"/>
      <c r="D452" s="113"/>
      <c r="E452" s="113"/>
      <c r="F452" s="113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13"/>
      <c r="B453" s="113"/>
      <c r="C453" s="113"/>
      <c r="D453" s="113"/>
      <c r="E453" s="113"/>
      <c r="F453" s="113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13"/>
      <c r="B454" s="113"/>
      <c r="C454" s="113"/>
      <c r="D454" s="113"/>
      <c r="E454" s="113"/>
      <c r="F454" s="113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13"/>
      <c r="B455" s="113"/>
      <c r="C455" s="113"/>
      <c r="D455" s="113"/>
      <c r="E455" s="113"/>
      <c r="F455" s="113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13"/>
      <c r="B456" s="113"/>
      <c r="C456" s="113"/>
      <c r="D456" s="113"/>
      <c r="E456" s="113"/>
      <c r="F456" s="113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13"/>
      <c r="B457" s="113"/>
      <c r="C457" s="113"/>
      <c r="D457" s="113"/>
      <c r="E457" s="113"/>
      <c r="F457" s="113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13"/>
      <c r="B458" s="113"/>
      <c r="C458" s="113"/>
      <c r="D458" s="113"/>
      <c r="E458" s="113"/>
      <c r="F458" s="113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13"/>
      <c r="B459" s="113"/>
      <c r="C459" s="113"/>
      <c r="D459" s="113"/>
      <c r="E459" s="113"/>
      <c r="F459" s="113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13"/>
      <c r="B460" s="113"/>
      <c r="C460" s="113"/>
      <c r="D460" s="113"/>
      <c r="E460" s="113"/>
      <c r="F460" s="113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13"/>
      <c r="B461" s="113"/>
      <c r="C461" s="113"/>
      <c r="D461" s="113"/>
      <c r="E461" s="113"/>
      <c r="F461" s="113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13"/>
      <c r="B462" s="113"/>
      <c r="C462" s="113"/>
      <c r="D462" s="113"/>
      <c r="E462" s="113"/>
      <c r="F462" s="113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13"/>
      <c r="B463" s="113"/>
      <c r="C463" s="113"/>
      <c r="D463" s="113"/>
      <c r="E463" s="113"/>
      <c r="F463" s="113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13"/>
      <c r="B464" s="113"/>
      <c r="C464" s="113"/>
      <c r="D464" s="113"/>
      <c r="E464" s="113"/>
      <c r="F464" s="113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13"/>
      <c r="B465" s="113"/>
      <c r="C465" s="113"/>
      <c r="D465" s="113"/>
      <c r="E465" s="113"/>
      <c r="F465" s="113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13"/>
      <c r="B466" s="113"/>
      <c r="C466" s="113"/>
      <c r="D466" s="113"/>
      <c r="E466" s="113"/>
      <c r="F466" s="113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13"/>
      <c r="B467" s="113"/>
      <c r="C467" s="113"/>
      <c r="D467" s="113"/>
      <c r="E467" s="113"/>
      <c r="F467" s="113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13"/>
      <c r="B468" s="113"/>
      <c r="C468" s="113"/>
      <c r="D468" s="113"/>
      <c r="E468" s="113"/>
      <c r="F468" s="113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13"/>
      <c r="B469" s="113"/>
      <c r="C469" s="113"/>
      <c r="D469" s="113"/>
      <c r="E469" s="113"/>
      <c r="F469" s="113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13"/>
      <c r="B470" s="113"/>
      <c r="C470" s="113"/>
      <c r="D470" s="113"/>
      <c r="E470" s="113"/>
      <c r="F470" s="113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13"/>
      <c r="B471" s="113"/>
      <c r="C471" s="113"/>
      <c r="D471" s="113"/>
      <c r="E471" s="113"/>
      <c r="F471" s="113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13"/>
      <c r="B472" s="113"/>
      <c r="C472" s="113"/>
      <c r="D472" s="113"/>
      <c r="E472" s="113"/>
      <c r="F472" s="113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13"/>
      <c r="B473" s="113"/>
      <c r="C473" s="113"/>
      <c r="D473" s="113"/>
      <c r="E473" s="113"/>
      <c r="F473" s="113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13"/>
      <c r="B474" s="113"/>
      <c r="C474" s="113"/>
      <c r="D474" s="113"/>
      <c r="E474" s="113"/>
      <c r="F474" s="113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13"/>
      <c r="B475" s="113"/>
      <c r="C475" s="113"/>
      <c r="D475" s="113"/>
      <c r="E475" s="113"/>
      <c r="F475" s="113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13"/>
      <c r="B476" s="113"/>
      <c r="C476" s="113"/>
      <c r="D476" s="113"/>
      <c r="E476" s="113"/>
      <c r="F476" s="113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13"/>
      <c r="B477" s="113"/>
      <c r="C477" s="113"/>
      <c r="D477" s="113"/>
      <c r="E477" s="113"/>
      <c r="F477" s="113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13"/>
      <c r="B478" s="113"/>
      <c r="C478" s="113"/>
      <c r="D478" s="113"/>
      <c r="E478" s="113"/>
      <c r="F478" s="113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13"/>
      <c r="B479" s="113"/>
      <c r="C479" s="113"/>
      <c r="D479" s="113"/>
      <c r="E479" s="113"/>
      <c r="F479" s="113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13"/>
      <c r="B480" s="113"/>
      <c r="C480" s="113"/>
      <c r="D480" s="113"/>
      <c r="E480" s="113"/>
      <c r="F480" s="113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13"/>
      <c r="B481" s="113"/>
      <c r="C481" s="113"/>
      <c r="D481" s="113"/>
      <c r="E481" s="113"/>
      <c r="F481" s="113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13"/>
      <c r="B482" s="113"/>
      <c r="C482" s="113"/>
      <c r="D482" s="113"/>
      <c r="E482" s="113"/>
      <c r="F482" s="113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13"/>
      <c r="B483" s="113"/>
      <c r="C483" s="113"/>
      <c r="D483" s="113"/>
      <c r="E483" s="113"/>
      <c r="F483" s="113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13"/>
      <c r="B484" s="113"/>
      <c r="C484" s="113"/>
      <c r="D484" s="113"/>
      <c r="E484" s="113"/>
      <c r="F484" s="113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13"/>
      <c r="B485" s="113"/>
      <c r="C485" s="113"/>
      <c r="D485" s="113"/>
      <c r="E485" s="113"/>
      <c r="F485" s="113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13"/>
      <c r="B486" s="113"/>
      <c r="C486" s="113"/>
      <c r="D486" s="113"/>
      <c r="E486" s="113"/>
      <c r="F486" s="113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13"/>
      <c r="B487" s="113"/>
      <c r="C487" s="113"/>
      <c r="D487" s="113"/>
      <c r="E487" s="113"/>
      <c r="F487" s="113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13"/>
      <c r="B488" s="113"/>
      <c r="C488" s="113"/>
      <c r="D488" s="113"/>
      <c r="E488" s="113"/>
      <c r="F488" s="113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13"/>
      <c r="B489" s="113"/>
      <c r="C489" s="113"/>
      <c r="D489" s="113"/>
      <c r="E489" s="113"/>
      <c r="F489" s="113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13"/>
      <c r="B490" s="113"/>
      <c r="C490" s="113"/>
      <c r="D490" s="113"/>
      <c r="E490" s="113"/>
      <c r="F490" s="113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13"/>
      <c r="B491" s="113"/>
      <c r="C491" s="113"/>
      <c r="D491" s="113"/>
      <c r="E491" s="113"/>
      <c r="F491" s="113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13"/>
      <c r="B492" s="113"/>
      <c r="C492" s="113"/>
      <c r="D492" s="113"/>
      <c r="E492" s="113"/>
      <c r="F492" s="113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13"/>
      <c r="B493" s="113"/>
      <c r="C493" s="113"/>
      <c r="D493" s="113"/>
      <c r="E493" s="113"/>
      <c r="F493" s="113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13"/>
      <c r="B494" s="113"/>
      <c r="C494" s="113"/>
      <c r="D494" s="113"/>
      <c r="E494" s="113"/>
      <c r="F494" s="113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13"/>
      <c r="B495" s="113"/>
      <c r="C495" s="113"/>
      <c r="D495" s="113"/>
      <c r="E495" s="113"/>
      <c r="F495" s="113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13"/>
      <c r="B496" s="113"/>
      <c r="C496" s="113"/>
      <c r="D496" s="113"/>
      <c r="E496" s="113"/>
      <c r="F496" s="113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13"/>
      <c r="B497" s="113"/>
      <c r="C497" s="113"/>
      <c r="D497" s="113"/>
      <c r="E497" s="113"/>
      <c r="F497" s="113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13"/>
      <c r="B498" s="113"/>
      <c r="C498" s="113"/>
      <c r="D498" s="113"/>
      <c r="E498" s="113"/>
      <c r="F498" s="113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13"/>
      <c r="B499" s="113"/>
      <c r="C499" s="113"/>
      <c r="D499" s="113"/>
      <c r="E499" s="113"/>
      <c r="F499" s="113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13"/>
      <c r="B500" s="113"/>
      <c r="C500" s="113"/>
      <c r="D500" s="113"/>
      <c r="E500" s="113"/>
      <c r="F500" s="113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13"/>
      <c r="B501" s="113"/>
      <c r="C501" s="113"/>
      <c r="D501" s="113"/>
      <c r="E501" s="113"/>
      <c r="F501" s="113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13"/>
      <c r="B502" s="113"/>
      <c r="C502" s="113"/>
      <c r="D502" s="113"/>
      <c r="E502" s="113"/>
      <c r="F502" s="113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13"/>
      <c r="B503" s="113"/>
      <c r="C503" s="113"/>
      <c r="D503" s="113"/>
      <c r="E503" s="113"/>
      <c r="F503" s="113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13"/>
      <c r="B504" s="113"/>
      <c r="C504" s="113"/>
      <c r="D504" s="113"/>
      <c r="E504" s="113"/>
      <c r="F504" s="113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13"/>
      <c r="B505" s="113"/>
      <c r="C505" s="113"/>
      <c r="D505" s="113"/>
      <c r="E505" s="113"/>
      <c r="F505" s="113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13"/>
      <c r="B506" s="113"/>
      <c r="C506" s="113"/>
      <c r="D506" s="113"/>
      <c r="E506" s="113"/>
      <c r="F506" s="113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13"/>
      <c r="B507" s="113"/>
      <c r="C507" s="113"/>
      <c r="D507" s="113"/>
      <c r="E507" s="113"/>
      <c r="F507" s="113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13"/>
      <c r="B508" s="113"/>
      <c r="C508" s="113"/>
      <c r="D508" s="113"/>
      <c r="E508" s="113"/>
      <c r="F508" s="113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13"/>
      <c r="B509" s="113"/>
      <c r="C509" s="113"/>
      <c r="D509" s="113"/>
      <c r="E509" s="113"/>
      <c r="F509" s="113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13"/>
      <c r="B510" s="113"/>
      <c r="C510" s="113"/>
      <c r="D510" s="113"/>
      <c r="E510" s="113"/>
      <c r="F510" s="113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13"/>
      <c r="B511" s="113"/>
      <c r="C511" s="113"/>
      <c r="D511" s="113"/>
      <c r="E511" s="113"/>
      <c r="F511" s="113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13"/>
      <c r="B512" s="113"/>
      <c r="C512" s="113"/>
      <c r="D512" s="113"/>
      <c r="E512" s="113"/>
      <c r="F512" s="113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13"/>
      <c r="B513" s="113"/>
      <c r="C513" s="113"/>
      <c r="D513" s="113"/>
      <c r="E513" s="113"/>
      <c r="F513" s="113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13"/>
      <c r="B514" s="113"/>
      <c r="C514" s="113"/>
      <c r="D514" s="113"/>
      <c r="E514" s="113"/>
      <c r="F514" s="113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13"/>
      <c r="B515" s="113"/>
      <c r="C515" s="113"/>
      <c r="D515" s="113"/>
      <c r="E515" s="113"/>
      <c r="F515" s="113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13"/>
      <c r="B516" s="113"/>
      <c r="C516" s="113"/>
      <c r="D516" s="113"/>
      <c r="E516" s="113"/>
      <c r="F516" s="113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13"/>
      <c r="B517" s="113"/>
      <c r="C517" s="113"/>
      <c r="D517" s="113"/>
      <c r="E517" s="113"/>
      <c r="F517" s="113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13"/>
      <c r="B518" s="113"/>
      <c r="C518" s="113"/>
      <c r="D518" s="113"/>
      <c r="E518" s="113"/>
      <c r="F518" s="113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13"/>
      <c r="B519" s="113"/>
      <c r="C519" s="113"/>
      <c r="D519" s="113"/>
      <c r="E519" s="113"/>
      <c r="F519" s="113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13"/>
      <c r="B520" s="113"/>
      <c r="C520" s="113"/>
      <c r="D520" s="113"/>
      <c r="E520" s="113"/>
      <c r="F520" s="113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13"/>
      <c r="B521" s="113"/>
      <c r="C521" s="113"/>
      <c r="D521" s="113"/>
      <c r="E521" s="113"/>
      <c r="F521" s="113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13"/>
      <c r="B522" s="113"/>
      <c r="C522" s="113"/>
      <c r="D522" s="113"/>
      <c r="E522" s="113"/>
      <c r="F522" s="113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13"/>
      <c r="B523" s="113"/>
      <c r="C523" s="113"/>
      <c r="D523" s="113"/>
      <c r="E523" s="113"/>
      <c r="F523" s="113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13"/>
      <c r="B524" s="113"/>
      <c r="C524" s="113"/>
      <c r="D524" s="113"/>
      <c r="E524" s="113"/>
      <c r="F524" s="113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13"/>
      <c r="B525" s="113"/>
      <c r="C525" s="113"/>
      <c r="D525" s="113"/>
      <c r="E525" s="113"/>
      <c r="F525" s="113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13"/>
      <c r="B526" s="113"/>
      <c r="C526" s="113"/>
      <c r="D526" s="113"/>
      <c r="E526" s="113"/>
      <c r="F526" s="113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13"/>
      <c r="B527" s="113"/>
      <c r="C527" s="113"/>
      <c r="D527" s="113"/>
      <c r="E527" s="113"/>
      <c r="F527" s="113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13"/>
      <c r="B528" s="113"/>
      <c r="C528" s="113"/>
      <c r="D528" s="113"/>
      <c r="E528" s="113"/>
      <c r="F528" s="113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13"/>
      <c r="B529" s="113"/>
      <c r="C529" s="113"/>
      <c r="D529" s="113"/>
      <c r="E529" s="113"/>
      <c r="F529" s="113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13"/>
      <c r="B530" s="113"/>
      <c r="C530" s="113"/>
      <c r="D530" s="113"/>
      <c r="E530" s="113"/>
      <c r="F530" s="113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13"/>
      <c r="B531" s="113"/>
      <c r="C531" s="113"/>
      <c r="D531" s="113"/>
      <c r="E531" s="113"/>
      <c r="F531" s="113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13"/>
      <c r="B532" s="113"/>
      <c r="C532" s="113"/>
      <c r="D532" s="113"/>
      <c r="E532" s="113"/>
      <c r="F532" s="113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13"/>
      <c r="B533" s="113"/>
      <c r="C533" s="113"/>
      <c r="D533" s="113"/>
      <c r="E533" s="113"/>
      <c r="F533" s="113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13"/>
      <c r="B534" s="113"/>
      <c r="C534" s="113"/>
      <c r="D534" s="113"/>
      <c r="E534" s="113"/>
      <c r="F534" s="113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13"/>
      <c r="B535" s="113"/>
      <c r="C535" s="113"/>
      <c r="D535" s="113"/>
      <c r="E535" s="113"/>
      <c r="F535" s="113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13"/>
      <c r="B536" s="113"/>
      <c r="C536" s="113"/>
      <c r="D536" s="113"/>
      <c r="E536" s="113"/>
      <c r="F536" s="113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13"/>
      <c r="B537" s="113"/>
      <c r="C537" s="113"/>
      <c r="D537" s="113"/>
      <c r="E537" s="113"/>
      <c r="F537" s="113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13"/>
      <c r="B538" s="113"/>
      <c r="C538" s="113"/>
      <c r="D538" s="113"/>
      <c r="E538" s="113"/>
      <c r="F538" s="113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13"/>
      <c r="B539" s="113"/>
      <c r="C539" s="113"/>
      <c r="D539" s="113"/>
      <c r="E539" s="113"/>
      <c r="F539" s="113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13"/>
      <c r="B540" s="113"/>
      <c r="C540" s="113"/>
      <c r="D540" s="113"/>
      <c r="E540" s="113"/>
      <c r="F540" s="113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13"/>
      <c r="B541" s="113"/>
      <c r="C541" s="113"/>
      <c r="D541" s="113"/>
      <c r="E541" s="113"/>
      <c r="F541" s="113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13"/>
      <c r="B542" s="113"/>
      <c r="C542" s="113"/>
      <c r="D542" s="113"/>
      <c r="E542" s="113"/>
      <c r="F542" s="113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13"/>
      <c r="B543" s="113"/>
      <c r="C543" s="113"/>
      <c r="D543" s="113"/>
      <c r="E543" s="113"/>
      <c r="F543" s="113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13"/>
      <c r="B544" s="113"/>
      <c r="C544" s="113"/>
      <c r="D544" s="113"/>
      <c r="E544" s="113"/>
      <c r="F544" s="113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13"/>
      <c r="B545" s="113"/>
      <c r="C545" s="113"/>
      <c r="D545" s="113"/>
      <c r="E545" s="113"/>
      <c r="F545" s="113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13"/>
      <c r="B546" s="113"/>
      <c r="C546" s="113"/>
      <c r="D546" s="113"/>
      <c r="E546" s="113"/>
      <c r="F546" s="113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13"/>
      <c r="B547" s="113"/>
      <c r="C547" s="113"/>
      <c r="D547" s="113"/>
      <c r="E547" s="113"/>
      <c r="F547" s="113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13"/>
      <c r="B548" s="113"/>
      <c r="C548" s="113"/>
      <c r="D548" s="113"/>
      <c r="E548" s="113"/>
      <c r="F548" s="113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13"/>
      <c r="B549" s="113"/>
      <c r="C549" s="113"/>
      <c r="D549" s="113"/>
      <c r="E549" s="113"/>
      <c r="F549" s="113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13"/>
      <c r="B550" s="113"/>
      <c r="C550" s="113"/>
      <c r="D550" s="113"/>
      <c r="E550" s="113"/>
      <c r="F550" s="113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13"/>
      <c r="B551" s="113"/>
      <c r="C551" s="113"/>
      <c r="D551" s="113"/>
      <c r="E551" s="113"/>
      <c r="F551" s="113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13"/>
      <c r="B552" s="113"/>
      <c r="C552" s="113"/>
      <c r="D552" s="113"/>
      <c r="E552" s="113"/>
      <c r="F552" s="113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13"/>
      <c r="B553" s="113"/>
      <c r="C553" s="113"/>
      <c r="D553" s="113"/>
      <c r="E553" s="113"/>
      <c r="F553" s="113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13"/>
      <c r="B554" s="113"/>
      <c r="C554" s="113"/>
      <c r="D554" s="113"/>
      <c r="E554" s="113"/>
      <c r="F554" s="113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13"/>
      <c r="B555" s="113"/>
      <c r="C555" s="113"/>
      <c r="D555" s="113"/>
      <c r="E555" s="113"/>
      <c r="F555" s="113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13"/>
      <c r="B556" s="113"/>
      <c r="C556" s="113"/>
      <c r="D556" s="113"/>
      <c r="E556" s="113"/>
      <c r="F556" s="113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13"/>
      <c r="B557" s="113"/>
      <c r="C557" s="113"/>
      <c r="D557" s="113"/>
      <c r="E557" s="113"/>
      <c r="F557" s="113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13"/>
      <c r="B558" s="113"/>
      <c r="C558" s="113"/>
      <c r="D558" s="113"/>
      <c r="E558" s="113"/>
      <c r="F558" s="113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13"/>
      <c r="B559" s="113"/>
      <c r="C559" s="113"/>
      <c r="D559" s="113"/>
      <c r="E559" s="113"/>
      <c r="F559" s="113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13"/>
      <c r="B560" s="113"/>
      <c r="C560" s="113"/>
      <c r="D560" s="113"/>
      <c r="E560" s="113"/>
      <c r="F560" s="113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13"/>
      <c r="B561" s="113"/>
      <c r="C561" s="113"/>
      <c r="D561" s="113"/>
      <c r="E561" s="113"/>
      <c r="F561" s="113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13"/>
      <c r="B562" s="113"/>
      <c r="C562" s="113"/>
      <c r="D562" s="113"/>
      <c r="E562" s="113"/>
      <c r="F562" s="113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13"/>
      <c r="B563" s="113"/>
      <c r="C563" s="113"/>
      <c r="D563" s="113"/>
      <c r="E563" s="113"/>
      <c r="F563" s="113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13"/>
      <c r="B564" s="113"/>
      <c r="C564" s="113"/>
      <c r="D564" s="113"/>
      <c r="E564" s="113"/>
      <c r="F564" s="113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13"/>
      <c r="B565" s="113"/>
      <c r="C565" s="113"/>
      <c r="D565" s="113"/>
      <c r="E565" s="113"/>
      <c r="F565" s="113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13"/>
      <c r="B566" s="113"/>
      <c r="C566" s="113"/>
      <c r="D566" s="113"/>
      <c r="E566" s="113"/>
      <c r="F566" s="113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13"/>
      <c r="B567" s="113"/>
      <c r="C567" s="113"/>
      <c r="D567" s="113"/>
      <c r="E567" s="113"/>
      <c r="F567" s="113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13"/>
      <c r="B568" s="113"/>
      <c r="C568" s="113"/>
      <c r="D568" s="113"/>
      <c r="E568" s="113"/>
      <c r="F568" s="113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13"/>
      <c r="B569" s="113"/>
      <c r="C569" s="113"/>
      <c r="D569" s="113"/>
      <c r="E569" s="113"/>
      <c r="F569" s="113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13"/>
      <c r="B570" s="113"/>
      <c r="C570" s="113"/>
      <c r="D570" s="113"/>
      <c r="E570" s="113"/>
      <c r="F570" s="113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13"/>
      <c r="B571" s="113"/>
      <c r="C571" s="113"/>
      <c r="D571" s="113"/>
      <c r="E571" s="113"/>
      <c r="F571" s="113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13"/>
      <c r="B572" s="113"/>
      <c r="C572" s="113"/>
      <c r="D572" s="113"/>
      <c r="E572" s="113"/>
      <c r="F572" s="113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13"/>
      <c r="B573" s="113"/>
      <c r="C573" s="113"/>
      <c r="D573" s="113"/>
      <c r="E573" s="113"/>
      <c r="F573" s="113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13"/>
      <c r="B574" s="113"/>
      <c r="C574" s="113"/>
      <c r="D574" s="113"/>
      <c r="E574" s="113"/>
      <c r="F574" s="113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13"/>
      <c r="B575" s="113"/>
      <c r="C575" s="113"/>
      <c r="D575" s="113"/>
      <c r="E575" s="113"/>
      <c r="F575" s="113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13"/>
      <c r="B576" s="113"/>
      <c r="C576" s="113"/>
      <c r="D576" s="113"/>
      <c r="E576" s="113"/>
      <c r="F576" s="113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13"/>
      <c r="B577" s="113"/>
      <c r="C577" s="113"/>
      <c r="D577" s="113"/>
      <c r="E577" s="113"/>
      <c r="F577" s="113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13"/>
      <c r="B578" s="113"/>
      <c r="C578" s="113"/>
      <c r="D578" s="113"/>
      <c r="E578" s="113"/>
      <c r="F578" s="113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13"/>
      <c r="B579" s="113"/>
      <c r="C579" s="113"/>
      <c r="D579" s="113"/>
      <c r="E579" s="113"/>
      <c r="F579" s="113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13"/>
      <c r="B580" s="113"/>
      <c r="C580" s="113"/>
      <c r="D580" s="113"/>
      <c r="E580" s="113"/>
      <c r="F580" s="113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13"/>
      <c r="B581" s="113"/>
      <c r="C581" s="113"/>
      <c r="D581" s="113"/>
      <c r="E581" s="113"/>
      <c r="F581" s="113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13"/>
      <c r="B582" s="113"/>
      <c r="C582" s="113"/>
      <c r="D582" s="113"/>
      <c r="E582" s="113"/>
      <c r="F582" s="113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13"/>
      <c r="B583" s="113"/>
      <c r="C583" s="113"/>
      <c r="D583" s="113"/>
      <c r="E583" s="113"/>
      <c r="F583" s="113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13"/>
      <c r="B584" s="113"/>
      <c r="C584" s="113"/>
      <c r="D584" s="113"/>
      <c r="E584" s="113"/>
      <c r="F584" s="113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13"/>
      <c r="B585" s="113"/>
      <c r="C585" s="113"/>
      <c r="D585" s="113"/>
      <c r="E585" s="113"/>
      <c r="F585" s="113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13"/>
      <c r="B586" s="113"/>
      <c r="C586" s="113"/>
      <c r="D586" s="113"/>
      <c r="E586" s="113"/>
      <c r="F586" s="113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13"/>
      <c r="B587" s="113"/>
      <c r="C587" s="113"/>
      <c r="D587" s="113"/>
      <c r="E587" s="113"/>
      <c r="F587" s="113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13"/>
      <c r="B588" s="113"/>
      <c r="C588" s="113"/>
      <c r="D588" s="113"/>
      <c r="E588" s="113"/>
      <c r="F588" s="113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13"/>
      <c r="B589" s="113"/>
      <c r="C589" s="113"/>
      <c r="D589" s="113"/>
      <c r="E589" s="113"/>
      <c r="F589" s="113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13"/>
      <c r="B590" s="113"/>
      <c r="C590" s="113"/>
      <c r="D590" s="113"/>
      <c r="E590" s="113"/>
      <c r="F590" s="113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13"/>
      <c r="B591" s="113"/>
      <c r="C591" s="113"/>
      <c r="D591" s="113"/>
      <c r="E591" s="113"/>
      <c r="F591" s="113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13"/>
      <c r="B592" s="113"/>
      <c r="C592" s="113"/>
      <c r="D592" s="113"/>
      <c r="E592" s="113"/>
      <c r="F592" s="113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13"/>
      <c r="B593" s="113"/>
      <c r="C593" s="113"/>
      <c r="D593" s="113"/>
      <c r="E593" s="113"/>
      <c r="F593" s="113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13"/>
      <c r="B594" s="113"/>
      <c r="C594" s="113"/>
      <c r="D594" s="113"/>
      <c r="E594" s="113"/>
      <c r="F594" s="113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13"/>
      <c r="B595" s="113"/>
      <c r="C595" s="113"/>
      <c r="D595" s="113"/>
      <c r="E595" s="113"/>
      <c r="F595" s="113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13"/>
      <c r="B596" s="113"/>
      <c r="C596" s="113"/>
      <c r="D596" s="113"/>
      <c r="E596" s="113"/>
      <c r="F596" s="113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13"/>
      <c r="B597" s="113"/>
      <c r="C597" s="113"/>
      <c r="D597" s="113"/>
      <c r="E597" s="113"/>
      <c r="F597" s="113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13"/>
      <c r="B598" s="113"/>
      <c r="C598" s="113"/>
      <c r="D598" s="113"/>
      <c r="E598" s="113"/>
      <c r="F598" s="113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13"/>
      <c r="B599" s="113"/>
      <c r="C599" s="113"/>
      <c r="D599" s="113"/>
      <c r="E599" s="113"/>
      <c r="F599" s="113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13"/>
      <c r="B600" s="113"/>
      <c r="C600" s="113"/>
      <c r="D600" s="113"/>
      <c r="E600" s="113"/>
      <c r="F600" s="113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13"/>
      <c r="B601" s="113"/>
      <c r="C601" s="113"/>
      <c r="D601" s="113"/>
      <c r="E601" s="113"/>
      <c r="F601" s="113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13"/>
      <c r="B602" s="113"/>
      <c r="C602" s="113"/>
      <c r="D602" s="113"/>
      <c r="E602" s="113"/>
      <c r="F602" s="113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13"/>
      <c r="B603" s="113"/>
      <c r="C603" s="113"/>
      <c r="D603" s="113"/>
      <c r="E603" s="113"/>
      <c r="F603" s="113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13"/>
      <c r="B604" s="113"/>
      <c r="C604" s="113"/>
      <c r="D604" s="113"/>
      <c r="E604" s="113"/>
      <c r="F604" s="113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13"/>
      <c r="B605" s="113"/>
      <c r="C605" s="113"/>
      <c r="D605" s="113"/>
      <c r="E605" s="113"/>
      <c r="F605" s="113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13"/>
      <c r="B606" s="113"/>
      <c r="C606" s="113"/>
      <c r="D606" s="113"/>
      <c r="E606" s="113"/>
      <c r="F606" s="113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13"/>
      <c r="B607" s="113"/>
      <c r="C607" s="113"/>
      <c r="D607" s="113"/>
      <c r="E607" s="113"/>
      <c r="F607" s="113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13"/>
      <c r="B608" s="113"/>
      <c r="C608" s="113"/>
      <c r="D608" s="113"/>
      <c r="E608" s="113"/>
      <c r="F608" s="113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13"/>
      <c r="B609" s="113"/>
      <c r="C609" s="113"/>
      <c r="D609" s="113"/>
      <c r="E609" s="113"/>
      <c r="F609" s="113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13"/>
      <c r="B610" s="113"/>
      <c r="C610" s="113"/>
      <c r="D610" s="113"/>
      <c r="E610" s="113"/>
      <c r="F610" s="113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13"/>
      <c r="B611" s="113"/>
      <c r="C611" s="113"/>
      <c r="D611" s="113"/>
      <c r="E611" s="113"/>
      <c r="F611" s="113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13"/>
      <c r="B612" s="113"/>
      <c r="C612" s="113"/>
      <c r="D612" s="113"/>
      <c r="E612" s="113"/>
      <c r="F612" s="113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13"/>
      <c r="B613" s="113"/>
      <c r="C613" s="113"/>
      <c r="D613" s="113"/>
      <c r="E613" s="113"/>
      <c r="F613" s="113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13"/>
      <c r="B614" s="113"/>
      <c r="C614" s="113"/>
      <c r="D614" s="113"/>
      <c r="E614" s="113"/>
      <c r="F614" s="113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13"/>
      <c r="B615" s="113"/>
      <c r="C615" s="113"/>
      <c r="D615" s="113"/>
      <c r="E615" s="113"/>
      <c r="F615" s="113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13"/>
      <c r="B616" s="113"/>
      <c r="C616" s="113"/>
      <c r="D616" s="113"/>
      <c r="E616" s="113"/>
      <c r="F616" s="113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13"/>
      <c r="B617" s="113"/>
      <c r="C617" s="113"/>
      <c r="D617" s="113"/>
      <c r="E617" s="113"/>
      <c r="F617" s="113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13"/>
      <c r="B618" s="113"/>
      <c r="C618" s="113"/>
      <c r="D618" s="113"/>
      <c r="E618" s="113"/>
      <c r="F618" s="113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13"/>
      <c r="B619" s="113"/>
      <c r="C619" s="113"/>
      <c r="D619" s="113"/>
      <c r="E619" s="113"/>
      <c r="F619" s="113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13"/>
      <c r="B620" s="113"/>
      <c r="C620" s="113"/>
      <c r="D620" s="113"/>
      <c r="E620" s="113"/>
      <c r="F620" s="113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13"/>
      <c r="B621" s="113"/>
      <c r="C621" s="113"/>
      <c r="D621" s="113"/>
      <c r="E621" s="113"/>
      <c r="F621" s="113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13"/>
      <c r="B622" s="113"/>
      <c r="C622" s="113"/>
      <c r="D622" s="113"/>
      <c r="E622" s="113"/>
      <c r="F622" s="113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13"/>
      <c r="B623" s="113"/>
      <c r="C623" s="113"/>
      <c r="D623" s="113"/>
      <c r="E623" s="113"/>
      <c r="F623" s="113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13"/>
      <c r="B624" s="113"/>
      <c r="C624" s="113"/>
      <c r="D624" s="113"/>
      <c r="E624" s="113"/>
      <c r="F624" s="113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13"/>
      <c r="B625" s="113"/>
      <c r="C625" s="113"/>
      <c r="D625" s="113"/>
      <c r="E625" s="113"/>
      <c r="F625" s="113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13"/>
      <c r="B626" s="113"/>
      <c r="C626" s="113"/>
      <c r="D626" s="113"/>
      <c r="E626" s="113"/>
      <c r="F626" s="113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13"/>
      <c r="B627" s="113"/>
      <c r="C627" s="113"/>
      <c r="D627" s="113"/>
      <c r="E627" s="113"/>
      <c r="F627" s="113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13"/>
      <c r="B628" s="113"/>
      <c r="C628" s="113"/>
      <c r="D628" s="113"/>
      <c r="E628" s="113"/>
      <c r="F628" s="113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13"/>
      <c r="B629" s="113"/>
      <c r="C629" s="113"/>
      <c r="D629" s="113"/>
      <c r="E629" s="113"/>
      <c r="F629" s="113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13"/>
      <c r="B630" s="113"/>
      <c r="C630" s="113"/>
      <c r="D630" s="113"/>
      <c r="E630" s="113"/>
      <c r="F630" s="113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13"/>
      <c r="B631" s="113"/>
      <c r="C631" s="113"/>
      <c r="D631" s="113"/>
      <c r="E631" s="113"/>
      <c r="F631" s="113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13"/>
      <c r="B632" s="113"/>
      <c r="C632" s="113"/>
      <c r="D632" s="113"/>
      <c r="E632" s="113"/>
      <c r="F632" s="113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13"/>
      <c r="B633" s="113"/>
      <c r="C633" s="113"/>
      <c r="D633" s="113"/>
      <c r="E633" s="113"/>
      <c r="F633" s="113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13"/>
      <c r="B634" s="113"/>
      <c r="C634" s="113"/>
      <c r="D634" s="113"/>
      <c r="E634" s="113"/>
      <c r="F634" s="113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13"/>
      <c r="B635" s="113"/>
      <c r="C635" s="113"/>
      <c r="D635" s="113"/>
      <c r="E635" s="113"/>
      <c r="F635" s="113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13"/>
      <c r="B636" s="113"/>
      <c r="C636" s="113"/>
      <c r="D636" s="113"/>
      <c r="E636" s="113"/>
      <c r="F636" s="113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13"/>
      <c r="B637" s="113"/>
      <c r="C637" s="113"/>
      <c r="D637" s="113"/>
      <c r="E637" s="113"/>
      <c r="F637" s="113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13"/>
      <c r="B638" s="113"/>
      <c r="C638" s="113"/>
      <c r="D638" s="113"/>
      <c r="E638" s="113"/>
      <c r="F638" s="113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13"/>
      <c r="B639" s="113"/>
      <c r="C639" s="113"/>
      <c r="D639" s="113"/>
      <c r="E639" s="113"/>
      <c r="F639" s="113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13"/>
      <c r="B640" s="113"/>
      <c r="C640" s="113"/>
      <c r="D640" s="113"/>
      <c r="E640" s="113"/>
      <c r="F640" s="113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13"/>
      <c r="B641" s="113"/>
      <c r="C641" s="113"/>
      <c r="D641" s="113"/>
      <c r="E641" s="113"/>
      <c r="F641" s="113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13"/>
      <c r="B642" s="113"/>
      <c r="C642" s="113"/>
      <c r="D642" s="113"/>
      <c r="E642" s="113"/>
      <c r="F642" s="113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13"/>
      <c r="B643" s="113"/>
      <c r="C643" s="113"/>
      <c r="D643" s="113"/>
      <c r="E643" s="113"/>
      <c r="F643" s="113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13"/>
      <c r="B644" s="113"/>
      <c r="C644" s="113"/>
      <c r="D644" s="113"/>
      <c r="E644" s="113"/>
      <c r="F644" s="113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13"/>
      <c r="B645" s="113"/>
      <c r="C645" s="113"/>
      <c r="D645" s="113"/>
      <c r="E645" s="113"/>
      <c r="F645" s="113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13"/>
      <c r="B646" s="113"/>
      <c r="C646" s="113"/>
      <c r="D646" s="113"/>
      <c r="E646" s="113"/>
      <c r="F646" s="113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13"/>
      <c r="B647" s="113"/>
      <c r="C647" s="113"/>
      <c r="D647" s="113"/>
      <c r="E647" s="113"/>
      <c r="F647" s="113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13"/>
      <c r="B648" s="113"/>
      <c r="C648" s="113"/>
      <c r="D648" s="113"/>
      <c r="E648" s="113"/>
      <c r="F648" s="113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13"/>
      <c r="B649" s="113"/>
      <c r="C649" s="113"/>
      <c r="D649" s="113"/>
      <c r="E649" s="113"/>
      <c r="F649" s="113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13"/>
      <c r="B650" s="113"/>
      <c r="C650" s="113"/>
      <c r="D650" s="113"/>
      <c r="E650" s="113"/>
      <c r="F650" s="113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13"/>
      <c r="B651" s="113"/>
      <c r="C651" s="113"/>
      <c r="D651" s="113"/>
      <c r="E651" s="113"/>
      <c r="F651" s="113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13"/>
      <c r="B652" s="113"/>
      <c r="C652" s="113"/>
      <c r="D652" s="113"/>
      <c r="E652" s="113"/>
      <c r="F652" s="113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13"/>
      <c r="B653" s="113"/>
      <c r="C653" s="113"/>
      <c r="D653" s="113"/>
      <c r="E653" s="113"/>
      <c r="F653" s="113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13"/>
      <c r="B654" s="113"/>
      <c r="C654" s="113"/>
      <c r="D654" s="113"/>
      <c r="E654" s="113"/>
      <c r="F654" s="113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13"/>
      <c r="B655" s="113"/>
      <c r="C655" s="113"/>
      <c r="D655" s="113"/>
      <c r="E655" s="113"/>
      <c r="F655" s="113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13"/>
      <c r="B656" s="113"/>
      <c r="C656" s="113"/>
      <c r="D656" s="113"/>
      <c r="E656" s="113"/>
      <c r="F656" s="113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13"/>
      <c r="B657" s="113"/>
      <c r="C657" s="113"/>
      <c r="D657" s="113"/>
      <c r="E657" s="113"/>
      <c r="F657" s="113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13"/>
      <c r="B658" s="113"/>
      <c r="C658" s="113"/>
      <c r="D658" s="113"/>
      <c r="E658" s="113"/>
      <c r="F658" s="113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13"/>
      <c r="B659" s="113"/>
      <c r="C659" s="113"/>
      <c r="D659" s="113"/>
      <c r="E659" s="113"/>
      <c r="F659" s="113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13"/>
      <c r="B660" s="113"/>
      <c r="C660" s="113"/>
      <c r="D660" s="113"/>
      <c r="E660" s="113"/>
      <c r="F660" s="113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13"/>
      <c r="B661" s="113"/>
      <c r="C661" s="113"/>
      <c r="D661" s="113"/>
      <c r="E661" s="113"/>
      <c r="F661" s="113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13"/>
      <c r="B662" s="113"/>
      <c r="C662" s="113"/>
      <c r="D662" s="113"/>
      <c r="E662" s="113"/>
      <c r="F662" s="113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13"/>
      <c r="B663" s="113"/>
      <c r="C663" s="113"/>
      <c r="D663" s="113"/>
      <c r="E663" s="113"/>
      <c r="F663" s="113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13"/>
      <c r="B664" s="113"/>
      <c r="C664" s="113"/>
      <c r="D664" s="113"/>
      <c r="E664" s="113"/>
      <c r="F664" s="113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13"/>
      <c r="B665" s="113"/>
      <c r="C665" s="113"/>
      <c r="D665" s="113"/>
      <c r="E665" s="113"/>
      <c r="F665" s="113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13"/>
      <c r="B666" s="113"/>
      <c r="C666" s="113"/>
      <c r="D666" s="113"/>
      <c r="E666" s="113"/>
      <c r="F666" s="113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13"/>
      <c r="B667" s="113"/>
      <c r="C667" s="113"/>
      <c r="D667" s="113"/>
      <c r="E667" s="113"/>
      <c r="F667" s="113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13"/>
      <c r="B668" s="113"/>
      <c r="C668" s="113"/>
      <c r="D668" s="113"/>
      <c r="E668" s="113"/>
      <c r="F668" s="113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13"/>
      <c r="B669" s="113"/>
      <c r="C669" s="113"/>
      <c r="D669" s="113"/>
      <c r="E669" s="113"/>
      <c r="F669" s="113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13"/>
      <c r="B670" s="113"/>
      <c r="C670" s="113"/>
      <c r="D670" s="113"/>
      <c r="E670" s="113"/>
      <c r="F670" s="113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13"/>
      <c r="B671" s="113"/>
      <c r="C671" s="113"/>
      <c r="D671" s="113"/>
      <c r="E671" s="113"/>
      <c r="F671" s="113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13"/>
      <c r="B672" s="113"/>
      <c r="C672" s="113"/>
      <c r="D672" s="113"/>
      <c r="E672" s="113"/>
      <c r="F672" s="113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13"/>
      <c r="B673" s="113"/>
      <c r="C673" s="113"/>
      <c r="D673" s="113"/>
      <c r="E673" s="113"/>
      <c r="F673" s="113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13"/>
      <c r="B674" s="113"/>
      <c r="C674" s="113"/>
      <c r="D674" s="113"/>
      <c r="E674" s="113"/>
      <c r="F674" s="113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13"/>
      <c r="B675" s="113"/>
      <c r="C675" s="113"/>
      <c r="D675" s="113"/>
      <c r="E675" s="113"/>
      <c r="F675" s="113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13"/>
      <c r="B676" s="113"/>
      <c r="C676" s="113"/>
      <c r="D676" s="113"/>
      <c r="E676" s="113"/>
      <c r="F676" s="113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13"/>
      <c r="B677" s="113"/>
      <c r="C677" s="113"/>
      <c r="D677" s="113"/>
      <c r="E677" s="113"/>
      <c r="F677" s="113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13"/>
      <c r="B678" s="113"/>
      <c r="C678" s="113"/>
      <c r="D678" s="113"/>
      <c r="E678" s="113"/>
      <c r="F678" s="113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13"/>
      <c r="B679" s="113"/>
      <c r="C679" s="113"/>
      <c r="D679" s="113"/>
      <c r="E679" s="113"/>
      <c r="F679" s="113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13"/>
      <c r="B680" s="113"/>
      <c r="C680" s="113"/>
      <c r="D680" s="113"/>
      <c r="E680" s="113"/>
      <c r="F680" s="113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13"/>
      <c r="B681" s="113"/>
      <c r="C681" s="113"/>
      <c r="D681" s="113"/>
      <c r="E681" s="113"/>
      <c r="F681" s="113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13"/>
      <c r="B682" s="113"/>
      <c r="C682" s="113"/>
      <c r="D682" s="113"/>
      <c r="E682" s="113"/>
      <c r="F682" s="113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13"/>
      <c r="B683" s="113"/>
      <c r="C683" s="113"/>
      <c r="D683" s="113"/>
      <c r="E683" s="113"/>
      <c r="F683" s="113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13"/>
      <c r="B684" s="113"/>
      <c r="C684" s="113"/>
      <c r="D684" s="113"/>
      <c r="E684" s="113"/>
      <c r="F684" s="113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13"/>
      <c r="B685" s="113"/>
      <c r="C685" s="113"/>
      <c r="D685" s="113"/>
      <c r="E685" s="113"/>
      <c r="F685" s="113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13"/>
      <c r="B686" s="113"/>
      <c r="C686" s="113"/>
      <c r="D686" s="113"/>
      <c r="E686" s="113"/>
      <c r="F686" s="113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13"/>
      <c r="B687" s="113"/>
      <c r="C687" s="113"/>
      <c r="D687" s="113"/>
      <c r="E687" s="113"/>
      <c r="F687" s="113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13"/>
      <c r="B688" s="113"/>
      <c r="C688" s="113"/>
      <c r="D688" s="113"/>
      <c r="E688" s="113"/>
      <c r="F688" s="113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13"/>
      <c r="B689" s="113"/>
      <c r="C689" s="113"/>
      <c r="D689" s="113"/>
      <c r="E689" s="113"/>
      <c r="F689" s="113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13"/>
      <c r="B690" s="113"/>
      <c r="C690" s="113"/>
      <c r="D690" s="113"/>
      <c r="E690" s="113"/>
      <c r="F690" s="113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13"/>
      <c r="B691" s="113"/>
      <c r="C691" s="113"/>
      <c r="D691" s="113"/>
      <c r="E691" s="113"/>
      <c r="F691" s="113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13"/>
      <c r="B692" s="113"/>
      <c r="C692" s="113"/>
      <c r="D692" s="113"/>
      <c r="E692" s="113"/>
      <c r="F692" s="113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13"/>
      <c r="B693" s="113"/>
      <c r="C693" s="113"/>
      <c r="D693" s="113"/>
      <c r="E693" s="113"/>
      <c r="F693" s="113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13"/>
      <c r="B694" s="113"/>
      <c r="C694" s="113"/>
      <c r="D694" s="113"/>
      <c r="E694" s="113"/>
      <c r="F694" s="113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13"/>
      <c r="B695" s="113"/>
      <c r="C695" s="113"/>
      <c r="D695" s="113"/>
      <c r="E695" s="113"/>
      <c r="F695" s="113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13"/>
      <c r="B696" s="113"/>
      <c r="C696" s="113"/>
      <c r="D696" s="113"/>
      <c r="E696" s="113"/>
      <c r="F696" s="113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13"/>
      <c r="B697" s="113"/>
      <c r="C697" s="113"/>
      <c r="D697" s="113"/>
      <c r="E697" s="113"/>
      <c r="F697" s="113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13"/>
      <c r="B698" s="113"/>
      <c r="C698" s="113"/>
      <c r="D698" s="113"/>
      <c r="E698" s="113"/>
      <c r="F698" s="113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13"/>
      <c r="B699" s="113"/>
      <c r="C699" s="113"/>
      <c r="D699" s="113"/>
      <c r="E699" s="113"/>
      <c r="F699" s="113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13"/>
      <c r="B700" s="113"/>
      <c r="C700" s="113"/>
      <c r="D700" s="113"/>
      <c r="E700" s="113"/>
      <c r="F700" s="113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13"/>
      <c r="B701" s="113"/>
      <c r="C701" s="113"/>
      <c r="D701" s="113"/>
      <c r="E701" s="113"/>
      <c r="F701" s="113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13"/>
      <c r="B702" s="113"/>
      <c r="C702" s="113"/>
      <c r="D702" s="113"/>
      <c r="E702" s="113"/>
      <c r="F702" s="113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13"/>
      <c r="B703" s="113"/>
      <c r="C703" s="113"/>
      <c r="D703" s="113"/>
      <c r="E703" s="113"/>
      <c r="F703" s="113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13"/>
      <c r="B704" s="113"/>
      <c r="C704" s="113"/>
      <c r="D704" s="113"/>
      <c r="E704" s="113"/>
      <c r="F704" s="113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13"/>
      <c r="B705" s="113"/>
      <c r="C705" s="113"/>
      <c r="D705" s="113"/>
      <c r="E705" s="113"/>
      <c r="F705" s="113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13"/>
      <c r="B706" s="113"/>
      <c r="C706" s="113"/>
      <c r="D706" s="113"/>
      <c r="E706" s="113"/>
      <c r="F706" s="113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13"/>
      <c r="B707" s="113"/>
      <c r="C707" s="113"/>
      <c r="D707" s="113"/>
      <c r="E707" s="113"/>
      <c r="F707" s="113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13"/>
      <c r="B708" s="113"/>
      <c r="C708" s="113"/>
      <c r="D708" s="113"/>
      <c r="E708" s="113"/>
      <c r="F708" s="113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13"/>
      <c r="B709" s="113"/>
      <c r="C709" s="113"/>
      <c r="D709" s="113"/>
      <c r="E709" s="113"/>
      <c r="F709" s="113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13"/>
      <c r="B710" s="113"/>
      <c r="C710" s="113"/>
      <c r="D710" s="113"/>
      <c r="E710" s="113"/>
      <c r="F710" s="113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13"/>
      <c r="B711" s="113"/>
      <c r="C711" s="113"/>
      <c r="D711" s="113"/>
      <c r="E711" s="113"/>
      <c r="F711" s="113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13"/>
      <c r="B712" s="113"/>
      <c r="C712" s="113"/>
      <c r="D712" s="113"/>
      <c r="E712" s="113"/>
      <c r="F712" s="113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13"/>
      <c r="B713" s="113"/>
      <c r="C713" s="113"/>
      <c r="D713" s="113"/>
      <c r="E713" s="113"/>
      <c r="F713" s="113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13"/>
      <c r="B714" s="113"/>
      <c r="C714" s="113"/>
      <c r="D714" s="113"/>
      <c r="E714" s="113"/>
      <c r="F714" s="113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13"/>
      <c r="B715" s="113"/>
      <c r="C715" s="113"/>
      <c r="D715" s="113"/>
      <c r="E715" s="113"/>
      <c r="F715" s="113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13"/>
      <c r="B716" s="113"/>
      <c r="C716" s="113"/>
      <c r="D716" s="113"/>
      <c r="E716" s="113"/>
      <c r="F716" s="113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13"/>
      <c r="B717" s="113"/>
      <c r="C717" s="113"/>
      <c r="D717" s="113"/>
      <c r="E717" s="113"/>
      <c r="F717" s="113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13"/>
      <c r="B718" s="113"/>
      <c r="C718" s="113"/>
      <c r="D718" s="113"/>
      <c r="E718" s="113"/>
      <c r="F718" s="113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13"/>
      <c r="B719" s="113"/>
      <c r="C719" s="113"/>
      <c r="D719" s="113"/>
      <c r="E719" s="113"/>
      <c r="F719" s="113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13"/>
      <c r="B720" s="113"/>
      <c r="C720" s="113"/>
      <c r="D720" s="113"/>
      <c r="E720" s="113"/>
      <c r="F720" s="113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13"/>
      <c r="B721" s="113"/>
      <c r="C721" s="113"/>
      <c r="D721" s="113"/>
      <c r="E721" s="113"/>
      <c r="F721" s="113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13"/>
      <c r="B722" s="113"/>
      <c r="C722" s="113"/>
      <c r="D722" s="113"/>
      <c r="E722" s="113"/>
      <c r="F722" s="113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13"/>
      <c r="B723" s="113"/>
      <c r="C723" s="113"/>
      <c r="D723" s="113"/>
      <c r="E723" s="113"/>
      <c r="F723" s="113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13"/>
      <c r="B724" s="113"/>
      <c r="C724" s="113"/>
      <c r="D724" s="113"/>
      <c r="E724" s="113"/>
      <c r="F724" s="113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13"/>
      <c r="B725" s="113"/>
      <c r="C725" s="113"/>
      <c r="D725" s="113"/>
      <c r="E725" s="113"/>
      <c r="F725" s="113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13"/>
      <c r="B726" s="113"/>
      <c r="C726" s="113"/>
      <c r="D726" s="113"/>
      <c r="E726" s="113"/>
      <c r="F726" s="113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13"/>
      <c r="B727" s="113"/>
      <c r="C727" s="113"/>
      <c r="D727" s="113"/>
      <c r="E727" s="113"/>
      <c r="F727" s="113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13"/>
      <c r="B728" s="113"/>
      <c r="C728" s="113"/>
      <c r="D728" s="113"/>
      <c r="E728" s="113"/>
      <c r="F728" s="113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13"/>
      <c r="B729" s="113"/>
      <c r="C729" s="113"/>
      <c r="D729" s="113"/>
      <c r="E729" s="113"/>
      <c r="F729" s="113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13"/>
      <c r="B730" s="113"/>
      <c r="C730" s="113"/>
      <c r="D730" s="113"/>
      <c r="E730" s="113"/>
      <c r="F730" s="113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13"/>
      <c r="B731" s="113"/>
      <c r="C731" s="113"/>
      <c r="D731" s="113"/>
      <c r="E731" s="113"/>
      <c r="F731" s="113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13"/>
      <c r="B732" s="113"/>
      <c r="C732" s="113"/>
      <c r="D732" s="113"/>
      <c r="E732" s="113"/>
      <c r="F732" s="113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13"/>
      <c r="B733" s="113"/>
      <c r="C733" s="113"/>
      <c r="D733" s="113"/>
      <c r="E733" s="113"/>
      <c r="F733" s="113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13"/>
      <c r="B734" s="113"/>
      <c r="C734" s="113"/>
      <c r="D734" s="113"/>
      <c r="E734" s="113"/>
      <c r="F734" s="113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13"/>
      <c r="B735" s="113"/>
      <c r="C735" s="113"/>
      <c r="D735" s="113"/>
      <c r="E735" s="113"/>
      <c r="F735" s="113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13"/>
      <c r="B736" s="113"/>
      <c r="C736" s="113"/>
      <c r="D736" s="113"/>
      <c r="E736" s="113"/>
      <c r="F736" s="113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13"/>
      <c r="B737" s="113"/>
      <c r="C737" s="113"/>
      <c r="D737" s="113"/>
      <c r="E737" s="113"/>
      <c r="F737" s="113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13"/>
      <c r="B738" s="113"/>
      <c r="C738" s="113"/>
      <c r="D738" s="113"/>
      <c r="E738" s="113"/>
      <c r="F738" s="113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13"/>
      <c r="B739" s="113"/>
      <c r="C739" s="113"/>
      <c r="D739" s="113"/>
      <c r="E739" s="113"/>
      <c r="F739" s="113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13"/>
      <c r="B740" s="113"/>
      <c r="C740" s="113"/>
      <c r="D740" s="113"/>
      <c r="E740" s="113"/>
      <c r="F740" s="113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13"/>
      <c r="B741" s="113"/>
      <c r="C741" s="113"/>
      <c r="D741" s="113"/>
      <c r="E741" s="113"/>
      <c r="F741" s="113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13"/>
      <c r="B742" s="113"/>
      <c r="C742" s="113"/>
      <c r="D742" s="113"/>
      <c r="E742" s="113"/>
      <c r="F742" s="113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13"/>
      <c r="B743" s="113"/>
      <c r="C743" s="113"/>
      <c r="D743" s="113"/>
      <c r="E743" s="113"/>
      <c r="F743" s="113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13"/>
      <c r="B744" s="113"/>
      <c r="C744" s="113"/>
      <c r="D744" s="113"/>
      <c r="E744" s="113"/>
      <c r="F744" s="113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13"/>
      <c r="B745" s="113"/>
      <c r="C745" s="113"/>
      <c r="D745" s="113"/>
      <c r="E745" s="113"/>
      <c r="F745" s="113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13"/>
      <c r="B746" s="113"/>
      <c r="C746" s="113"/>
      <c r="D746" s="113"/>
      <c r="E746" s="113"/>
      <c r="F746" s="113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13"/>
      <c r="B747" s="113"/>
      <c r="C747" s="113"/>
      <c r="D747" s="113"/>
      <c r="E747" s="113"/>
      <c r="F747" s="113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13"/>
      <c r="B748" s="113"/>
      <c r="C748" s="113"/>
      <c r="D748" s="113"/>
      <c r="E748" s="113"/>
      <c r="F748" s="113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13"/>
      <c r="B749" s="113"/>
      <c r="C749" s="113"/>
      <c r="D749" s="113"/>
      <c r="E749" s="113"/>
      <c r="F749" s="113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13"/>
      <c r="B750" s="113"/>
      <c r="C750" s="113"/>
      <c r="D750" s="113"/>
      <c r="E750" s="113"/>
      <c r="F750" s="113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13"/>
      <c r="B751" s="113"/>
      <c r="C751" s="113"/>
      <c r="D751" s="113"/>
      <c r="E751" s="113"/>
      <c r="F751" s="113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13"/>
      <c r="B752" s="113"/>
      <c r="C752" s="113"/>
      <c r="D752" s="113"/>
      <c r="E752" s="113"/>
      <c r="F752" s="113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13"/>
      <c r="B753" s="113"/>
      <c r="C753" s="113"/>
      <c r="D753" s="113"/>
      <c r="E753" s="113"/>
      <c r="F753" s="113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13"/>
      <c r="B754" s="113"/>
      <c r="C754" s="113"/>
      <c r="D754" s="113"/>
      <c r="E754" s="113"/>
      <c r="F754" s="113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13"/>
      <c r="B755" s="113"/>
      <c r="C755" s="113"/>
      <c r="D755" s="113"/>
      <c r="E755" s="113"/>
      <c r="F755" s="113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13"/>
      <c r="B756" s="113"/>
      <c r="C756" s="113"/>
      <c r="D756" s="113"/>
      <c r="E756" s="113"/>
      <c r="F756" s="113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13"/>
      <c r="B757" s="113"/>
      <c r="C757" s="113"/>
      <c r="D757" s="113"/>
      <c r="E757" s="113"/>
      <c r="F757" s="113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13"/>
      <c r="B758" s="113"/>
      <c r="C758" s="113"/>
      <c r="D758" s="113"/>
      <c r="E758" s="113"/>
      <c r="F758" s="113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13"/>
      <c r="B759" s="113"/>
      <c r="C759" s="113"/>
      <c r="D759" s="113"/>
      <c r="E759" s="113"/>
      <c r="F759" s="113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13"/>
      <c r="B760" s="113"/>
      <c r="C760" s="113"/>
      <c r="D760" s="113"/>
      <c r="E760" s="113"/>
      <c r="F760" s="113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13"/>
      <c r="B761" s="113"/>
      <c r="C761" s="113"/>
      <c r="D761" s="113"/>
      <c r="E761" s="113"/>
      <c r="F761" s="113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13"/>
      <c r="B762" s="113"/>
      <c r="C762" s="113"/>
      <c r="D762" s="113"/>
      <c r="E762" s="113"/>
      <c r="F762" s="113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13"/>
      <c r="B763" s="113"/>
      <c r="C763" s="113"/>
      <c r="D763" s="113"/>
      <c r="E763" s="113"/>
      <c r="F763" s="113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13"/>
      <c r="B764" s="113"/>
      <c r="C764" s="113"/>
      <c r="D764" s="113"/>
      <c r="E764" s="113"/>
      <c r="F764" s="113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13"/>
      <c r="B765" s="113"/>
      <c r="C765" s="113"/>
      <c r="D765" s="113"/>
      <c r="E765" s="113"/>
      <c r="F765" s="113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13"/>
      <c r="B766" s="113"/>
      <c r="C766" s="113"/>
      <c r="D766" s="113"/>
      <c r="E766" s="113"/>
      <c r="F766" s="113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13"/>
      <c r="B767" s="113"/>
      <c r="C767" s="113"/>
      <c r="D767" s="113"/>
      <c r="E767" s="113"/>
      <c r="F767" s="113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13"/>
      <c r="B768" s="113"/>
      <c r="C768" s="113"/>
      <c r="D768" s="113"/>
      <c r="E768" s="113"/>
      <c r="F768" s="113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13"/>
      <c r="B769" s="113"/>
      <c r="C769" s="113"/>
      <c r="D769" s="113"/>
      <c r="E769" s="113"/>
      <c r="F769" s="113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13"/>
      <c r="B770" s="113"/>
      <c r="C770" s="113"/>
      <c r="D770" s="113"/>
      <c r="E770" s="113"/>
      <c r="F770" s="113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13"/>
      <c r="B771" s="113"/>
      <c r="C771" s="113"/>
      <c r="D771" s="113"/>
      <c r="E771" s="113"/>
      <c r="F771" s="113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13"/>
      <c r="B772" s="113"/>
      <c r="C772" s="113"/>
      <c r="D772" s="113"/>
      <c r="E772" s="113"/>
      <c r="F772" s="113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13"/>
      <c r="B773" s="113"/>
      <c r="C773" s="113"/>
      <c r="D773" s="113"/>
      <c r="E773" s="113"/>
      <c r="F773" s="113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13"/>
      <c r="B774" s="113"/>
      <c r="C774" s="113"/>
      <c r="D774" s="113"/>
      <c r="E774" s="113"/>
      <c r="F774" s="113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13"/>
      <c r="B775" s="113"/>
      <c r="C775" s="113"/>
      <c r="D775" s="113"/>
      <c r="E775" s="113"/>
      <c r="F775" s="113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13"/>
      <c r="B776" s="113"/>
      <c r="C776" s="113"/>
      <c r="D776" s="113"/>
      <c r="E776" s="113"/>
      <c r="F776" s="113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13"/>
      <c r="B777" s="113"/>
      <c r="C777" s="113"/>
      <c r="D777" s="113"/>
      <c r="E777" s="113"/>
      <c r="F777" s="113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13"/>
      <c r="B778" s="113"/>
      <c r="C778" s="113"/>
      <c r="D778" s="113"/>
      <c r="E778" s="113"/>
      <c r="F778" s="113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13"/>
      <c r="B779" s="113"/>
      <c r="C779" s="113"/>
      <c r="D779" s="113"/>
      <c r="E779" s="113"/>
      <c r="F779" s="113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13"/>
      <c r="B780" s="113"/>
      <c r="C780" s="113"/>
      <c r="D780" s="113"/>
      <c r="E780" s="113"/>
      <c r="F780" s="113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13"/>
      <c r="B781" s="113"/>
      <c r="C781" s="113"/>
      <c r="D781" s="113"/>
      <c r="E781" s="113"/>
      <c r="F781" s="113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13"/>
      <c r="B782" s="113"/>
      <c r="C782" s="113"/>
      <c r="D782" s="113"/>
      <c r="E782" s="113"/>
      <c r="F782" s="113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13"/>
      <c r="B783" s="113"/>
      <c r="C783" s="113"/>
      <c r="D783" s="113"/>
      <c r="E783" s="113"/>
      <c r="F783" s="113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13"/>
      <c r="B784" s="113"/>
      <c r="C784" s="113"/>
      <c r="D784" s="113"/>
      <c r="E784" s="113"/>
      <c r="F784" s="113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13"/>
      <c r="B785" s="113"/>
      <c r="C785" s="113"/>
      <c r="D785" s="113"/>
      <c r="E785" s="113"/>
      <c r="F785" s="113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13"/>
      <c r="B786" s="113"/>
      <c r="C786" s="113"/>
      <c r="D786" s="113"/>
      <c r="E786" s="113"/>
      <c r="F786" s="113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13"/>
      <c r="B787" s="113"/>
      <c r="C787" s="113"/>
      <c r="D787" s="113"/>
      <c r="E787" s="113"/>
      <c r="F787" s="113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13"/>
      <c r="B788" s="113"/>
      <c r="C788" s="113"/>
      <c r="D788" s="113"/>
      <c r="E788" s="113"/>
      <c r="F788" s="113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13"/>
      <c r="B789" s="113"/>
      <c r="C789" s="113"/>
      <c r="D789" s="113"/>
      <c r="E789" s="113"/>
      <c r="F789" s="113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13"/>
      <c r="B790" s="113"/>
      <c r="C790" s="113"/>
      <c r="D790" s="113"/>
      <c r="E790" s="113"/>
      <c r="F790" s="113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13"/>
      <c r="B791" s="113"/>
      <c r="C791" s="113"/>
      <c r="D791" s="113"/>
      <c r="E791" s="113"/>
      <c r="F791" s="113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13"/>
      <c r="B792" s="113"/>
      <c r="C792" s="113"/>
      <c r="D792" s="113"/>
      <c r="E792" s="113"/>
      <c r="F792" s="113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13"/>
      <c r="B793" s="113"/>
      <c r="C793" s="113"/>
      <c r="D793" s="113"/>
      <c r="E793" s="113"/>
      <c r="F793" s="113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13"/>
      <c r="B794" s="113"/>
      <c r="C794" s="113"/>
      <c r="D794" s="113"/>
      <c r="E794" s="113"/>
      <c r="F794" s="113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13"/>
      <c r="B795" s="113"/>
      <c r="C795" s="113"/>
      <c r="D795" s="113"/>
      <c r="E795" s="113"/>
      <c r="F795" s="113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13"/>
      <c r="B796" s="113"/>
      <c r="C796" s="113"/>
      <c r="D796" s="113"/>
      <c r="E796" s="113"/>
      <c r="F796" s="113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13"/>
      <c r="B797" s="113"/>
      <c r="C797" s="113"/>
      <c r="D797" s="113"/>
      <c r="E797" s="113"/>
      <c r="F797" s="113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13"/>
      <c r="B798" s="113"/>
      <c r="C798" s="113"/>
      <c r="D798" s="113"/>
      <c r="E798" s="113"/>
      <c r="F798" s="113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13"/>
      <c r="B799" s="113"/>
      <c r="C799" s="113"/>
      <c r="D799" s="113"/>
      <c r="E799" s="113"/>
      <c r="F799" s="113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13"/>
      <c r="B800" s="113"/>
      <c r="C800" s="113"/>
      <c r="D800" s="113"/>
      <c r="E800" s="113"/>
      <c r="F800" s="113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13"/>
      <c r="B801" s="113"/>
      <c r="C801" s="113"/>
      <c r="D801" s="113"/>
      <c r="E801" s="113"/>
      <c r="F801" s="113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13"/>
      <c r="B802" s="113"/>
      <c r="C802" s="113"/>
      <c r="D802" s="113"/>
      <c r="E802" s="113"/>
      <c r="F802" s="113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13"/>
      <c r="B803" s="113"/>
      <c r="C803" s="113"/>
      <c r="D803" s="113"/>
      <c r="E803" s="113"/>
      <c r="F803" s="113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13"/>
      <c r="B804" s="113"/>
      <c r="C804" s="113"/>
      <c r="D804" s="113"/>
      <c r="E804" s="113"/>
      <c r="F804" s="113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13"/>
      <c r="B805" s="113"/>
      <c r="C805" s="113"/>
      <c r="D805" s="113"/>
      <c r="E805" s="113"/>
      <c r="F805" s="113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13"/>
      <c r="B806" s="113"/>
      <c r="C806" s="113"/>
      <c r="D806" s="113"/>
      <c r="E806" s="113"/>
      <c r="F806" s="113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13"/>
      <c r="B807" s="113"/>
      <c r="C807" s="113"/>
      <c r="D807" s="113"/>
      <c r="E807" s="113"/>
      <c r="F807" s="113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13"/>
      <c r="B808" s="113"/>
      <c r="C808" s="113"/>
      <c r="D808" s="113"/>
      <c r="E808" s="113"/>
      <c r="F808" s="113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13"/>
      <c r="B809" s="113"/>
      <c r="C809" s="113"/>
      <c r="D809" s="113"/>
      <c r="E809" s="113"/>
      <c r="F809" s="113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13"/>
      <c r="B810" s="113"/>
      <c r="C810" s="113"/>
      <c r="D810" s="113"/>
      <c r="E810" s="113"/>
      <c r="F810" s="113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13"/>
      <c r="B811" s="113"/>
      <c r="C811" s="113"/>
      <c r="D811" s="113"/>
      <c r="E811" s="113"/>
      <c r="F811" s="113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13"/>
      <c r="B812" s="113"/>
      <c r="C812" s="113"/>
      <c r="D812" s="113"/>
      <c r="E812" s="113"/>
      <c r="F812" s="113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13"/>
      <c r="B813" s="113"/>
      <c r="C813" s="113"/>
      <c r="D813" s="113"/>
      <c r="E813" s="113"/>
      <c r="F813" s="113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13"/>
      <c r="B814" s="113"/>
      <c r="C814" s="113"/>
      <c r="D814" s="113"/>
      <c r="E814" s="113"/>
      <c r="F814" s="113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13"/>
      <c r="B815" s="113"/>
      <c r="C815" s="113"/>
      <c r="D815" s="113"/>
      <c r="E815" s="113"/>
      <c r="F815" s="113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13"/>
      <c r="B816" s="113"/>
      <c r="C816" s="113"/>
      <c r="D816" s="113"/>
      <c r="E816" s="113"/>
      <c r="F816" s="113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13"/>
      <c r="B817" s="113"/>
      <c r="C817" s="113"/>
      <c r="D817" s="113"/>
      <c r="E817" s="113"/>
      <c r="F817" s="113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13"/>
      <c r="B818" s="113"/>
      <c r="C818" s="113"/>
      <c r="D818" s="113"/>
      <c r="E818" s="113"/>
      <c r="F818" s="113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13"/>
      <c r="B819" s="113"/>
      <c r="C819" s="113"/>
      <c r="D819" s="113"/>
      <c r="E819" s="113"/>
      <c r="F819" s="113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13"/>
      <c r="B820" s="113"/>
      <c r="C820" s="113"/>
      <c r="D820" s="113"/>
      <c r="E820" s="113"/>
      <c r="F820" s="113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13"/>
      <c r="B821" s="113"/>
      <c r="C821" s="113"/>
      <c r="D821" s="113"/>
      <c r="E821" s="113"/>
      <c r="F821" s="113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13"/>
      <c r="B822" s="113"/>
      <c r="C822" s="113"/>
      <c r="D822" s="113"/>
      <c r="E822" s="113"/>
      <c r="F822" s="113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13"/>
      <c r="B823" s="113"/>
      <c r="C823" s="113"/>
      <c r="D823" s="113"/>
      <c r="E823" s="113"/>
      <c r="F823" s="113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13"/>
      <c r="B824" s="113"/>
      <c r="C824" s="113"/>
      <c r="D824" s="113"/>
      <c r="E824" s="113"/>
      <c r="F824" s="113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13"/>
      <c r="B825" s="113"/>
      <c r="C825" s="113"/>
      <c r="D825" s="113"/>
      <c r="E825" s="113"/>
      <c r="F825" s="113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13"/>
      <c r="B826" s="113"/>
      <c r="C826" s="113"/>
      <c r="D826" s="113"/>
      <c r="E826" s="113"/>
      <c r="F826" s="113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13"/>
      <c r="B827" s="113"/>
      <c r="C827" s="113"/>
      <c r="D827" s="113"/>
      <c r="E827" s="113"/>
      <c r="F827" s="113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13"/>
      <c r="B828" s="113"/>
      <c r="C828" s="113"/>
      <c r="D828" s="113"/>
      <c r="E828" s="113"/>
      <c r="F828" s="113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13"/>
      <c r="B829" s="113"/>
      <c r="C829" s="113"/>
      <c r="D829" s="113"/>
      <c r="E829" s="113"/>
      <c r="F829" s="113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13"/>
      <c r="B830" s="113"/>
      <c r="C830" s="113"/>
      <c r="D830" s="113"/>
      <c r="E830" s="113"/>
      <c r="F830" s="113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13"/>
      <c r="B831" s="113"/>
      <c r="C831" s="113"/>
      <c r="D831" s="113"/>
      <c r="E831" s="113"/>
      <c r="F831" s="113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13"/>
      <c r="B832" s="113"/>
      <c r="C832" s="113"/>
      <c r="D832" s="113"/>
      <c r="E832" s="113"/>
      <c r="F832" s="113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13"/>
      <c r="B833" s="113"/>
      <c r="C833" s="113"/>
      <c r="D833" s="113"/>
      <c r="E833" s="113"/>
      <c r="F833" s="113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13"/>
      <c r="B834" s="113"/>
      <c r="C834" s="113"/>
      <c r="D834" s="113"/>
      <c r="E834" s="113"/>
      <c r="F834" s="113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13"/>
      <c r="B835" s="113"/>
      <c r="C835" s="113"/>
      <c r="D835" s="113"/>
      <c r="E835" s="113"/>
      <c r="F835" s="113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13"/>
      <c r="B836" s="113"/>
      <c r="C836" s="113"/>
      <c r="D836" s="113"/>
      <c r="E836" s="113"/>
      <c r="F836" s="113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13"/>
      <c r="B837" s="113"/>
      <c r="C837" s="113"/>
      <c r="D837" s="113"/>
      <c r="E837" s="113"/>
      <c r="F837" s="113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13"/>
      <c r="B838" s="113"/>
      <c r="C838" s="113"/>
      <c r="D838" s="113"/>
      <c r="E838" s="113"/>
      <c r="F838" s="113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13"/>
      <c r="B839" s="113"/>
      <c r="C839" s="113"/>
      <c r="D839" s="113"/>
      <c r="E839" s="113"/>
      <c r="F839" s="113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13"/>
      <c r="B840" s="113"/>
      <c r="C840" s="113"/>
      <c r="D840" s="113"/>
      <c r="E840" s="113"/>
      <c r="F840" s="113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13"/>
      <c r="B841" s="113"/>
      <c r="C841" s="113"/>
      <c r="D841" s="113"/>
      <c r="E841" s="113"/>
      <c r="F841" s="113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13"/>
      <c r="B842" s="113"/>
      <c r="C842" s="113"/>
      <c r="D842" s="113"/>
      <c r="E842" s="113"/>
      <c r="F842" s="113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13"/>
      <c r="B843" s="113"/>
      <c r="C843" s="113"/>
      <c r="D843" s="113"/>
      <c r="E843" s="113"/>
      <c r="F843" s="113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13"/>
      <c r="B844" s="113"/>
      <c r="C844" s="113"/>
      <c r="D844" s="113"/>
      <c r="E844" s="113"/>
      <c r="F844" s="113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13"/>
      <c r="B845" s="113"/>
      <c r="C845" s="113"/>
      <c r="D845" s="113"/>
      <c r="E845" s="113"/>
      <c r="F845" s="113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13"/>
      <c r="B846" s="113"/>
      <c r="C846" s="113"/>
      <c r="D846" s="113"/>
      <c r="E846" s="113"/>
      <c r="F846" s="113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13"/>
      <c r="B847" s="113"/>
      <c r="C847" s="113"/>
      <c r="D847" s="113"/>
      <c r="E847" s="113"/>
      <c r="F847" s="113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13"/>
      <c r="B848" s="113"/>
      <c r="C848" s="113"/>
      <c r="D848" s="113"/>
      <c r="E848" s="113"/>
      <c r="F848" s="113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13"/>
      <c r="B849" s="113"/>
      <c r="C849" s="113"/>
      <c r="D849" s="113"/>
      <c r="E849" s="113"/>
      <c r="F849" s="113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13"/>
      <c r="B850" s="113"/>
      <c r="C850" s="113"/>
      <c r="D850" s="113"/>
      <c r="E850" s="113"/>
      <c r="F850" s="113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13"/>
      <c r="B851" s="113"/>
      <c r="C851" s="113"/>
      <c r="D851" s="113"/>
      <c r="E851" s="113"/>
      <c r="F851" s="113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13"/>
      <c r="B852" s="113"/>
      <c r="C852" s="113"/>
      <c r="D852" s="113"/>
      <c r="E852" s="113"/>
      <c r="F852" s="113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13"/>
      <c r="B853" s="113"/>
      <c r="C853" s="113"/>
      <c r="D853" s="113"/>
      <c r="E853" s="113"/>
      <c r="F853" s="113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13"/>
      <c r="B854" s="113"/>
      <c r="C854" s="113"/>
      <c r="D854" s="113"/>
      <c r="E854" s="113"/>
      <c r="F854" s="113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13"/>
      <c r="B855" s="113"/>
      <c r="C855" s="113"/>
      <c r="D855" s="113"/>
      <c r="E855" s="113"/>
      <c r="F855" s="113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13"/>
      <c r="B856" s="113"/>
      <c r="C856" s="113"/>
      <c r="D856" s="113"/>
      <c r="E856" s="113"/>
      <c r="F856" s="113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13"/>
      <c r="B857" s="113"/>
      <c r="C857" s="113"/>
      <c r="D857" s="113"/>
      <c r="E857" s="113"/>
      <c r="F857" s="113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13"/>
      <c r="B858" s="113"/>
      <c r="C858" s="113"/>
      <c r="D858" s="113"/>
      <c r="E858" s="113"/>
      <c r="F858" s="113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13"/>
      <c r="B859" s="113"/>
      <c r="C859" s="113"/>
      <c r="D859" s="113"/>
      <c r="E859" s="113"/>
      <c r="F859" s="113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13"/>
      <c r="B860" s="113"/>
      <c r="C860" s="113"/>
      <c r="D860" s="113"/>
      <c r="E860" s="113"/>
      <c r="F860" s="113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13"/>
      <c r="B861" s="113"/>
      <c r="C861" s="113"/>
      <c r="D861" s="113"/>
      <c r="E861" s="113"/>
      <c r="F861" s="113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13"/>
      <c r="B862" s="113"/>
      <c r="C862" s="113"/>
      <c r="D862" s="113"/>
      <c r="E862" s="113"/>
      <c r="F862" s="113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13"/>
      <c r="B863" s="113"/>
      <c r="C863" s="113"/>
      <c r="D863" s="113"/>
      <c r="E863" s="113"/>
      <c r="F863" s="113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13"/>
      <c r="B864" s="113"/>
      <c r="C864" s="113"/>
      <c r="D864" s="113"/>
      <c r="E864" s="113"/>
      <c r="F864" s="113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13"/>
      <c r="B865" s="113"/>
      <c r="C865" s="113"/>
      <c r="D865" s="113"/>
      <c r="E865" s="113"/>
      <c r="F865" s="113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13"/>
      <c r="B866" s="113"/>
      <c r="C866" s="113"/>
      <c r="D866" s="113"/>
      <c r="E866" s="113"/>
      <c r="F866" s="113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13"/>
      <c r="B867" s="113"/>
      <c r="C867" s="113"/>
      <c r="D867" s="113"/>
      <c r="E867" s="113"/>
      <c r="F867" s="113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13"/>
      <c r="B868" s="113"/>
      <c r="C868" s="113"/>
      <c r="D868" s="113"/>
      <c r="E868" s="113"/>
      <c r="F868" s="113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13"/>
      <c r="B869" s="113"/>
      <c r="C869" s="113"/>
      <c r="D869" s="113"/>
      <c r="E869" s="113"/>
      <c r="F869" s="113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13"/>
      <c r="B870" s="113"/>
      <c r="C870" s="113"/>
      <c r="D870" s="113"/>
      <c r="E870" s="113"/>
      <c r="F870" s="113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13"/>
      <c r="B871" s="113"/>
      <c r="C871" s="113"/>
      <c r="D871" s="113"/>
      <c r="E871" s="113"/>
      <c r="F871" s="113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13"/>
      <c r="B872" s="113"/>
      <c r="C872" s="113"/>
      <c r="D872" s="113"/>
      <c r="E872" s="113"/>
      <c r="F872" s="113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13"/>
      <c r="B873" s="113"/>
      <c r="C873" s="113"/>
      <c r="D873" s="113"/>
      <c r="E873" s="113"/>
      <c r="F873" s="113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13"/>
      <c r="B874" s="113"/>
      <c r="C874" s="113"/>
      <c r="D874" s="113"/>
      <c r="E874" s="113"/>
      <c r="F874" s="113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13"/>
      <c r="B875" s="113"/>
      <c r="C875" s="113"/>
      <c r="D875" s="113"/>
      <c r="E875" s="113"/>
      <c r="F875" s="113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13"/>
      <c r="B876" s="113"/>
      <c r="C876" s="113"/>
      <c r="D876" s="113"/>
      <c r="E876" s="113"/>
      <c r="F876" s="113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13"/>
      <c r="B877" s="113"/>
      <c r="C877" s="113"/>
      <c r="D877" s="113"/>
      <c r="E877" s="113"/>
      <c r="F877" s="113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13"/>
      <c r="B878" s="113"/>
      <c r="C878" s="113"/>
      <c r="D878" s="113"/>
      <c r="E878" s="113"/>
      <c r="F878" s="113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13"/>
      <c r="B879" s="113"/>
      <c r="C879" s="113"/>
      <c r="D879" s="113"/>
      <c r="E879" s="113"/>
      <c r="F879" s="113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13"/>
      <c r="B880" s="113"/>
      <c r="C880" s="113"/>
      <c r="D880" s="113"/>
      <c r="E880" s="113"/>
      <c r="F880" s="113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13"/>
      <c r="B881" s="113"/>
      <c r="C881" s="113"/>
      <c r="D881" s="113"/>
      <c r="E881" s="113"/>
      <c r="F881" s="113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13"/>
      <c r="B882" s="113"/>
      <c r="C882" s="113"/>
      <c r="D882" s="113"/>
      <c r="E882" s="113"/>
      <c r="F882" s="113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13"/>
      <c r="B883" s="113"/>
      <c r="C883" s="113"/>
      <c r="D883" s="113"/>
      <c r="E883" s="113"/>
      <c r="F883" s="113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13"/>
      <c r="B884" s="113"/>
      <c r="C884" s="113"/>
      <c r="D884" s="113"/>
      <c r="E884" s="113"/>
      <c r="F884" s="113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13"/>
      <c r="B885" s="113"/>
      <c r="C885" s="113"/>
      <c r="D885" s="113"/>
      <c r="E885" s="113"/>
      <c r="F885" s="113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13"/>
      <c r="B886" s="113"/>
      <c r="C886" s="113"/>
      <c r="D886" s="113"/>
      <c r="E886" s="113"/>
      <c r="F886" s="113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13"/>
      <c r="B887" s="113"/>
      <c r="C887" s="113"/>
      <c r="D887" s="113"/>
      <c r="E887" s="113"/>
      <c r="F887" s="113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13"/>
      <c r="B888" s="113"/>
      <c r="C888" s="113"/>
      <c r="D888" s="113"/>
      <c r="E888" s="113"/>
      <c r="F888" s="113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13"/>
      <c r="B889" s="113"/>
      <c r="C889" s="113"/>
      <c r="D889" s="113"/>
      <c r="E889" s="113"/>
      <c r="F889" s="113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13"/>
      <c r="B890" s="113"/>
      <c r="C890" s="113"/>
      <c r="D890" s="113"/>
      <c r="E890" s="113"/>
      <c r="F890" s="113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13"/>
      <c r="B891" s="113"/>
      <c r="C891" s="113"/>
      <c r="D891" s="113"/>
      <c r="E891" s="113"/>
      <c r="F891" s="113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13"/>
      <c r="B892" s="113"/>
      <c r="C892" s="113"/>
      <c r="D892" s="113"/>
      <c r="E892" s="113"/>
      <c r="F892" s="113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13"/>
      <c r="B893" s="113"/>
      <c r="C893" s="113"/>
      <c r="D893" s="113"/>
      <c r="E893" s="113"/>
      <c r="F893" s="113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13"/>
      <c r="B894" s="113"/>
      <c r="C894" s="113"/>
      <c r="D894" s="113"/>
      <c r="E894" s="113"/>
      <c r="F894" s="113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13"/>
      <c r="B895" s="113"/>
      <c r="C895" s="113"/>
      <c r="D895" s="113"/>
      <c r="E895" s="113"/>
      <c r="F895" s="113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13"/>
      <c r="B896" s="113"/>
      <c r="C896" s="113"/>
      <c r="D896" s="113"/>
      <c r="E896" s="113"/>
      <c r="F896" s="113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13"/>
      <c r="B897" s="113"/>
      <c r="C897" s="113"/>
      <c r="D897" s="113"/>
      <c r="E897" s="113"/>
      <c r="F897" s="113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13"/>
      <c r="B898" s="113"/>
      <c r="C898" s="113"/>
      <c r="D898" s="113"/>
      <c r="E898" s="113"/>
      <c r="F898" s="113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13"/>
      <c r="B899" s="113"/>
      <c r="C899" s="113"/>
      <c r="D899" s="113"/>
      <c r="E899" s="113"/>
      <c r="F899" s="113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13"/>
      <c r="B900" s="113"/>
      <c r="C900" s="113"/>
      <c r="D900" s="113"/>
      <c r="E900" s="113"/>
      <c r="F900" s="113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13"/>
      <c r="B901" s="113"/>
      <c r="C901" s="113"/>
      <c r="D901" s="113"/>
      <c r="E901" s="113"/>
      <c r="F901" s="113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13"/>
      <c r="B902" s="113"/>
      <c r="C902" s="113"/>
      <c r="D902" s="113"/>
      <c r="E902" s="113"/>
      <c r="F902" s="113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13"/>
      <c r="B903" s="113"/>
      <c r="C903" s="113"/>
      <c r="D903" s="113"/>
      <c r="E903" s="113"/>
      <c r="F903" s="113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13"/>
      <c r="B904" s="113"/>
      <c r="C904" s="113"/>
      <c r="D904" s="113"/>
      <c r="E904" s="113"/>
      <c r="F904" s="113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13"/>
      <c r="B905" s="113"/>
      <c r="C905" s="113"/>
      <c r="D905" s="113"/>
      <c r="E905" s="113"/>
      <c r="F905" s="113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13"/>
      <c r="B906" s="113"/>
      <c r="C906" s="113"/>
      <c r="D906" s="113"/>
      <c r="E906" s="113"/>
      <c r="F906" s="113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13"/>
      <c r="B907" s="113"/>
      <c r="C907" s="113"/>
      <c r="D907" s="113"/>
      <c r="E907" s="113"/>
      <c r="F907" s="113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13"/>
      <c r="B908" s="113"/>
      <c r="C908" s="113"/>
      <c r="D908" s="113"/>
      <c r="E908" s="113"/>
      <c r="F908" s="113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13"/>
      <c r="B909" s="113"/>
      <c r="C909" s="113"/>
      <c r="D909" s="113"/>
      <c r="E909" s="113"/>
      <c r="F909" s="113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13"/>
      <c r="B910" s="113"/>
      <c r="C910" s="113"/>
      <c r="D910" s="113"/>
      <c r="E910" s="113"/>
      <c r="F910" s="113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13"/>
      <c r="B911" s="113"/>
      <c r="C911" s="113"/>
      <c r="D911" s="113"/>
      <c r="E911" s="113"/>
      <c r="F911" s="113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13"/>
      <c r="B912" s="113"/>
      <c r="C912" s="113"/>
      <c r="D912" s="113"/>
      <c r="E912" s="113"/>
      <c r="F912" s="113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13"/>
      <c r="B913" s="113"/>
      <c r="C913" s="113"/>
      <c r="D913" s="113"/>
      <c r="E913" s="113"/>
      <c r="F913" s="113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13"/>
      <c r="B914" s="113"/>
      <c r="C914" s="113"/>
      <c r="D914" s="113"/>
      <c r="E914" s="113"/>
      <c r="F914" s="113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13"/>
      <c r="B915" s="113"/>
      <c r="C915" s="113"/>
      <c r="D915" s="113"/>
      <c r="E915" s="113"/>
      <c r="F915" s="113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13"/>
      <c r="B916" s="113"/>
      <c r="C916" s="113"/>
      <c r="D916" s="113"/>
      <c r="E916" s="113"/>
      <c r="F916" s="113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13"/>
      <c r="B917" s="113"/>
      <c r="C917" s="113"/>
      <c r="D917" s="113"/>
      <c r="E917" s="113"/>
      <c r="F917" s="113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13"/>
      <c r="B918" s="113"/>
      <c r="C918" s="113"/>
      <c r="D918" s="113"/>
      <c r="E918" s="113"/>
      <c r="F918" s="113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13"/>
      <c r="B919" s="113"/>
      <c r="C919" s="113"/>
      <c r="D919" s="113"/>
      <c r="E919" s="113"/>
      <c r="F919" s="113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13"/>
      <c r="B920" s="113"/>
      <c r="C920" s="113"/>
      <c r="D920" s="113"/>
      <c r="E920" s="113"/>
      <c r="F920" s="113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13"/>
      <c r="B921" s="113"/>
      <c r="C921" s="113"/>
      <c r="D921" s="113"/>
      <c r="E921" s="113"/>
      <c r="F921" s="113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13"/>
      <c r="B922" s="113"/>
      <c r="C922" s="113"/>
      <c r="D922" s="113"/>
      <c r="E922" s="113"/>
      <c r="F922" s="113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13"/>
      <c r="B923" s="113"/>
      <c r="C923" s="113"/>
      <c r="D923" s="113"/>
      <c r="E923" s="113"/>
      <c r="F923" s="113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13"/>
      <c r="B924" s="113"/>
      <c r="C924" s="113"/>
      <c r="D924" s="113"/>
      <c r="E924" s="113"/>
      <c r="F924" s="113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13"/>
      <c r="B925" s="113"/>
      <c r="C925" s="113"/>
      <c r="D925" s="113"/>
      <c r="E925" s="113"/>
      <c r="F925" s="113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13"/>
      <c r="B926" s="113"/>
      <c r="C926" s="113"/>
      <c r="D926" s="113"/>
      <c r="E926" s="113"/>
      <c r="F926" s="113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13"/>
      <c r="B927" s="113"/>
      <c r="C927" s="113"/>
      <c r="D927" s="113"/>
      <c r="E927" s="113"/>
      <c r="F927" s="113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13"/>
      <c r="B928" s="113"/>
      <c r="C928" s="113"/>
      <c r="D928" s="113"/>
      <c r="E928" s="113"/>
      <c r="F928" s="113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13"/>
      <c r="B929" s="113"/>
      <c r="C929" s="113"/>
      <c r="D929" s="113"/>
      <c r="E929" s="113"/>
      <c r="F929" s="113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13"/>
      <c r="B930" s="113"/>
      <c r="C930" s="113"/>
      <c r="D930" s="113"/>
      <c r="E930" s="113"/>
      <c r="F930" s="113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13"/>
      <c r="B931" s="113"/>
      <c r="C931" s="113"/>
      <c r="D931" s="113"/>
      <c r="E931" s="113"/>
      <c r="F931" s="113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13"/>
      <c r="B932" s="113"/>
      <c r="C932" s="113"/>
      <c r="D932" s="113"/>
      <c r="E932" s="113"/>
      <c r="F932" s="113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13"/>
      <c r="B933" s="113"/>
      <c r="C933" s="113"/>
      <c r="D933" s="113"/>
      <c r="E933" s="113"/>
      <c r="F933" s="113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13"/>
      <c r="B934" s="113"/>
      <c r="C934" s="113"/>
      <c r="D934" s="113"/>
      <c r="E934" s="113"/>
      <c r="F934" s="113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13"/>
      <c r="B935" s="113"/>
      <c r="C935" s="113"/>
      <c r="D935" s="113"/>
      <c r="E935" s="113"/>
      <c r="F935" s="113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13"/>
      <c r="B936" s="113"/>
      <c r="C936" s="113"/>
      <c r="D936" s="113"/>
      <c r="E936" s="113"/>
      <c r="F936" s="113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13"/>
      <c r="B937" s="113"/>
      <c r="C937" s="113"/>
      <c r="D937" s="113"/>
      <c r="E937" s="113"/>
      <c r="F937" s="113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13"/>
      <c r="B938" s="113"/>
      <c r="C938" s="113"/>
      <c r="D938" s="113"/>
      <c r="E938" s="113"/>
      <c r="F938" s="113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13"/>
      <c r="B939" s="113"/>
      <c r="C939" s="113"/>
      <c r="D939" s="113"/>
      <c r="E939" s="113"/>
      <c r="F939" s="113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13"/>
      <c r="B940" s="113"/>
      <c r="C940" s="113"/>
      <c r="D940" s="113"/>
      <c r="E940" s="113"/>
      <c r="F940" s="113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13"/>
      <c r="B941" s="113"/>
      <c r="C941" s="113"/>
      <c r="D941" s="113"/>
      <c r="E941" s="113"/>
      <c r="F941" s="113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13"/>
      <c r="B942" s="113"/>
      <c r="C942" s="113"/>
      <c r="D942" s="113"/>
      <c r="E942" s="113"/>
      <c r="F942" s="113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13"/>
      <c r="B943" s="113"/>
      <c r="C943" s="113"/>
      <c r="D943" s="113"/>
      <c r="E943" s="113"/>
      <c r="F943" s="113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13"/>
      <c r="B944" s="113"/>
      <c r="C944" s="113"/>
      <c r="D944" s="113"/>
      <c r="E944" s="113"/>
      <c r="F944" s="113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13"/>
      <c r="B945" s="113"/>
      <c r="C945" s="113"/>
      <c r="D945" s="113"/>
      <c r="E945" s="113"/>
      <c r="F945" s="113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13"/>
      <c r="B946" s="113"/>
      <c r="C946" s="113"/>
      <c r="D946" s="113"/>
      <c r="E946" s="113"/>
      <c r="F946" s="113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13"/>
      <c r="B947" s="113"/>
      <c r="C947" s="113"/>
      <c r="D947" s="113"/>
      <c r="E947" s="113"/>
      <c r="F947" s="113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13"/>
      <c r="B948" s="113"/>
      <c r="C948" s="113"/>
      <c r="D948" s="113"/>
      <c r="E948" s="113"/>
      <c r="F948" s="113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13"/>
      <c r="B949" s="113"/>
      <c r="C949" s="113"/>
      <c r="D949" s="113"/>
      <c r="E949" s="113"/>
      <c r="F949" s="113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13"/>
      <c r="B950" s="113"/>
      <c r="C950" s="113"/>
      <c r="D950" s="113"/>
      <c r="E950" s="113"/>
      <c r="F950" s="113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13"/>
      <c r="B951" s="113"/>
      <c r="C951" s="113"/>
      <c r="D951" s="113"/>
      <c r="E951" s="113"/>
      <c r="F951" s="113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13"/>
      <c r="B952" s="113"/>
      <c r="C952" s="113"/>
      <c r="D952" s="113"/>
      <c r="E952" s="113"/>
      <c r="F952" s="113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13"/>
      <c r="B953" s="113"/>
      <c r="C953" s="113"/>
      <c r="D953" s="113"/>
      <c r="E953" s="113"/>
      <c r="F953" s="113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13"/>
      <c r="B954" s="113"/>
      <c r="C954" s="113"/>
      <c r="D954" s="113"/>
      <c r="E954" s="113"/>
      <c r="F954" s="113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13"/>
      <c r="B955" s="113"/>
      <c r="C955" s="113"/>
      <c r="D955" s="113"/>
      <c r="E955" s="113"/>
      <c r="F955" s="113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13"/>
      <c r="B956" s="113"/>
      <c r="C956" s="113"/>
      <c r="D956" s="113"/>
      <c r="E956" s="113"/>
      <c r="F956" s="113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13"/>
      <c r="B957" s="113"/>
      <c r="C957" s="113"/>
      <c r="D957" s="113"/>
      <c r="E957" s="113"/>
      <c r="F957" s="113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13"/>
      <c r="B958" s="113"/>
      <c r="C958" s="113"/>
      <c r="D958" s="113"/>
      <c r="E958" s="113"/>
      <c r="F958" s="113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13"/>
      <c r="B959" s="113"/>
      <c r="C959" s="113"/>
      <c r="D959" s="113"/>
      <c r="E959" s="113"/>
      <c r="F959" s="113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13"/>
      <c r="B960" s="113"/>
      <c r="C960" s="113"/>
      <c r="D960" s="113"/>
      <c r="E960" s="113"/>
      <c r="F960" s="113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13"/>
      <c r="B961" s="113"/>
      <c r="C961" s="113"/>
      <c r="D961" s="113"/>
      <c r="E961" s="113"/>
      <c r="F961" s="113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13"/>
      <c r="B962" s="113"/>
      <c r="C962" s="113"/>
      <c r="D962" s="113"/>
      <c r="E962" s="113"/>
      <c r="F962" s="113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13"/>
      <c r="B963" s="113"/>
      <c r="C963" s="113"/>
      <c r="D963" s="113"/>
      <c r="E963" s="113"/>
      <c r="F963" s="113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13"/>
      <c r="B964" s="113"/>
      <c r="C964" s="113"/>
      <c r="D964" s="113"/>
      <c r="E964" s="113"/>
      <c r="F964" s="113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13"/>
      <c r="B965" s="113"/>
      <c r="C965" s="113"/>
      <c r="D965" s="113"/>
      <c r="E965" s="113"/>
      <c r="F965" s="113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13"/>
      <c r="B966" s="113"/>
      <c r="C966" s="113"/>
      <c r="D966" s="113"/>
      <c r="E966" s="113"/>
      <c r="F966" s="113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13"/>
      <c r="B967" s="113"/>
      <c r="C967" s="113"/>
      <c r="D967" s="113"/>
      <c r="E967" s="113"/>
      <c r="F967" s="113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13"/>
      <c r="B968" s="113"/>
      <c r="C968" s="113"/>
      <c r="D968" s="113"/>
      <c r="E968" s="113"/>
      <c r="F968" s="113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13"/>
      <c r="B969" s="113"/>
      <c r="C969" s="113"/>
      <c r="D969" s="113"/>
      <c r="E969" s="113"/>
      <c r="F969" s="113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13"/>
      <c r="B970" s="113"/>
      <c r="C970" s="113"/>
      <c r="D970" s="113"/>
      <c r="E970" s="113"/>
      <c r="F970" s="113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13"/>
      <c r="B971" s="113"/>
      <c r="C971" s="113"/>
      <c r="D971" s="113"/>
      <c r="E971" s="113"/>
      <c r="F971" s="113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13"/>
      <c r="B972" s="113"/>
      <c r="C972" s="113"/>
      <c r="D972" s="113"/>
      <c r="E972" s="113"/>
      <c r="F972" s="113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13"/>
      <c r="B973" s="113"/>
      <c r="C973" s="113"/>
      <c r="D973" s="113"/>
      <c r="E973" s="113"/>
      <c r="F973" s="113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13"/>
      <c r="B974" s="113"/>
      <c r="C974" s="113"/>
      <c r="D974" s="113"/>
      <c r="E974" s="113"/>
      <c r="F974" s="113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13"/>
      <c r="B975" s="113"/>
      <c r="C975" s="113"/>
      <c r="D975" s="113"/>
      <c r="E975" s="113"/>
      <c r="F975" s="113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13"/>
      <c r="B976" s="113"/>
      <c r="C976" s="113"/>
      <c r="D976" s="113"/>
      <c r="E976" s="113"/>
      <c r="F976" s="113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13"/>
      <c r="B977" s="113"/>
      <c r="C977" s="113"/>
      <c r="D977" s="113"/>
      <c r="E977" s="113"/>
      <c r="F977" s="113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13"/>
      <c r="B978" s="113"/>
      <c r="C978" s="113"/>
      <c r="D978" s="113"/>
      <c r="E978" s="113"/>
      <c r="F978" s="113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13"/>
      <c r="B979" s="113"/>
      <c r="C979" s="113"/>
      <c r="D979" s="113"/>
      <c r="E979" s="113"/>
      <c r="F979" s="113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13"/>
      <c r="B980" s="113"/>
      <c r="C980" s="113"/>
      <c r="D980" s="113"/>
      <c r="E980" s="113"/>
      <c r="F980" s="113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13"/>
      <c r="B981" s="113"/>
      <c r="C981" s="113"/>
      <c r="D981" s="113"/>
      <c r="E981" s="113"/>
      <c r="F981" s="113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13"/>
      <c r="B982" s="113"/>
      <c r="C982" s="113"/>
      <c r="D982" s="113"/>
      <c r="E982" s="113"/>
      <c r="F982" s="113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13"/>
      <c r="B983" s="113"/>
      <c r="C983" s="113"/>
      <c r="D983" s="113"/>
      <c r="E983" s="113"/>
      <c r="F983" s="113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13"/>
      <c r="B984" s="113"/>
      <c r="C984" s="113"/>
      <c r="D984" s="113"/>
      <c r="E984" s="113"/>
      <c r="F984" s="113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13"/>
      <c r="B985" s="113"/>
      <c r="C985" s="113"/>
      <c r="D985" s="113"/>
      <c r="E985" s="113"/>
      <c r="F985" s="113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13"/>
      <c r="B986" s="113"/>
      <c r="C986" s="113"/>
      <c r="D986" s="113"/>
      <c r="E986" s="113"/>
      <c r="F986" s="113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13"/>
      <c r="B987" s="113"/>
      <c r="C987" s="113"/>
      <c r="D987" s="113"/>
      <c r="E987" s="113"/>
      <c r="F987" s="113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13"/>
      <c r="B988" s="113"/>
      <c r="C988" s="113"/>
      <c r="D988" s="113"/>
      <c r="E988" s="113"/>
      <c r="F988" s="113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13"/>
      <c r="B989" s="113"/>
      <c r="C989" s="113"/>
      <c r="D989" s="113"/>
      <c r="E989" s="113"/>
      <c r="F989" s="113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13"/>
      <c r="B990" s="113"/>
      <c r="C990" s="113"/>
      <c r="D990" s="113"/>
      <c r="E990" s="113"/>
      <c r="F990" s="113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13"/>
      <c r="B991" s="113"/>
      <c r="C991" s="113"/>
      <c r="D991" s="113"/>
      <c r="E991" s="113"/>
      <c r="F991" s="113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13"/>
      <c r="B992" s="113"/>
      <c r="C992" s="113"/>
      <c r="D992" s="113"/>
      <c r="E992" s="113"/>
      <c r="F992" s="113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13"/>
      <c r="B993" s="113"/>
      <c r="C993" s="113"/>
      <c r="D993" s="113"/>
      <c r="E993" s="113"/>
      <c r="F993" s="113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13"/>
      <c r="B994" s="113"/>
      <c r="C994" s="113"/>
      <c r="D994" s="113"/>
      <c r="E994" s="113"/>
      <c r="F994" s="113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13"/>
      <c r="B995" s="113"/>
      <c r="C995" s="113"/>
      <c r="D995" s="113"/>
      <c r="E995" s="113"/>
      <c r="F995" s="113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13"/>
      <c r="B996" s="113"/>
      <c r="C996" s="113"/>
      <c r="D996" s="113"/>
      <c r="E996" s="113"/>
      <c r="F996" s="113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13"/>
      <c r="B997" s="113"/>
      <c r="C997" s="113"/>
      <c r="D997" s="113"/>
      <c r="E997" s="113"/>
      <c r="F997" s="113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13"/>
      <c r="B998" s="113"/>
      <c r="C998" s="113"/>
      <c r="D998" s="113"/>
      <c r="E998" s="113"/>
      <c r="F998" s="113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13"/>
      <c r="B999" s="113"/>
      <c r="C999" s="113"/>
      <c r="D999" s="113"/>
      <c r="E999" s="113"/>
      <c r="F999" s="113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13"/>
      <c r="B1000" s="113"/>
      <c r="C1000" s="113"/>
      <c r="D1000" s="113"/>
      <c r="E1000" s="113"/>
      <c r="F1000" s="113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dataValidations>
    <dataValidation type="custom" allowBlank="1" showDropDown="1" sqref="F2:F15">
      <formula1>AND(ISNUMBER(F2),(NOT(OR(NOT(ISERROR(DATEVALUE(F2))), AND(ISNUMBER(F2), LEFT(CELL("format", F2))="D")))))</formula1>
    </dataValidation>
    <dataValidation allowBlank="1" showDropDown="1" sqref="C2:C15"/>
    <dataValidation type="custom" allowBlank="1" showDropDown="1" sqref="E2:E15">
      <formula1>AND(ISNUMBER(E2),(NOT(OR(NOT(ISERROR(DATEVALUE(E2))), AND(ISNUMBER(E2), LEFT(CELL("format", E2))="D")))))</formula1>
    </dataValidation>
    <dataValidation allowBlank="1" showDropDown="1" sqref="D2:D15 G2:G15"/>
  </dataValidations>
  <drawing r:id="rId1"/>
  <tableParts count="1">
    <tablePart r:id="rId3"/>
  </tableParts>
</worksheet>
</file>